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 xWindow="-120" yWindow="-120" windowWidth="20730" windowHeight="11160" tabRatio="500" activeTab="1"/>
  </bookViews>
  <sheets>
    <sheet name="54500055018 SD 41" sheetId="15" r:id="rId1"/>
    <sheet name="REALISASI" sheetId="2" r:id="rId2"/>
    <sheet name="KELAS" sheetId="16" r:id="rId3"/>
  </sheets>
  <definedNames>
    <definedName name="_xlnm._FilterDatabase" localSheetId="0" hidden="1">'54500055018 SD 41'!$A$1:$I$589</definedName>
    <definedName name="_xlnm._FilterDatabase" localSheetId="1" hidden="1">REALISASI!$A$5:$BA$5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" i="2" l="1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6" i="2"/>
  <c r="B607" i="15" l="1"/>
  <c r="B613" i="15" s="1"/>
  <c r="B598" i="15"/>
  <c r="B603" i="15" s="1"/>
  <c r="B614" i="15" s="1"/>
  <c r="B615" i="15" s="1"/>
  <c r="I589" i="2"/>
  <c r="L489" i="2" l="1"/>
  <c r="M489" i="2"/>
  <c r="L490" i="2"/>
  <c r="M490" i="2"/>
  <c r="L491" i="2"/>
  <c r="M491" i="2"/>
  <c r="L492" i="2"/>
  <c r="M492" i="2"/>
  <c r="L493" i="2"/>
  <c r="M493" i="2"/>
  <c r="L494" i="2"/>
  <c r="M494" i="2"/>
  <c r="L495" i="2"/>
  <c r="M495" i="2"/>
  <c r="L496" i="2"/>
  <c r="M496" i="2"/>
  <c r="L497" i="2"/>
  <c r="M497" i="2"/>
  <c r="L498" i="2"/>
  <c r="M498" i="2"/>
  <c r="L499" i="2"/>
  <c r="M499" i="2"/>
  <c r="L500" i="2"/>
  <c r="M500" i="2"/>
  <c r="L501" i="2"/>
  <c r="M501" i="2"/>
  <c r="L502" i="2"/>
  <c r="M502" i="2"/>
  <c r="L503" i="2"/>
  <c r="M503" i="2"/>
  <c r="L504" i="2"/>
  <c r="M504" i="2"/>
  <c r="L505" i="2"/>
  <c r="M505" i="2"/>
  <c r="L506" i="2"/>
  <c r="M506" i="2"/>
  <c r="L507" i="2"/>
  <c r="M507" i="2"/>
  <c r="L508" i="2"/>
  <c r="M508" i="2"/>
  <c r="L509" i="2"/>
  <c r="M509" i="2"/>
  <c r="L510" i="2"/>
  <c r="M510" i="2"/>
  <c r="L511" i="2"/>
  <c r="M511" i="2"/>
  <c r="L512" i="2"/>
  <c r="M512" i="2"/>
  <c r="L513" i="2"/>
  <c r="M513" i="2"/>
  <c r="L514" i="2"/>
  <c r="M514" i="2"/>
  <c r="L515" i="2"/>
  <c r="M515" i="2"/>
  <c r="L516" i="2"/>
  <c r="M516" i="2"/>
  <c r="L517" i="2"/>
  <c r="M517" i="2"/>
  <c r="L518" i="2"/>
  <c r="M518" i="2"/>
  <c r="L519" i="2"/>
  <c r="M519" i="2"/>
  <c r="L520" i="2"/>
  <c r="M520" i="2"/>
  <c r="L521" i="2"/>
  <c r="M521" i="2"/>
  <c r="L522" i="2"/>
  <c r="M522" i="2"/>
  <c r="L523" i="2"/>
  <c r="M523" i="2"/>
  <c r="L524" i="2"/>
  <c r="M524" i="2"/>
  <c r="L525" i="2"/>
  <c r="M525" i="2"/>
  <c r="L526" i="2"/>
  <c r="M526" i="2"/>
  <c r="L527" i="2"/>
  <c r="M527" i="2"/>
  <c r="L528" i="2"/>
  <c r="M528" i="2"/>
  <c r="L529" i="2"/>
  <c r="M529" i="2"/>
  <c r="L530" i="2"/>
  <c r="M530" i="2"/>
  <c r="L531" i="2"/>
  <c r="M531" i="2"/>
  <c r="L532" i="2"/>
  <c r="M532" i="2"/>
  <c r="L533" i="2"/>
  <c r="M533" i="2"/>
  <c r="L534" i="2"/>
  <c r="M534" i="2"/>
  <c r="L535" i="2"/>
  <c r="M535" i="2"/>
  <c r="L536" i="2"/>
  <c r="M536" i="2"/>
  <c r="L537" i="2"/>
  <c r="M537" i="2"/>
  <c r="L538" i="2"/>
  <c r="M538" i="2"/>
  <c r="L539" i="2"/>
  <c r="M539" i="2"/>
  <c r="L540" i="2"/>
  <c r="M540" i="2"/>
  <c r="L541" i="2"/>
  <c r="M541" i="2"/>
  <c r="L542" i="2"/>
  <c r="M542" i="2"/>
  <c r="L543" i="2"/>
  <c r="M543" i="2"/>
  <c r="L544" i="2"/>
  <c r="M544" i="2"/>
  <c r="L545" i="2"/>
  <c r="M545" i="2"/>
  <c r="L546" i="2"/>
  <c r="M546" i="2"/>
  <c r="L547" i="2"/>
  <c r="M547" i="2"/>
  <c r="L548" i="2"/>
  <c r="M548" i="2"/>
  <c r="L549" i="2"/>
  <c r="M549" i="2"/>
  <c r="L550" i="2"/>
  <c r="M550" i="2"/>
  <c r="L551" i="2"/>
  <c r="M551" i="2"/>
  <c r="L552" i="2"/>
  <c r="M552" i="2"/>
  <c r="L553" i="2"/>
  <c r="M553" i="2"/>
  <c r="L554" i="2"/>
  <c r="M554" i="2"/>
  <c r="L555" i="2"/>
  <c r="M555" i="2"/>
  <c r="L488" i="2"/>
  <c r="M488" i="2" s="1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160" i="2"/>
  <c r="M160" i="2" s="1"/>
  <c r="L161" i="2"/>
  <c r="M161" i="2"/>
  <c r="L162" i="2"/>
  <c r="M162" i="2" s="1"/>
  <c r="L163" i="2"/>
  <c r="M163" i="2"/>
  <c r="L164" i="2"/>
  <c r="M164" i="2" s="1"/>
  <c r="L165" i="2"/>
  <c r="M165" i="2"/>
  <c r="L166" i="2"/>
  <c r="M166" i="2" s="1"/>
  <c r="L167" i="2"/>
  <c r="M167" i="2"/>
  <c r="L168" i="2"/>
  <c r="M168" i="2" s="1"/>
  <c r="L169" i="2"/>
  <c r="M169" i="2"/>
  <c r="L170" i="2"/>
  <c r="M170" i="2" s="1"/>
  <c r="L171" i="2"/>
  <c r="M171" i="2"/>
  <c r="L172" i="2"/>
  <c r="M172" i="2" s="1"/>
  <c r="L173" i="2"/>
  <c r="M173" i="2"/>
  <c r="L174" i="2"/>
  <c r="M174" i="2" s="1"/>
  <c r="L175" i="2"/>
  <c r="M175" i="2"/>
  <c r="L176" i="2"/>
  <c r="M176" i="2" s="1"/>
  <c r="L177" i="2"/>
  <c r="M177" i="2"/>
  <c r="L178" i="2"/>
  <c r="M178" i="2" s="1"/>
  <c r="L179" i="2"/>
  <c r="M179" i="2"/>
  <c r="L180" i="2"/>
  <c r="M180" i="2" s="1"/>
  <c r="L181" i="2"/>
  <c r="M181" i="2"/>
  <c r="L182" i="2"/>
  <c r="M182" i="2" s="1"/>
  <c r="L183" i="2"/>
  <c r="M183" i="2"/>
  <c r="L184" i="2"/>
  <c r="M184" i="2" s="1"/>
  <c r="L185" i="2"/>
  <c r="M185" i="2"/>
  <c r="L186" i="2"/>
  <c r="M186" i="2" s="1"/>
  <c r="L187" i="2"/>
  <c r="M187" i="2"/>
  <c r="L188" i="2"/>
  <c r="M188" i="2" s="1"/>
  <c r="L189" i="2"/>
  <c r="M189" i="2"/>
  <c r="L190" i="2"/>
  <c r="M190" i="2" s="1"/>
  <c r="L191" i="2"/>
  <c r="M191" i="2"/>
  <c r="L192" i="2"/>
  <c r="M192" i="2" s="1"/>
  <c r="L193" i="2"/>
  <c r="M193" i="2"/>
  <c r="L194" i="2"/>
  <c r="M194" i="2" s="1"/>
  <c r="L195" i="2"/>
  <c r="M195" i="2"/>
  <c r="L196" i="2"/>
  <c r="M196" i="2" s="1"/>
  <c r="L197" i="2"/>
  <c r="M197" i="2"/>
  <c r="L198" i="2"/>
  <c r="M198" i="2" s="1"/>
  <c r="L199" i="2"/>
  <c r="M199" i="2"/>
  <c r="L200" i="2"/>
  <c r="M200" i="2" s="1"/>
  <c r="L201" i="2"/>
  <c r="M201" i="2"/>
  <c r="L202" i="2"/>
  <c r="M202" i="2" s="1"/>
  <c r="L203" i="2"/>
  <c r="M203" i="2"/>
  <c r="L204" i="2"/>
  <c r="M204" i="2" s="1"/>
  <c r="L205" i="2"/>
  <c r="M205" i="2"/>
  <c r="L206" i="2"/>
  <c r="M206" i="2" s="1"/>
  <c r="L207" i="2"/>
  <c r="M207" i="2"/>
  <c r="L208" i="2"/>
  <c r="M208" i="2" s="1"/>
  <c r="L209" i="2"/>
  <c r="M209" i="2"/>
  <c r="L210" i="2"/>
  <c r="M210" i="2" s="1"/>
  <c r="L211" i="2"/>
  <c r="M211" i="2"/>
  <c r="L212" i="2"/>
  <c r="M212" i="2" s="1"/>
  <c r="L213" i="2"/>
  <c r="M213" i="2"/>
  <c r="L214" i="2"/>
  <c r="M214" i="2" s="1"/>
  <c r="L215" i="2"/>
  <c r="M215" i="2"/>
  <c r="L216" i="2"/>
  <c r="M216" i="2" s="1"/>
  <c r="L217" i="2"/>
  <c r="M217" i="2"/>
  <c r="L218" i="2"/>
  <c r="M218" i="2" s="1"/>
  <c r="L219" i="2"/>
  <c r="M219" i="2"/>
  <c r="L220" i="2"/>
  <c r="M220" i="2" s="1"/>
  <c r="L221" i="2"/>
  <c r="M221" i="2"/>
  <c r="L222" i="2"/>
  <c r="M222" i="2" s="1"/>
  <c r="L223" i="2"/>
  <c r="M223" i="2"/>
  <c r="L224" i="2"/>
  <c r="M224" i="2" s="1"/>
  <c r="L225" i="2"/>
  <c r="M225" i="2"/>
  <c r="L226" i="2"/>
  <c r="M226" i="2" s="1"/>
  <c r="L227" i="2"/>
  <c r="M227" i="2"/>
  <c r="L228" i="2"/>
  <c r="M228" i="2" s="1"/>
  <c r="L229" i="2"/>
  <c r="M229" i="2"/>
  <c r="L230" i="2"/>
  <c r="M230" i="2" s="1"/>
  <c r="L231" i="2"/>
  <c r="M231" i="2"/>
  <c r="L232" i="2"/>
  <c r="M232" i="2" s="1"/>
  <c r="L233" i="2"/>
  <c r="M233" i="2"/>
  <c r="L234" i="2"/>
  <c r="M234" i="2" s="1"/>
  <c r="L235" i="2"/>
  <c r="M235" i="2" s="1"/>
  <c r="L236" i="2"/>
  <c r="M236" i="2" s="1"/>
  <c r="L237" i="2"/>
  <c r="M237" i="2"/>
  <c r="L238" i="2"/>
  <c r="M238" i="2" s="1"/>
  <c r="L239" i="2"/>
  <c r="M239" i="2"/>
  <c r="L240" i="2"/>
  <c r="M240" i="2" s="1"/>
  <c r="L241" i="2"/>
  <c r="M241" i="2"/>
  <c r="L242" i="2"/>
  <c r="M242" i="2" s="1"/>
  <c r="L243" i="2"/>
  <c r="M243" i="2"/>
  <c r="L244" i="2"/>
  <c r="M244" i="2" s="1"/>
  <c r="L245" i="2"/>
  <c r="M245" i="2"/>
  <c r="L246" i="2"/>
  <c r="M246" i="2" s="1"/>
  <c r="L247" i="2"/>
  <c r="M247" i="2"/>
  <c r="L248" i="2"/>
  <c r="M248" i="2" s="1"/>
  <c r="L249" i="2"/>
  <c r="M249" i="2"/>
  <c r="L250" i="2"/>
  <c r="M250" i="2" s="1"/>
  <c r="L251" i="2"/>
  <c r="M251" i="2"/>
  <c r="L252" i="2"/>
  <c r="M252" i="2" s="1"/>
  <c r="L253" i="2"/>
  <c r="M253" i="2"/>
  <c r="L254" i="2"/>
  <c r="M254" i="2" s="1"/>
  <c r="L255" i="2"/>
  <c r="M255" i="2"/>
  <c r="L256" i="2"/>
  <c r="M256" i="2" s="1"/>
  <c r="L257" i="2"/>
  <c r="M257" i="2"/>
  <c r="L258" i="2"/>
  <c r="M258" i="2" s="1"/>
  <c r="L259" i="2"/>
  <c r="M259" i="2"/>
  <c r="L260" i="2"/>
  <c r="M260" i="2" s="1"/>
  <c r="L261" i="2"/>
  <c r="M261" i="2"/>
  <c r="L262" i="2"/>
  <c r="M262" i="2" s="1"/>
  <c r="L263" i="2"/>
  <c r="M263" i="2"/>
  <c r="L264" i="2"/>
  <c r="M264" i="2" s="1"/>
  <c r="L265" i="2"/>
  <c r="M265" i="2"/>
  <c r="L266" i="2"/>
  <c r="M266" i="2" s="1"/>
  <c r="L267" i="2"/>
  <c r="M267" i="2"/>
  <c r="L268" i="2"/>
  <c r="M268" i="2" s="1"/>
  <c r="L269" i="2"/>
  <c r="M269" i="2"/>
  <c r="L270" i="2"/>
  <c r="M270" i="2" s="1"/>
  <c r="L271" i="2"/>
  <c r="M271" i="2"/>
  <c r="L272" i="2"/>
  <c r="M272" i="2" s="1"/>
  <c r="L273" i="2"/>
  <c r="M273" i="2"/>
  <c r="L274" i="2"/>
  <c r="M274" i="2" s="1"/>
  <c r="L275" i="2"/>
  <c r="M275" i="2"/>
  <c r="L7" i="2"/>
  <c r="M7" i="2" s="1"/>
  <c r="L8" i="2"/>
  <c r="M8" i="2" s="1"/>
  <c r="L9" i="2"/>
  <c r="L10" i="2"/>
  <c r="L11" i="2"/>
  <c r="M11" i="2" s="1"/>
  <c r="L12" i="2"/>
  <c r="M12" i="2" s="1"/>
  <c r="L13" i="2"/>
  <c r="L14" i="2"/>
  <c r="L15" i="2"/>
  <c r="M15" i="2" s="1"/>
  <c r="L16" i="2"/>
  <c r="M16" i="2" s="1"/>
  <c r="L17" i="2"/>
  <c r="L18" i="2"/>
  <c r="L19" i="2"/>
  <c r="M19" i="2" s="1"/>
  <c r="L20" i="2"/>
  <c r="M20" i="2" s="1"/>
  <c r="L21" i="2"/>
  <c r="L22" i="2"/>
  <c r="M22" i="2" s="1"/>
  <c r="L23" i="2"/>
  <c r="L24" i="2"/>
  <c r="M24" i="2" s="1"/>
  <c r="L25" i="2"/>
  <c r="L26" i="2"/>
  <c r="M26" i="2" s="1"/>
  <c r="L27" i="2"/>
  <c r="M27" i="2" s="1"/>
  <c r="L28" i="2"/>
  <c r="M28" i="2" s="1"/>
  <c r="L29" i="2"/>
  <c r="L30" i="2"/>
  <c r="M30" i="2" s="1"/>
  <c r="L31" i="2"/>
  <c r="L32" i="2"/>
  <c r="M32" i="2" s="1"/>
  <c r="L33" i="2"/>
  <c r="L34" i="2"/>
  <c r="M34" i="2" s="1"/>
  <c r="L35" i="2"/>
  <c r="L6" i="2"/>
  <c r="M6" i="2" s="1"/>
  <c r="M21" i="2"/>
  <c r="M25" i="2"/>
  <c r="M29" i="2"/>
  <c r="L159" i="2"/>
  <c r="M159" i="2" s="1"/>
  <c r="L158" i="2"/>
  <c r="M158" i="2" s="1"/>
  <c r="L157" i="2"/>
  <c r="M157" i="2" s="1"/>
  <c r="L156" i="2"/>
  <c r="M156" i="2" s="1"/>
  <c r="L155" i="2"/>
  <c r="M155" i="2" s="1"/>
  <c r="L154" i="2"/>
  <c r="M154" i="2" s="1"/>
  <c r="L153" i="2"/>
  <c r="M153" i="2" s="1"/>
  <c r="L152" i="2"/>
  <c r="M152" i="2" s="1"/>
  <c r="L151" i="2"/>
  <c r="M151" i="2" s="1"/>
  <c r="L150" i="2"/>
  <c r="M150" i="2" s="1"/>
  <c r="L149" i="2"/>
  <c r="M149" i="2" s="1"/>
  <c r="L148" i="2"/>
  <c r="M148" i="2" s="1"/>
  <c r="L147" i="2"/>
  <c r="M147" i="2" s="1"/>
  <c r="L146" i="2"/>
  <c r="M146" i="2" s="1"/>
  <c r="L145" i="2"/>
  <c r="M145" i="2" s="1"/>
  <c r="L144" i="2"/>
  <c r="M144" i="2" s="1"/>
  <c r="L143" i="2"/>
  <c r="M143" i="2" s="1"/>
  <c r="L142" i="2"/>
  <c r="M142" i="2" s="1"/>
  <c r="L141" i="2"/>
  <c r="M141" i="2" s="1"/>
  <c r="L140" i="2"/>
  <c r="M140" i="2" s="1"/>
  <c r="L139" i="2"/>
  <c r="M139" i="2" s="1"/>
  <c r="L138" i="2"/>
  <c r="M138" i="2" s="1"/>
  <c r="L137" i="2"/>
  <c r="M137" i="2" s="1"/>
  <c r="L136" i="2"/>
  <c r="M136" i="2" s="1"/>
  <c r="L135" i="2"/>
  <c r="M135" i="2" s="1"/>
  <c r="L134" i="2"/>
  <c r="M134" i="2" s="1"/>
  <c r="L133" i="2"/>
  <c r="M133" i="2" s="1"/>
  <c r="L132" i="2"/>
  <c r="M132" i="2" s="1"/>
  <c r="L131" i="2"/>
  <c r="M131" i="2" s="1"/>
  <c r="L130" i="2"/>
  <c r="M130" i="2" s="1"/>
  <c r="L129" i="2"/>
  <c r="M129" i="2" s="1"/>
  <c r="L128" i="2"/>
  <c r="M128" i="2" s="1"/>
  <c r="L127" i="2"/>
  <c r="M127" i="2" s="1"/>
  <c r="L126" i="2"/>
  <c r="M126" i="2" s="1"/>
  <c r="L125" i="2"/>
  <c r="M125" i="2" s="1"/>
  <c r="L124" i="2"/>
  <c r="M124" i="2" s="1"/>
  <c r="L123" i="2"/>
  <c r="M123" i="2" s="1"/>
  <c r="L122" i="2"/>
  <c r="M122" i="2" s="1"/>
  <c r="L121" i="2"/>
  <c r="M121" i="2" s="1"/>
  <c r="L120" i="2"/>
  <c r="M120" i="2" s="1"/>
  <c r="L119" i="2"/>
  <c r="M119" i="2" s="1"/>
  <c r="L118" i="2"/>
  <c r="M118" i="2" s="1"/>
  <c r="L117" i="2"/>
  <c r="M117" i="2" s="1"/>
  <c r="L116" i="2"/>
  <c r="M116" i="2" s="1"/>
  <c r="L115" i="2"/>
  <c r="M115" i="2" s="1"/>
  <c r="L114" i="2"/>
  <c r="M114" i="2" s="1"/>
  <c r="L113" i="2"/>
  <c r="M113" i="2" s="1"/>
  <c r="L112" i="2"/>
  <c r="M112" i="2" s="1"/>
  <c r="L111" i="2"/>
  <c r="M111" i="2" s="1"/>
  <c r="L110" i="2"/>
  <c r="M110" i="2" s="1"/>
  <c r="L109" i="2"/>
  <c r="M109" i="2" s="1"/>
  <c r="L108" i="2"/>
  <c r="M108" i="2" s="1"/>
  <c r="L107" i="2"/>
  <c r="M107" i="2" s="1"/>
  <c r="L106" i="2"/>
  <c r="M106" i="2" s="1"/>
  <c r="L105" i="2"/>
  <c r="M105" i="2" s="1"/>
  <c r="L104" i="2"/>
  <c r="M104" i="2" s="1"/>
  <c r="L103" i="2"/>
  <c r="M103" i="2" s="1"/>
  <c r="L102" i="2"/>
  <c r="M102" i="2" s="1"/>
  <c r="L101" i="2"/>
  <c r="M101" i="2" s="1"/>
  <c r="L100" i="2"/>
  <c r="M100" i="2" s="1"/>
  <c r="L99" i="2"/>
  <c r="M99" i="2" s="1"/>
  <c r="L98" i="2"/>
  <c r="M98" i="2" s="1"/>
  <c r="L97" i="2"/>
  <c r="M97" i="2" s="1"/>
  <c r="L96" i="2"/>
  <c r="M96" i="2" s="1"/>
  <c r="L95" i="2"/>
  <c r="M95" i="2" s="1"/>
  <c r="L94" i="2"/>
  <c r="M94" i="2" s="1"/>
  <c r="L93" i="2"/>
  <c r="M93" i="2" s="1"/>
  <c r="L92" i="2"/>
  <c r="M92" i="2" s="1"/>
  <c r="L91" i="2"/>
  <c r="M91" i="2" s="1"/>
  <c r="L90" i="2"/>
  <c r="M90" i="2" s="1"/>
  <c r="L89" i="2"/>
  <c r="M89" i="2" s="1"/>
  <c r="L88" i="2"/>
  <c r="M88" i="2" s="1"/>
  <c r="L87" i="2"/>
  <c r="M87" i="2" s="1"/>
  <c r="L86" i="2"/>
  <c r="M86" i="2" s="1"/>
  <c r="L85" i="2"/>
  <c r="M85" i="2" s="1"/>
  <c r="L84" i="2"/>
  <c r="M84" i="2" s="1"/>
  <c r="L83" i="2"/>
  <c r="M83" i="2" s="1"/>
  <c r="L82" i="2"/>
  <c r="M82" i="2" s="1"/>
  <c r="L81" i="2"/>
  <c r="M81" i="2" s="1"/>
  <c r="L80" i="2"/>
  <c r="M80" i="2" s="1"/>
  <c r="L79" i="2"/>
  <c r="M79" i="2" s="1"/>
  <c r="L78" i="2"/>
  <c r="M78" i="2" s="1"/>
  <c r="L77" i="2"/>
  <c r="M77" i="2" s="1"/>
  <c r="L76" i="2"/>
  <c r="M76" i="2" s="1"/>
  <c r="L75" i="2"/>
  <c r="M75" i="2" s="1"/>
  <c r="L74" i="2"/>
  <c r="M74" i="2" s="1"/>
  <c r="L73" i="2"/>
  <c r="M73" i="2" s="1"/>
  <c r="L72" i="2"/>
  <c r="M72" i="2" s="1"/>
  <c r="L71" i="2"/>
  <c r="M71" i="2" s="1"/>
  <c r="L70" i="2"/>
  <c r="M70" i="2" s="1"/>
  <c r="L69" i="2"/>
  <c r="M69" i="2" s="1"/>
  <c r="L68" i="2"/>
  <c r="M68" i="2" s="1"/>
  <c r="L67" i="2"/>
  <c r="M67" i="2" s="1"/>
  <c r="L66" i="2"/>
  <c r="M66" i="2" s="1"/>
  <c r="L65" i="2"/>
  <c r="M65" i="2" s="1"/>
  <c r="L64" i="2"/>
  <c r="M64" i="2" s="1"/>
  <c r="L63" i="2"/>
  <c r="M63" i="2" s="1"/>
  <c r="L62" i="2"/>
  <c r="M62" i="2" s="1"/>
  <c r="L61" i="2"/>
  <c r="M61" i="2" s="1"/>
  <c r="L60" i="2"/>
  <c r="M60" i="2" s="1"/>
  <c r="L59" i="2"/>
  <c r="M59" i="2" s="1"/>
  <c r="L58" i="2"/>
  <c r="M58" i="2" s="1"/>
  <c r="L57" i="2"/>
  <c r="M57" i="2" s="1"/>
  <c r="L56" i="2"/>
  <c r="M56" i="2" s="1"/>
  <c r="L55" i="2"/>
  <c r="M55" i="2" s="1"/>
  <c r="L54" i="2"/>
  <c r="M54" i="2" s="1"/>
  <c r="L53" i="2"/>
  <c r="M53" i="2" s="1"/>
  <c r="L52" i="2"/>
  <c r="M52" i="2" s="1"/>
  <c r="L51" i="2"/>
  <c r="M51" i="2" s="1"/>
  <c r="L50" i="2"/>
  <c r="M50" i="2" s="1"/>
  <c r="L49" i="2"/>
  <c r="M49" i="2" s="1"/>
  <c r="L48" i="2"/>
  <c r="M48" i="2" s="1"/>
  <c r="L47" i="2"/>
  <c r="M47" i="2" s="1"/>
  <c r="L46" i="2"/>
  <c r="M46" i="2" s="1"/>
  <c r="L45" i="2"/>
  <c r="M45" i="2" s="1"/>
  <c r="L44" i="2"/>
  <c r="M44" i="2" s="1"/>
  <c r="L43" i="2"/>
  <c r="M43" i="2" s="1"/>
  <c r="L42" i="2"/>
  <c r="M42" i="2" s="1"/>
  <c r="L41" i="2"/>
  <c r="M41" i="2" s="1"/>
  <c r="L40" i="2"/>
  <c r="M40" i="2" s="1"/>
  <c r="L39" i="2"/>
  <c r="M39" i="2" s="1"/>
  <c r="L38" i="2"/>
  <c r="M38" i="2" s="1"/>
  <c r="L37" i="2"/>
  <c r="M37" i="2" s="1"/>
  <c r="L36" i="2"/>
  <c r="M36" i="2" s="1"/>
  <c r="M35" i="2"/>
  <c r="M33" i="2"/>
  <c r="M31" i="2"/>
  <c r="M23" i="2"/>
  <c r="M18" i="2"/>
  <c r="M17" i="2"/>
  <c r="M14" i="2"/>
  <c r="M13" i="2"/>
  <c r="M10" i="2"/>
  <c r="M9" i="2"/>
</calcChain>
</file>

<file path=xl/sharedStrings.xml><?xml version="1.0" encoding="utf-8"?>
<sst xmlns="http://schemas.openxmlformats.org/spreadsheetml/2006/main" count="5258" uniqueCount="2389">
  <si>
    <t>Uang Psikotest</t>
  </si>
  <si>
    <t>Uang Test Kesehatan</t>
  </si>
  <si>
    <t>Uang Observasi</t>
  </si>
  <si>
    <t>Uang EKD</t>
  </si>
  <si>
    <t>Booking Fee</t>
  </si>
  <si>
    <t>Uang Perlengkapan</t>
  </si>
  <si>
    <t>Uang Kesehatan</t>
  </si>
  <si>
    <t>Daftar Ulang</t>
  </si>
  <si>
    <t>Hutang</t>
  </si>
  <si>
    <t>Refund</t>
  </si>
  <si>
    <t>Dana Pembangunan</t>
  </si>
  <si>
    <t>Dana Pendidikan</t>
  </si>
  <si>
    <t>Dana Kegiatan</t>
  </si>
  <si>
    <t>ATK</t>
  </si>
  <si>
    <t>Uang Buku &amp; ATK</t>
  </si>
  <si>
    <t>Uang Buku</t>
  </si>
  <si>
    <t>Uang Buku &amp; Teknologi</t>
  </si>
  <si>
    <t>Uang Pengembangan Pendidikan</t>
  </si>
  <si>
    <t>Uang KBM</t>
  </si>
  <si>
    <t>Antar Jemput</t>
  </si>
  <si>
    <t>Uang Seragam Laki-laki</t>
  </si>
  <si>
    <t>Uang Seragam Perempuan</t>
  </si>
  <si>
    <t>Uang Tes Seleksi</t>
  </si>
  <si>
    <t>Asuransi</t>
  </si>
  <si>
    <t>Uang Program Tahunan</t>
  </si>
  <si>
    <t>TAHUN PELAJARAN</t>
  </si>
  <si>
    <t>NIS</t>
  </si>
  <si>
    <t>NAMA LENGKAP</t>
  </si>
  <si>
    <t>SEKOLAH</t>
  </si>
  <si>
    <t>KELAS</t>
  </si>
  <si>
    <t>ASAL SEKOLAH</t>
  </si>
  <si>
    <t>URAIAN PEMBAYARAN</t>
  </si>
  <si>
    <t>WAKTU BAYAR</t>
  </si>
  <si>
    <t>UANG BUKU</t>
  </si>
  <si>
    <t>UANG PANGKAL</t>
  </si>
  <si>
    <t>DISKON UANG PANGKAL</t>
  </si>
  <si>
    <t>DISKON UANG SEKOLAH</t>
  </si>
  <si>
    <t>TOTAL BAYAR</t>
  </si>
  <si>
    <t>DONASI</t>
  </si>
  <si>
    <t>UANG PENDAFTARAN</t>
  </si>
  <si>
    <t>UANG KEGIATAN</t>
  </si>
  <si>
    <t>UANG JAMIYYAH</t>
  </si>
  <si>
    <t>UANG OSIS</t>
  </si>
  <si>
    <t>UANG SERAGAM</t>
  </si>
  <si>
    <t>UANG SEKOLAH</t>
  </si>
  <si>
    <t>UANG CATERING</t>
  </si>
  <si>
    <t>EKSKUL</t>
  </si>
  <si>
    <t>REKENING KORAN</t>
  </si>
  <si>
    <t>BALANCING</t>
  </si>
  <si>
    <t>REMARK</t>
  </si>
  <si>
    <t>YAYASAN PESANTREN ISLAM AL AZHAR</t>
  </si>
  <si>
    <t>INFAQ MESJID</t>
  </si>
  <si>
    <t>REALISASI PENERIMAAN SDIA 41 KARAWANG</t>
  </si>
  <si>
    <t xml:space="preserve"> </t>
  </si>
  <si>
    <t xml:space="preserve"> ," ","Transaction History"</t>
  </si>
  <si>
    <t>TANGGAL BYAR</t>
  </si>
  <si>
    <t>PERIOD :,"01/01/2025 - 01/01/2025"," "," "," "," ","RELEASE DATE :","08/01/2025"</t>
  </si>
  <si>
    <t>ACCOUNT NO :,"545800055018 - IDR"," "," "," "," ","OPENING BALANCE :","1,525,903,335.80"</t>
  </si>
  <si>
    <t>ACCOUNT NAME :,"YAYASAN BINA PRESTASI INDONESIA GEMILANG"," "," "," "," ","CLOSING BALANCE :","1,599,538,335.80"</t>
  </si>
  <si>
    <t>TOTAL DEBIT :,"0.00","0.00"," "," "," ","LEDGER BALANCE :","2,355,097,324.80"</t>
  </si>
  <si>
    <t>TOTAL CREDIT :,"49.00","73,635,000.00"," "," "," ","AVAILABLE BALANCE :","2,355,097,324.80"</t>
  </si>
  <si>
    <t>SD Islam Al Azhar 41 Karawang</t>
  </si>
  <si>
    <t>DANA SYIAR</t>
  </si>
  <si>
    <t xml:space="preserve">079 - Transfer Masuk BI Fast (ESTY VIDYANINGRUM/)  VA 2555932232401154  ERLANGGA SATYA UTAMA  VA 2555932232401154 </t>
  </si>
  <si>
    <t xml:space="preserve">079 - Transfer Masuk BI Fast (YADI HARPAN/)  VA 2555932232401186  AULIA RAYNELLE HARPAN  VA 2555932232401186 </t>
  </si>
  <si>
    <t xml:space="preserve">079 - Transfer Masuk BI Fast (ORI RABOWO/Lainnya)  VA 2555932242501146  MADA AQILLA SYAFA  VA 2555932242501146 </t>
  </si>
  <si>
    <t xml:space="preserve">079 - Transfer Masuk BI Fast (PELAMONIA/)  VA 2555932212201052  GHAZALI PENDRA MAAZ  VA 2555932212201052 </t>
  </si>
  <si>
    <t xml:space="preserve">079 - Transfer Masuk BI Fast (PELAMONIA/)  VA 2555932242501126  GHADIZA PENDRANIA MAAZ  VA 2555932242501126 </t>
  </si>
  <si>
    <t xml:space="preserve">079 - Transfer Masuk BI Fast (AYU NASTITI WIDIYASA/-)  VA 2555932232401114  ALFATHAN PUTRA AGIYASA  VA 2555932232401114 </t>
  </si>
  <si>
    <t xml:space="preserve">079 - Transfer Masuk BI Fast (ADITYA YULIANTO/)  VA 2555932222301124  ANINDITA KEISHA ZAHRA  VA 2555932222301124 </t>
  </si>
  <si>
    <t xml:space="preserve">079 - Transfer Masuk BI Fast (AGA DESTIRA PAMUNGKAS/-)  VA 2555932222301019  RABHYA FRIDAY ORLIN  VA 2555932222301019 </t>
  </si>
  <si>
    <t xml:space="preserve">079 - Transfer Masuk BI Fast (dr DARA MUSTIKA DEWI/)  VA 2555932242501174  MUHAMMAD RAFIF SHIDDIQ SETIADI  VA 2555932242501174 </t>
  </si>
  <si>
    <t xml:space="preserve">079 - Transfer Masuk BI Fast (OKY SYAFWIRATAMA/BI FAST)  VA 2555932242501059  FATHAN RASHEED WIRATAMA  VA 2555932242501059 </t>
  </si>
  <si>
    <t xml:space="preserve">079 - Transfer Masuk BI Fast (OKY SYAFWIRATAMA/BI FAST)  VA 2555932232401179  ALEENA SHAISTA WIRATAMA  VA 2555932232401179 </t>
  </si>
  <si>
    <t xml:space="preserve">079 - Transfer Masuk BI Fast (NETI HERAWATI/)  VA 2555932212201079  MUHAMMAD AZFAR GHAZI  VA 2555932212201079 </t>
  </si>
  <si>
    <t xml:space="preserve">079 - Transfer Masuk BI Fast (YOLLANDA SUSANTI/Lainnya)  VA 2555932222301003  ALIF HAZIQ SUNGKAR  VA 2555932222301003 </t>
  </si>
  <si>
    <t xml:space="preserve">079 - Transfer Masuk BI Fast (BUNGA CATLEYA SEKAR ADIA/-)  VA 2555932232401183  AALIYAH SYAHIDA AZ-ZAHRA  VA 2555932232401183 </t>
  </si>
  <si>
    <t xml:space="preserve">079 - Transfer Masuk BI Fast (MIRA SALFANI  S/)  VA 2555932222301017  ATAYA RAFIQ AKBAR  VA 2555932222301017 </t>
  </si>
  <si>
    <t xml:space="preserve">079 - Transfer Masuk BI Fast (NURJANAH FITRIYANI/-)  VA 2555932232401125  BIMA RAZENDRA LUCKMANTO  VA 2555932232401125 </t>
  </si>
  <si>
    <t xml:space="preserve">079 - Transfer Masuk BI Fast (FLIPTECH LENTERA INSPIRASI PERTIWI/SPP S)  VA 2555932222301023  SARAISHA SAKINA ABDULLAH  VA 2555932222301023 </t>
  </si>
  <si>
    <t xml:space="preserve">079 - Transfer Masuk BI Fast (LUQMAN HABIEB PRASOJ/Payment)  VA 2555932232401012  MIKAIL FAYYADH PRASOJO  VA 2555932232401012 </t>
  </si>
  <si>
    <t xml:space="preserve">079 - Transfer Masuk BI Fast (HENDRA/Lainnya)  VA 2555932232401108  ARYASATYA ADYATAMA NARENDRA  VA 2555932232401108 </t>
  </si>
  <si>
    <t xml:space="preserve">079 - Transfer Masuk BI Fast (DADI KURNIAWAN/Lainnya)  VA 2555932212201033  ADHWA BAKHTIAR KURNIAWAN  VA 2555932212201033 </t>
  </si>
  <si>
    <t xml:space="preserve">079 - Transfer Masuk BI Fast (DADI KURNIAWAN/Lainnya)  VA 2555932242501125  ALMEERA AZZAHRA  VA 2555932242501125 </t>
  </si>
  <si>
    <t xml:space="preserve">079 - Transfer Masuk BI Fast (BAIQ SUKMA LESTIA MU/)  VA 2555932232401033  KAISAR AR RANSI HIDAYAT  VA 2555932232401033 </t>
  </si>
  <si>
    <t xml:space="preserve">079 - Transfer Masuk BI Fast (SINDY UTAMI PUTRI/Lainnya)  VA 2555932212201014  NAZNEEN AOI ADZANI  VA 2555932212201014 </t>
  </si>
  <si>
    <t xml:space="preserve">079 - Transfer Masuk BI Fast (FIRLI AMALIA/)  VA 2555932242501159  HAWLA ASSYIFA RAMADHANI  VA 2555932242501159 </t>
  </si>
  <si>
    <t xml:space="preserve">079 - Transfer Masuk BI Fast (NENI MARIAM/-)  VA 2555932242501139  PANGERAN SATYA SURYADI  VA 2555932242501139 </t>
  </si>
  <si>
    <t xml:space="preserve">079 - Transfer Masuk BI Fast (ISMAN MASRURI/)  VA 2555932222301109  GHINA ZAKIYAH  VA 2555932222301109 </t>
  </si>
  <si>
    <t xml:space="preserve">079 - Transfer Masuk BI Fast (SITI AROFATUN SUCIAT/)  VA 2555932212201037  KHANZA ZHAFIRA AZZAHRA  VA 2555932212201037 </t>
  </si>
  <si>
    <t xml:space="preserve">079 - Transfer Masuk BI Fast (DEA IRANA PUTRI/)  VA 2555932232401032  DAFFA AZKARYA WIBOWO  VA 2555932232401032 </t>
  </si>
  <si>
    <t xml:space="preserve">079 - Transfer Masuk BI Fast (WIDIYANTI/)  VA 2555932202101059  WULAN PERMATA SARI  VA 2555932202101059 </t>
  </si>
  <si>
    <t xml:space="preserve">079 - Transfer Masuk BI Fast (DR YUSNITA DEWI/)  VA 2555932212201102  DESVINA ALMIRA MAHENDRA  VA 2555932212201102 </t>
  </si>
  <si>
    <t xml:space="preserve">079 - Transfer Masuk BI Fast (PUTRI RATNA SARI/-)  VA 2555932222301005  SYAURA VELOVE PRAWIRA  VA 2555932222301005 </t>
  </si>
  <si>
    <t>Transaction Date,"Value Date","Reference No.","Cheque No.","Description","Debit","Credit","Balance"</t>
  </si>
  <si>
    <t xml:space="preserve">079 - Transfer Masuk BI Fast (MUTI ANDRIANI/BI FAST)  VA 2555932222301153  LINGGAR FAADHILLAH R  VA 2555932222301153 </t>
  </si>
  <si>
    <t xml:space="preserve">079 - Transfer Masuk BI Fast (SUSANTI/)  VA 2555932232401104  IINAS HAURA THARFA  VA 2555932232401104 </t>
  </si>
  <si>
    <t>Saldo Awal</t>
  </si>
  <si>
    <t>KREDIT</t>
  </si>
  <si>
    <t>Virtual Account</t>
  </si>
  <si>
    <t>Non Virtual Account</t>
  </si>
  <si>
    <t>BUNGA</t>
  </si>
  <si>
    <t>DANA OPERASIONAL</t>
  </si>
  <si>
    <t>TOTAL</t>
  </si>
  <si>
    <t>DEBIT</t>
  </si>
  <si>
    <t>FEE BILLER</t>
  </si>
  <si>
    <t>BIAYA ADM</t>
  </si>
  <si>
    <t>PAJAK</t>
  </si>
  <si>
    <t>RTGS FEE</t>
  </si>
  <si>
    <t>RTGS YAYASAN</t>
  </si>
  <si>
    <t>Saldo Akhir</t>
  </si>
  <si>
    <t>Selisih</t>
  </si>
  <si>
    <t xml:space="preserve">079 - Transfer Masuk BI Fast (OCI PIRAWATI/-)  VA 2555932222301018  NAYLA ALMIRA AZIZAH  VA 2555932222301018 </t>
  </si>
  <si>
    <t xml:space="preserve">079 - Transfer Masuk BI Fast (BANDRIYO DWI UTOMO/)  VA 2555932202101051  ALMAIRA GAVAPUTRI ADRIANTARA  VA 2555932202101051 </t>
  </si>
  <si>
    <t xml:space="preserve">079 - Transfer Masuk BI Fast (DOMPET ANAK BANGSA/GoPay Bank Transfer I)  VA 2555932242501042  DELYSSA ASHADIYA MAHVEEN  VA 2555932242501042 </t>
  </si>
  <si>
    <t xml:space="preserve">079 - Transfer Masuk BI Fast (TAUPIK SAHBANA/SPP)  VA 2555932232401145  ABINAYA JUN PRAKOSO  VA 2555932232401145 </t>
  </si>
  <si>
    <t xml:space="preserve">079 - Transfer Masuk BI Fast (YANTI FEBRIANTI/-)  VA 2555932202101015  HARUN RASYID HARIRI  VA 2555932202101015 </t>
  </si>
  <si>
    <t xml:space="preserve">079 - Transfer Masuk BI Fast (AGUS HERMANA/)  VA 2555932222301129  KEYSHEVA AFSHEEN HERMANA  VA 2555932222301129 </t>
  </si>
  <si>
    <t xml:space="preserve">079 - Transfer Masuk BI Fast (PIPIT FITRIANINGSIH/-)  VA 2555932232401176  ENAN WIJAYA KUSUMA  VA 2555932232401176 </t>
  </si>
  <si>
    <t xml:space="preserve">079 - Transfer Masuk BI Fast (LEON ANANDA HAMIDI/-)  VA 2555932202101071  RAYSHA HANUM HAMIDI  VA 2555932202101071 </t>
  </si>
  <si>
    <t xml:space="preserve">079 - Transfer Masuk BI Fast (MIRA HANDAYANI/)  VA 2555932252601028  ARSEN YUSUF SUGIARTO  VA 2555932252601028 </t>
  </si>
  <si>
    <t xml:space="preserve">079 - Transfer Masuk BI Fast (ENDAR TURYANTO/Lainnya)  VA 2555932252601142  PUTRI FREDELLA ANANDA TUYANTO  VA 2555932252601142 </t>
  </si>
  <si>
    <t xml:space="preserve">079 - Transfer Masuk BI Fast (FENNA RUBBIYANA OR/Lainnya)  VA 2555932202101055  ZAHRA RAZQA SABRINA  VA 2555932202101055 </t>
  </si>
  <si>
    <t xml:space="preserve">079 - Transfer Masuk BI Fast (Devi Nurmalasari/)  VA 2555932252601106  ALMEERA KHANZA AZZAHRA  VA 2555932252601106 </t>
  </si>
  <si>
    <t xml:space="preserve">079 - Transfer Masuk BI Fast (MAHARDIKA FAHMI/-)  VA 2555932252601178  CEISYA ALAYYA DIZZA  VA 2555932252601178 </t>
  </si>
  <si>
    <t xml:space="preserve">079 - Transfer Masuk BI Fast (AMELIA YUNIKA DEWI/)  VA 2555932242501112  MELODY EIREEN BIONDI  VA 2555932242501112 </t>
  </si>
  <si>
    <t xml:space="preserve">079 - Transfer Masuk BI Fast (AMELIA YUNIKA DEWI/)  VA 2555932232402187  AFIDENAYA FREDELLA BIONDI  VA 2555932232402187 </t>
  </si>
  <si>
    <t xml:space="preserve">079 - Transfer Masuk BI Fast (ASEP RUSLI LESMANA/)  VA 2555932252601138  NADYA ALYSSA LESMANA  VA 2555932252601138 </t>
  </si>
  <si>
    <t xml:space="preserve">079 - Transfer Masuk BI Fast (NANANG NURROKHMAN/-)  VA 2555932252601147  SAHILA YUMNA NURROKHMAN  VA 2555932252601147 </t>
  </si>
  <si>
    <t xml:space="preserve">079 - Transfer Masuk BI Fast (TOSHIYUKI ASAHINO/Transfer ke YAYASAN BI)  VA 2555932232401005  MOANA ZEIN  VA 2555932232401005 </t>
  </si>
  <si>
    <t xml:space="preserve">079 - Transfer Masuk BI Fast (LUQMAN HABIEB PRASOJ/Payment)  VA 2555932252601013  ATHIRA JANNAH PRASOJO  VA 2555932252601013 </t>
  </si>
  <si>
    <t xml:space="preserve">079 - Transfer Masuk BI Fast (FADHILLAH/-)  VA 2555932242501038  AFLAN NADIF QADDAFI  VA 2555932242501038 </t>
  </si>
  <si>
    <t xml:space="preserve">079 - Transfer Masuk BI Fast (WAHYU TRI APRILIA DE/Lainnya)  VA 2555932202101008  M. LAKSAMANA RIZKI AKBAR  VA 2555932202101008 </t>
  </si>
  <si>
    <t xml:space="preserve">079 - Transfer Masuk BI Fast (SANSAN HUSAENI/-)  VA 2555932242501200  SYAMIL ABDURRAHMAN HUSAENI  VA 2555932242501200 </t>
  </si>
  <si>
    <t xml:space="preserve">079 - Transfer Masuk BI Fast (SITI MAESARAH/-)  VA 2555932202101092  Rasya Surya Ramadhan  VA 2555932202101092 </t>
  </si>
  <si>
    <t xml:space="preserve">079 - Transfer Masuk BI Fast (IRMA YUANITA/Lainnya)  VA 2555932212201056  MARYAM JASMINE  VA 2555932212201056 </t>
  </si>
  <si>
    <t xml:space="preserve">079 - Transfer Masuk BI Fast (DEA IRANA PUTRI/)  VA 2555932252601032  NAURA AZKAYRA WIBOWO  VA 2555932252601032 </t>
  </si>
  <si>
    <t xml:space="preserve">079 - Transfer Masuk BI Fast (RENNY FEBRIYANTI/Lainnya)  VA 2555932202101060  BINTANG KINANTI M  VA 2555932202101060 </t>
  </si>
  <si>
    <t xml:space="preserve">079 - Transfer Masuk BI Fast (ESSY ROSA WIRABUANA/)  VA 2555932242501116  ARZANKA SYAZANI ROSA  VA 2555932242501116 </t>
  </si>
  <si>
    <t xml:space="preserve">079 - Transfer Masuk BI Fast (ESSY ROSA WIRABUANA/)  VA 2555932212201017  ALULA FARZANA ROSA  VA 2555932212201017 </t>
  </si>
  <si>
    <t xml:space="preserve">079 - Transfer Masuk BI Fast (EKO PRASETYO/Lainnya)  VA 2555932202101023  KENZA MARITZA AURELIA  VA 2555932202101023 </t>
  </si>
  <si>
    <t xml:space="preserve">079 - Transfer Masuk BI Fast (EKO PRASETYO/Lainnya)  VA 2555932232401105  AQILLA SHEZA MAULIDA  VA 2555932232401105 </t>
  </si>
  <si>
    <t xml:space="preserve">079 - Transfer Masuk BI Fast (ROSSITA INDAH PRATIWI/SPP Talitha Alanna)  VA 2555932252601149  TALITHA ALANNA SYAHIRA  VA 2555932252601149 </t>
  </si>
  <si>
    <t xml:space="preserve">079 - Transfer Masuk BI Fast (ROSSITA INDAH PRATIWI/SPP Respati Ali Ib)  VA 2555932242501142  RESPATI ALI IBRAHIM  VA 2555932242501142 </t>
  </si>
  <si>
    <t xml:space="preserve">079 - Transfer Masuk BI Fast (RIZKA NURKHAKIKI/-)  VA 2555932252601021  KIRANA NAWANG JOVANKA  VA 2555932252601021 </t>
  </si>
  <si>
    <t xml:space="preserve">079 - Transfer Masuk BI Fast (ANNASTIA NOVIANTI/)  VA 2555932252601009  ABIMANA NANDIKA WICAKSONO  VA 2555932252601009 </t>
  </si>
  <si>
    <t xml:space="preserve">079 - Transfer Masuk BI Fast (SITI SOPIANTI/)  VA 2555932252601161  LAYLA KHADIJA KARIM  VA 2555932252601161 </t>
  </si>
  <si>
    <t xml:space="preserve">079 - Transfer Masuk BI Fast (CRESSA AMELIA/)  VA 2555932202101102  Muhammad Naufal Alfarizi  VA 2555932202101102 </t>
  </si>
  <si>
    <t xml:space="preserve">079 - Transfer Masuk BI Fast (PUTRI NURHAJIZAH/)  VA 2555932252601031  KIREI VELANDRA RUSMIANTO  VA 2555932252601031 </t>
  </si>
  <si>
    <t xml:space="preserve">079 - Transfer Masuk BI Fast (KINANTI AYU APRILIA/-)  VA 2555932252601102  AMMAR ZEIN KENDRY  VA 2555932252601102 </t>
  </si>
  <si>
    <t xml:space="preserve">079 - Transfer Masuk BI Fast (EKA ANGELIA/)  VA 2555932222301163  ACHAZIA ALLETHA PUTRI SUDRAJAT  VA 2555932222301163 </t>
  </si>
  <si>
    <t xml:space="preserve">079 - Transfer Masuk BI Fast (WISNU DWI HARTANTO/Lainnya)  VA 2555932232401142  SABRINA  VA 2555932232401142 </t>
  </si>
  <si>
    <t xml:space="preserve">079 - Transfer Masuk BI Fast (FLIPTECH LENTERA INSPIRASI PERTIWI/Spp Q)  VA 2555932242502185  QANITA AQILA SUBIANTORO  VA 2555932242502185 </t>
  </si>
  <si>
    <t xml:space="preserve">079 - Transfer Masuk BI Fast (MAULIA ARISNA/-)  VA 2555932202101097  Raina Alisha Maulana  VA 2555932202101097 </t>
  </si>
  <si>
    <t xml:space="preserve">079 - Transfer Masuk BI Fast (TIAN PERMATA SARI/)  VA 2555932242501121  TRISTAN WILLY WIJAYANTO  VA 2555932242501121 </t>
  </si>
  <si>
    <t xml:space="preserve">079 - Transfer Masuk BI Fast (REZA OCTORIAN PRAJAB/-)  VA 2555932252601114  BEBBY SABRINA  VA 2555932252601114 </t>
  </si>
  <si>
    <t xml:space="preserve">079 - Transfer Masuk BI Fast (EKI TUTENG RAMLAN/)  VA 2555932242501183  RAYHAN AMALA RASHID  VA 2555932242501183 </t>
  </si>
  <si>
    <t xml:space="preserve">079 - Transfer Masuk BI Fast (DEWI FAJAR KESU/)  VA 2555932232401028  ALMEERA QAIREEN CASSIMIRA REANDA  VA 2555932232401028 </t>
  </si>
  <si>
    <t xml:space="preserve">079 - Transfer Masuk BI Fast (ZUHAIDA/M R Zafran 3mekah)  VA 2555932232401157  MUHAMMAD RAJENDRA ZAFRAN ARKATAMA  VA 2555932232401157 </t>
  </si>
  <si>
    <t xml:space="preserve">079 - Transfer Masuk BI Fast (RAMANDA/SPP Kaneishia Oktober 2025)  VA 2555932242501047  KANEISHIA ANNIRA DIVYANISA  VA 2555932242501047 </t>
  </si>
  <si>
    <t xml:space="preserve">079 - Transfer Masuk BI Fast (RAMANDA/SPP Kinara Oktober 2025)  VA 2555932202101050  KINARA SHAIRA NATHANIA  VA 2555932202101050 </t>
  </si>
  <si>
    <t xml:space="preserve">079 - Transfer Masuk BI Fast (HENY WIDYANTI/-)  VA 2555932232401168  HUMAIRA ADZANIA NITINEGORO  VA 2555932232401168 </t>
  </si>
  <si>
    <t xml:space="preserve">079 - Transfer Masuk BI Fast (HENY WIDYANTI/-)  VA 2555932252601183  HANAKA ALFARIZQY NITINEGORO  VA 2555932252601183 </t>
  </si>
  <si>
    <t xml:space="preserve">079 - Transfer Masuk BI Fast (USWATUN KHASANAH/Lainnya)  VA 2555932212201073  MUHAMMAD ADNAN KHIAR RAFANDRA  VA 2555932212201073 </t>
  </si>
  <si>
    <t xml:space="preserve">079 - Transfer Masuk BI Fast (RISTA YULIASARI/)  VA 2555932232401152  NAYYARA ILONA MYSHA  VA 2555932232401152 </t>
  </si>
  <si>
    <t xml:space="preserve">079 - Transfer Masuk BI Fast (STEPHANY PRATIWI/Lainnya)  VA 2555932212201007  KEENAN DEFA CAHYADI  VA 2555932212201007 </t>
  </si>
  <si>
    <t xml:space="preserve">079 - Transfer Masuk BI Fast (STEPHANY PRATIWI/Lainnya)  VA 2555932242501027  KAI DEFA CAHYADI.  VA 2555932242501027 </t>
  </si>
  <si>
    <t xml:space="preserve">079 - Transfer Masuk BI Fast (FLIPTECH LENTERA INSPIRASI PERTIWI/Azkia)  VA 2555932212202123  AZKIA CALLISTA RAHMA INDRIANTO  VA 2555932212202123 </t>
  </si>
  <si>
    <t xml:space="preserve">079 - Transfer Masuk BI Fast (BUDI USMAN/Lainnya)  VA 2555932212201044  IBRAHIM AHZA ABDILAH  VA 2555932212201044 </t>
  </si>
  <si>
    <t xml:space="preserve">079 - Transfer Masuk BI Fast (BUDI USMAN/Lainnya)  VA 2555932242501051  MUHAMMAD HABEEL RAMADHAN  VA 2555932242501051 </t>
  </si>
  <si>
    <t xml:space="preserve">079 - Transfer Masuk BI Fast (ILHAM MUGHNI/)  VA 2555932252601016  NAZAFARIN ANSARA MUGHNI  VA 2555932252601016 </t>
  </si>
  <si>
    <t xml:space="preserve">079 - Transfer Masuk BI Fast (NUR APRILIANI FURITA/Byr spp)  VA 2555932232401173  DARIELL AHMAD RHEVANSHAH  VA 2555932232401173 </t>
  </si>
  <si>
    <t xml:space="preserve">079 - Transfer Masuk BI Fast (AULY RIZKIA/-)  VA 2555932252601011  MUHAMMAD YAZID HERMAWAN  VA 2555932252601011 </t>
  </si>
  <si>
    <t xml:space="preserve">079 - Transfer Masuk BI Fast (AULY RIZKIA/-)  VA 2555932232401166  SAYYIDINA MUHAMMAD HERMAWAN  VA 2555932232401166 </t>
  </si>
  <si>
    <t xml:space="preserve">079 - Transfer Masuk BI Fast (PUTRI RATNA SARI/-)  VA 2555932232401023  SHANELL SAFFANA PRAWIRA  VA 2555932232401023 </t>
  </si>
  <si>
    <t xml:space="preserve">079 - Transfer Masuk BI Fast (PATRIANTO RIVANI/Lainnya)  VA 2555932222301027  ADELARD RONALDO RIVANI  VA 2555932222301027 </t>
  </si>
  <si>
    <t xml:space="preserve">079 - Transfer Masuk BI Fast (RATIH RISNAWATI/)  VA 2555932252601034  ADIKA ZAYYAN RINALDI  VA 2555932252601034 </t>
  </si>
  <si>
    <t xml:space="preserve">079 - Transfer Masuk BI Fast (ATHENA ALIA GAFUR IR/-)  VA 2555932212201001  AL BARKLA ABHIESEKA HENDRAWAN  VA 2555932212201001 </t>
  </si>
  <si>
    <t xml:space="preserve">079 - Transfer Masuk BI Fast (FLIPTECH LENTERA INSPIRASI PERTIWI/Iuran)  VA 2555932202101022  KARINDRA NADYA K  VA 2555932202101022 </t>
  </si>
  <si>
    <t xml:space="preserve">079 - Transfer Masuk BI Fast (TUTUT TRIYANTI/-)  VA 2555932202101045  HATTA WALY GHANI  VA 2555932202101045 </t>
  </si>
  <si>
    <t xml:space="preserve">079 - Transfer Masuk BI Fast (RISKA PURWITASARI/-)  VA 2555932222303172  AL AFHAM MUFAZZAL JAELANI 3  VA 2555932222303172 </t>
  </si>
  <si>
    <t xml:space="preserve">079 - Transfer Masuk BI Fast (RISKA PURWITASARI/-)  VA 2555932222301175  Muhammad Zain El Ghaly Jaelani  VA 2555932222301175 </t>
  </si>
  <si>
    <t xml:space="preserve">079 - Transfer Masuk BI Fast (DIANA OKTAVIA/)  VA 2555932252601110  ARSAKHA ADIABBAD  VA 2555932252601110 </t>
  </si>
  <si>
    <t xml:space="preserve">079 - Transfer Masuk BI Fast (ANATA LIHACHA SE/-)  VA 2555932212201108  FARRAND BARKAH ECHSANY  VA 2555932212201108 </t>
  </si>
  <si>
    <t>TANGGAL 01-30 NOVEMBER 2025</t>
  </si>
  <si>
    <t>'25110176001670204479</t>
  </si>
  <si>
    <t xml:space="preserve">079 - Transfer Masuk BI Fast (HERI PURNOMO/Spp november)  VA 2555932242501107  MUHAMMAD MIKAEEL GIBRAN AVICENNA  VA 2555932242501107 </t>
  </si>
  <si>
    <t>'25110176001621443294</t>
  </si>
  <si>
    <t>'25110176001101418531</t>
  </si>
  <si>
    <t xml:space="preserve">079 - Transfer Masuk BI Fast (PUTRI NINA ROKHMANIA/SPP Nov Rayvangga 6)  VA 2555932202101047  RAYVANGGA PUTRA HARDIAN  VA 2555932202101047 </t>
  </si>
  <si>
    <t>'25110176001731442703</t>
  </si>
  <si>
    <t>'25110176001081442125</t>
  </si>
  <si>
    <t>'25110176001571444261</t>
  </si>
  <si>
    <t xml:space="preserve">079 - Transfer Masuk BI Fast (ENJANG JATMIKA/)  VA 2555932242501034  RAIQA PUTRI ADINDIKA  VA 2555932242501034 </t>
  </si>
  <si>
    <t>'25110176001980235816</t>
  </si>
  <si>
    <t>'25110176000271444303</t>
  </si>
  <si>
    <t xml:space="preserve">079 - Transfer Masuk BI Fast (BIMA KAWINDRA/SPP Rei November 2025)  VA 2555932212201002  NARENDRA KHAIRAN KAWINDRA  VA 2555932212201002 </t>
  </si>
  <si>
    <t>'25110176001551444061</t>
  </si>
  <si>
    <t xml:space="preserve">079 - Transfer Masuk BI Fast (LAILI DWI INSYANI/SPP November Almahyra)  VA 2555932242501003  ALMAHYRA QIRANI HERDIANTA  VA 2555932242501003 </t>
  </si>
  <si>
    <t>'25110176000660813975</t>
  </si>
  <si>
    <t xml:space="preserve">079 - Transfer Masuk BI Fast (CANDRA PUTRA ARDI PR/KENSYAKIRA MADINAH)  VA 2555932252601128  KENSYAKIRA NAMARA  VA 2555932252601128 </t>
  </si>
  <si>
    <t>'25110188003540180340</t>
  </si>
  <si>
    <t xml:space="preserve">014 - Transfer Masuk  VA 2555932212201099  DANISH FAUZA ANWAR  6420 008 9000014618723 SAIFUL ANWAR </t>
  </si>
  <si>
    <t>'25110176000230237292</t>
  </si>
  <si>
    <t>'25110176000861119325</t>
  </si>
  <si>
    <t xml:space="preserve">079 - Transfer Masuk BI Fast (EVI PRIYANTI/Spp September 2025)  VA 2555932252601041  SAQEENARAVA LASHIRA ALIREDJA  VA 2555932252601041 </t>
  </si>
  <si>
    <t>'25110176001810222673</t>
  </si>
  <si>
    <t xml:space="preserve">079 - Transfer Masuk BI Fast (KHARINA YUFIN PUTRI/Maiza 1 mina)  VA 2555932252601184  MAIZA RAFANIA KHAIREEN HARAHAP  VA 2555932252601184 </t>
  </si>
  <si>
    <t>'25110176000730206575</t>
  </si>
  <si>
    <t>'25110188002140185100</t>
  </si>
  <si>
    <t xml:space="preserve">014 - Transfer Masuk  VA 2555932252601151  ZIANKA SHAKILA PUTRI WAHYUDI  9330 535 446000004010 ShopeePay </t>
  </si>
  <si>
    <t>'25110176001881444116</t>
  </si>
  <si>
    <t xml:space="preserve">079 - Transfer Masuk BI Fast (HERI SETIAWAN/-)  VA 2555932232401024  DIZA NOUMIRA HANIFA  VA 2555932232401024 </t>
  </si>
  <si>
    <t>'25110176001090204395</t>
  </si>
  <si>
    <t xml:space="preserve">079 - Transfer Masuk BI Fast (INDAH NURJANAH/Alula spp novmber)  VA 2555932212201003  ALULA ABELIA  VA 2555932212201003 </t>
  </si>
  <si>
    <t>'25110176000551444218</t>
  </si>
  <si>
    <t xml:space="preserve">079 - Transfer Masuk BI Fast (CATUR RAHARJO/-)  VA 2555932222301142  KANAYA REINA DEWI  VA 2555932222301142 </t>
  </si>
  <si>
    <t>'25110176001181443573</t>
  </si>
  <si>
    <t>'25110176000980319247</t>
  </si>
  <si>
    <t xml:space="preserve">079 - Transfer Masuk BI Fast (NURLEILY/Spp Ghani)  VA 2555932222301158  GHANI RASYID SUHENDRA  VA 2555932222301158 </t>
  </si>
  <si>
    <t>'25110176000340213000</t>
  </si>
  <si>
    <t xml:space="preserve">079 - Transfer Masuk BI Fast (YUYUN GUNDARA/SPP Ustman Nov 25)  VA 2555932222301112  USTMAN RAYA BAGASTYA  VA 2555932222301112 </t>
  </si>
  <si>
    <t>'25110176001531444353</t>
  </si>
  <si>
    <t xml:space="preserve">079 - Transfer Masuk BI Fast (YUYUN GUNDARA/SPP Umar Nov 25)  VA 2555932222301111  UMAR RAKA BAGASTYA  VA 2555932222301111 </t>
  </si>
  <si>
    <t>'25110176001841444474</t>
  </si>
  <si>
    <t xml:space="preserve">079 - Transfer Masuk BI Fast (CHRISTIANI/spp arjuna nov 2025)  VA 2555932212201080  ARJUNA ZHAFRAN KHAIRY  VA 2555932212201080 </t>
  </si>
  <si>
    <t>'25110176001010209884</t>
  </si>
  <si>
    <t xml:space="preserve">079 - Transfer Masuk BI Fast (REZA ALFINA RAMADHANY/Spp Andhisya)  VA 2555932252601155  ANDHISYA AQILA PUTRI  VA 2555932252601155 </t>
  </si>
  <si>
    <t>'25110188109790083788</t>
  </si>
  <si>
    <t xml:space="preserve">242 - Pemindahbukuan via ATM  VA 2555932252601127  KEINARRA ALIFYA NOUSHAFARIN  1168 2555932252601127 YAYASAN BINA   /KE </t>
  </si>
  <si>
    <t>'25110176000620204623</t>
  </si>
  <si>
    <t xml:space="preserve">079 - Transfer Masuk BI Fast (RUSIYATI/SPP November)  VA 2555932242501113  SALMAN HASAN ARRASYID  VA 2555932242501113 </t>
  </si>
  <si>
    <t>'25110176000501443542</t>
  </si>
  <si>
    <t>'25110176000320614075</t>
  </si>
  <si>
    <t>'25110176000370203799</t>
  </si>
  <si>
    <t>'25110176000101444804</t>
  </si>
  <si>
    <t xml:space="preserve">079 - Transfer Masuk BI Fast (RICKY TANSZAH FADHIL/SPP November 2025)  VA 2555932212201019  NAYLA HASNA FADHILAH  VA 2555932212201019 </t>
  </si>
  <si>
    <t>'25110176000240315023</t>
  </si>
  <si>
    <t xml:space="preserve">079 - Transfer Masuk BI Fast (LISNA HARFIANI/SPP Nov Mihrima 5 Mina)  VA 2555932232403200  MIHRIMA ALEXANDRIA EMPIRA  VA 2555932232403200 </t>
  </si>
  <si>
    <t>'25110176000161166306</t>
  </si>
  <si>
    <t xml:space="preserve">079 - Transfer Masuk BI Fast (YUNITA FIRMANSYAH/Spp khansa bulan oktob)  VA 2555932232401008  KHANSA NAILAH MAHARDIKA  VA 2555932232401008 </t>
  </si>
  <si>
    <t>'25110176000630319868</t>
  </si>
  <si>
    <t>'25110176000051445663</t>
  </si>
  <si>
    <t>'25110176000480204110</t>
  </si>
  <si>
    <t xml:space="preserve">079 - Transfer Masuk BI Fast (ENENG NITA NURMALA/DANA20251101DANAIDJ10)  VA 2555932212201048  MUHAMMAD SAYYID ABDILLAH MUSYAFFA  VA 2555932212201048 </t>
  </si>
  <si>
    <t>'25110176001611118550</t>
  </si>
  <si>
    <t>'25110176001561444939</t>
  </si>
  <si>
    <t xml:space="preserve">079 - Transfer Masuk BI Fast (ADHITYA DWI ANDRIANS/)  VA 2555932232401044  EGIDIO ANDRIAN KEILANO  VA 2555932232401044 </t>
  </si>
  <si>
    <t>'25110176000110221886</t>
  </si>
  <si>
    <t>'25110176000381069146</t>
  </si>
  <si>
    <t>'25110176000310236110</t>
  </si>
  <si>
    <t xml:space="preserve">079 - Transfer Masuk BI Fast (EDI HARYADI/SPP NOV AURORA)  VA 2555932232401185  SHAFIYYAH KHANZA AURORA  VA 2555932232401185 </t>
  </si>
  <si>
    <t>'25110176000310236134</t>
  </si>
  <si>
    <t xml:space="preserve">079 - Transfer Masuk BI Fast (BINNA NITYA NATANEGARA/SPP November 2025)  VA 2555932232401162  ABIYA SHAULA MECCA  VA 2555932232401162 </t>
  </si>
  <si>
    <t>'25110188107290172013</t>
  </si>
  <si>
    <t xml:space="preserve">242 - Pemindahbukuan via ATM  VA 2555932202101049  LEVINA ATHIYA WAHYUDI  9292 2555932202101049 YAYASAN BINA   /LE </t>
  </si>
  <si>
    <t>'25110176000131444978</t>
  </si>
  <si>
    <t>'25110176000750236738</t>
  </si>
  <si>
    <t>'25110188003310180761</t>
  </si>
  <si>
    <t xml:space="preserve">014 - Transfer Masuk  VA 2555932202101030  GIRISHA SENNA WARANGGANI  1158 008 1300012839802 WILDA HISANI 3090 </t>
  </si>
  <si>
    <t>'25110188003380181722</t>
  </si>
  <si>
    <t xml:space="preserve">014 - Transfer Masuk  VA 2555932222301031  KAIVANDRA ARGYA MANDAKA  6812 008 1300012839802 WILDA HISANI 3090 </t>
  </si>
  <si>
    <t>'25110276000730207645</t>
  </si>
  <si>
    <t xml:space="preserve">079 - Transfer Masuk BI Fast (Wurandika Chloridianti/SppArikanov25)  VA 2555932242501101  ARIKA ALMASHYRA PRASETYO  VA 2555932242501101 </t>
  </si>
  <si>
    <t>'25110288003540180501</t>
  </si>
  <si>
    <t xml:space="preserve">014 - Transfer Masuk  VA 2555932232401035  HATI ALDARIYA NOER  3252 451 7215772009 HARTATI </t>
  </si>
  <si>
    <t>'25110276000220483856</t>
  </si>
  <si>
    <t xml:space="preserve">079 - Transfer Masuk BI Fast (FLIPTECH LENTERA INSPIRASI PERTIWI/FLP97)  VA 2555932232401139  MIKAYLA PUTRI ANDANI  VA 2555932232401139 </t>
  </si>
  <si>
    <t>'25110276000320614810</t>
  </si>
  <si>
    <t xml:space="preserve">079 - Transfer Masuk BI Fast (NURUL MULAZAMAH/SPP bulan nov)  VA 2555932252601006  MUHAMMAD GIBRAN ARSHAKA  VA 2555932252601006 </t>
  </si>
  <si>
    <t>'25110276001511410708</t>
  </si>
  <si>
    <t xml:space="preserve">079 - Transfer Masuk BI Fast (ADINDA DWI LESTARI/Spp November)  VA 2555932222301014  AHMAD FADGHAM ABIZAR  VA 2555932222301014 </t>
  </si>
  <si>
    <t>'25110276000840239371</t>
  </si>
  <si>
    <t xml:space="preserve">079 - Transfer Masuk BI Fast (ADINDA DWI LESTARI/Spp athalla november)  VA 2555932242501032  AHMAD ATHALLA ZAYN UWAIS  VA 2555932242501032 </t>
  </si>
  <si>
    <t>'25110276000970320377</t>
  </si>
  <si>
    <t xml:space="preserve">079 - Transfer Masuk BI Fast (DIAH KUSUMAWATI/Spp yusuf 2 mekkah nov 2)  VA 2555932242501144  ALFARIZQI YUSUF ATHALLA  VA 2555932242501144 </t>
  </si>
  <si>
    <t>'25110276000501444334</t>
  </si>
  <si>
    <t xml:space="preserve">079 - Transfer Masuk BI Fast (NOVI LIANA DIANTI/Salsabila 4 mekkah Nov)  VA 2555932222301028  SALSABILA RAYYA DIRVIANA  VA 2555932222301028 </t>
  </si>
  <si>
    <t>'25110276000611445511</t>
  </si>
  <si>
    <t xml:space="preserve">079 - Transfer Masuk BI Fast (MILAWATI/-)  VA 2555932222301033  MIKA WIKMA KUSTANTO  VA 2555932222301033 </t>
  </si>
  <si>
    <t>'25110276000561445066</t>
  </si>
  <si>
    <t xml:space="preserve">079 - Transfer Masuk BI Fast (MILAWATI/-)  VA 2555932252601045  SURYA RAMADAN WIKMA KUSTANTO  VA 2555932252601045 </t>
  </si>
  <si>
    <t>'25110276000511445425</t>
  </si>
  <si>
    <t>'25110276001940212902</t>
  </si>
  <si>
    <t xml:space="preserve">079 - Transfer Masuk BI Fast (RENI SETYOWATI SPSI/spp bln nov 2025 ali)  VA 2555932202101065  ALIKA NAURA ROSEKAMILA DARMAWAN  VA 2555932202101065 </t>
  </si>
  <si>
    <t>'25110276001451446179</t>
  </si>
  <si>
    <t xml:space="preserve">079 - Transfer Masuk BI Fast (SUSISWO/Spp Nov 2025)  VA 2555932242501104  REIFANSYAH YOGA PRATAMA  VA 2555932242501104 </t>
  </si>
  <si>
    <t>'25110276000090200581</t>
  </si>
  <si>
    <t xml:space="preserve">079 - Transfer Masuk BI Fast (RADHITYO AJI KUSUMO/SPP November 2025 Al)  VA 2555932252601104  ALAMANDA HAURA RABBANI  VA 2555932252601104 </t>
  </si>
  <si>
    <t>'25110276001200208479</t>
  </si>
  <si>
    <t xml:space="preserve">079 - Transfer Masuk BI Fast (FARIDA YULIANI/SPP november)  VA 2555932212201028  ARINDA KHAIRA LUBNA.  VA 2555932212201028 </t>
  </si>
  <si>
    <t>'25110276001841446096</t>
  </si>
  <si>
    <t>'25110276000131446091</t>
  </si>
  <si>
    <t xml:space="preserve">079 - Transfer Masuk BI Fast (METTA CHANDRASASI/SPP Nov 2025)  VA 2555932242501011  MYKAYLLA TAVISHA NAFIANA  VA 2555932242501011 </t>
  </si>
  <si>
    <t>'25110276001090206384</t>
  </si>
  <si>
    <t xml:space="preserve">079 - Transfer Masuk BI Fast (METTA CHANDRASASI/Spp No 2025)  VA 2555932222303141  MIKHAIL YUSUF NAFIANA  VA 2555932222303141 </t>
  </si>
  <si>
    <t>'25110276000181446057</t>
  </si>
  <si>
    <t>'25110276000551446297</t>
  </si>
  <si>
    <t>'25110376000340215139</t>
  </si>
  <si>
    <t xml:space="preserve">079 - Transfer Masuk BI Fast (FLIPTECH LENTERA INSPIRASI PERTIWI/Spp A)  VA 2555932252601112  AYANADHIRA QANITA  VA 2555932252601112 </t>
  </si>
  <si>
    <t>'25110388106610065899</t>
  </si>
  <si>
    <t xml:space="preserve">242 - Pemindahbukuan via ATM  VA 2555932252601144  RAFAEYZA ARSHAKA KAAMIL NUGROHO  9208 2555932252601144 YAYASAN BINA   /RA </t>
  </si>
  <si>
    <t>'25110376000980321459</t>
  </si>
  <si>
    <t>'25110376001271122156</t>
  </si>
  <si>
    <t xml:space="preserve">079 - Transfer Masuk BI Fast (SITI DWI RIYANTI/SPP Axello November 202)  VA 2555932202101032  GILBY AXELLO MAULANA  VA 2555932202101032 </t>
  </si>
  <si>
    <t>'25110376001291446485</t>
  </si>
  <si>
    <t xml:space="preserve">079 - Transfer Masuk BI Fast (LINDA DWI CAHYA PUTR/SPP Mikhayla 1 Madi)  VA 2555932252601133  MIKHAYLA LANIKA MISHALL  VA 2555932252601133 </t>
  </si>
  <si>
    <t>'25110376001240215469</t>
  </si>
  <si>
    <t xml:space="preserve">079 - Transfer Masuk BI Fast (SAEPUL ANWAR/SPP NOVEMBER)  VA 2555932222301130  KEENAN NOAH AL FATIH.  VA 2555932222301130 </t>
  </si>
  <si>
    <t>'25110388002510185603</t>
  </si>
  <si>
    <t xml:space="preserve">014 - Transfer Masuk  VA 2555932212201053  JIHAN KAMILIA  3591 535 901586855428 ADI PERMANA </t>
  </si>
  <si>
    <t>'25110376001121446638</t>
  </si>
  <si>
    <t xml:space="preserve">079 - Transfer Masuk BI Fast (MUHAMMAD ARDYANTHO/Lainnya)  VA 2555932242501132  KHAYRA NUR AISHA  VA 2555932242501132 </t>
  </si>
  <si>
    <t>'25110376000290316764</t>
  </si>
  <si>
    <t xml:space="preserve">079 - Transfer Masuk BI Fast (ROSDIANA RAMLI/Spp nadia shafira gumay)  VA 2555932232402195  NADIA SHAFIRA GUMAY..  VA 2555932232402195 </t>
  </si>
  <si>
    <t>'25110376001401445584</t>
  </si>
  <si>
    <t xml:space="preserve">079 - Transfer Masuk BI Fast (ROSDIANA RAMLI/Spp naira intan gumay)  VA 2555932242501030  NAIRA INTAN GUMAY  VA 2555932242501030 </t>
  </si>
  <si>
    <t>'25110376001810225302</t>
  </si>
  <si>
    <t xml:space="preserve">079 - Transfer Masuk BI Fast (YESSICA MEGA APRITA/SPP Laitsa bulan Nov)  VA 2555932252601101  LAITSA HASHI PRADANA  VA 2555932252601101 </t>
  </si>
  <si>
    <t>'25110376001231446043</t>
  </si>
  <si>
    <t>'25110376001950205903</t>
  </si>
  <si>
    <t xml:space="preserve">079 - Transfer Masuk BI Fast (HERLIA NURFITRI SAID/Spp adhit november)  VA 2555932222301007  SAFARAZ ADHITAMA WIJAYA  VA 2555932222301007 </t>
  </si>
  <si>
    <t>'25110376000701446466</t>
  </si>
  <si>
    <t xml:space="preserve">079 - Transfer Masuk BI Fast (FLIPTECH LENTERA INSPIRASI PERTIWI/SPP O)  VA 2555932222301016  ARSAKHA NARENDRA PRATAMA  VA 2555932222301016 </t>
  </si>
  <si>
    <t>'25110376001551447045</t>
  </si>
  <si>
    <t xml:space="preserve">079 - Transfer Masuk BI Fast (ANDITANIA SARI/spp hanania aufa jennaira)  VA 2555932242501031  HANANIA AUFA JENNAIRA  VA 2555932242501031 </t>
  </si>
  <si>
    <t>'25110376001061206938</t>
  </si>
  <si>
    <t xml:space="preserve">079 - Transfer Masuk BI Fast (RISKA WULAN MERDIANI/SPP Nacita 2 Marwah)  VA 2555932242501128  NACITA SHANUMDIYA ESTEL  VA 2555932242501128 </t>
  </si>
  <si>
    <t>'25110388106380069591</t>
  </si>
  <si>
    <t xml:space="preserve">242 - Pemindahbukuan via ATM  VA 2555932242501024  SULTHAN ALVARO AGHNA AL AMIN  8277 2555932242501024 YAYASAN BINA   /SU </t>
  </si>
  <si>
    <t>'25110388107660148789</t>
  </si>
  <si>
    <t xml:space="preserve">242 - Pemindahbukuan via ATM  VA 2555932242501025  QUINN ARSYILA ZARA AL AMIN  8279 2555932242501025 YAYASAN BINA   /QU </t>
  </si>
  <si>
    <t>'25110388000670184661</t>
  </si>
  <si>
    <t xml:space="preserve">014 - Transfer Masuk  VA 2555932202101068  NEYSHA AULIA R  4005 009 332829281 BPK RAHMAN  PASISANG </t>
  </si>
  <si>
    <t>'25110376001931445131</t>
  </si>
  <si>
    <t xml:space="preserve">079 - Transfer Masuk BI Fast (RIKA ERINA/Rania bulan November)  VA 2555932232401101  Rania Ameera Althafunnisa  VA 2555932232401101 </t>
  </si>
  <si>
    <t>'25110376000320616489</t>
  </si>
  <si>
    <t xml:space="preserve">079 - Transfer Masuk BI Fast (FARIDA ARI SURYANI/SPP Aya Nov 25)  VA 2555932202101034  NAFAYA KIREINA AZIZI  VA 2555932202101034 </t>
  </si>
  <si>
    <t>'25110376001161447976</t>
  </si>
  <si>
    <t xml:space="preserve">079 - Transfer Masuk BI Fast (INDAH INDRIYANTI/Spp Darel bulan novembe)  VA 2555932232401112  DAREL ELJABAR FIRGIAWAN  VA 2555932232401112 </t>
  </si>
  <si>
    <t>'25110376001161447981</t>
  </si>
  <si>
    <t xml:space="preserve">079 - Transfer Masuk BI Fast (IKA LINAWATI/spp okt)  VA 2555932212201066  AGHA FAEYZA ALFARIZI  VA 2555932212201066 </t>
  </si>
  <si>
    <t>'25110376001050200398</t>
  </si>
  <si>
    <t xml:space="preserve">079 - Transfer Masuk BI Fast (IKA LINAWATI/spp nov)  VA 2555932212201066  AGHA FAEYZA ALFARIZI  VA 2555932212201066 </t>
  </si>
  <si>
    <t>'25110376001970817043</t>
  </si>
  <si>
    <t>'25110376000410239086</t>
  </si>
  <si>
    <t xml:space="preserve">079 - Transfer Masuk BI Fast (RENDY RHOMADANNIUS/spp november 2025)  VA 2555932232401015  CARRIOSSA ELMINA DERMAWAN  VA 2555932232401015 </t>
  </si>
  <si>
    <t>'25110376000351447113</t>
  </si>
  <si>
    <t xml:space="preserve">079 - Transfer Masuk BI Fast (MIFTA ULI NUR ELOK/SPP Zahra Bln okt 25)  VA 2555932242501040  ZAHRA MAULIDYA AQILA FATHUR  VA 2555932242501040 </t>
  </si>
  <si>
    <t>'25110376000721446587</t>
  </si>
  <si>
    <t xml:space="preserve">079 - Transfer Masuk BI Fast (CECENG KUSMAYADI/Spp bulan November 2025)  VA 2555932232401006  ANNASYA MOUZA KUSMAYADI  VA 2555932232401006 </t>
  </si>
  <si>
    <t>'25110376001440208543</t>
  </si>
  <si>
    <t xml:space="preserve">079 - Transfer Masuk BI Fast (MIFTA ULI NUR ELOK/SPP Elif 4 mina okt 2)  VA 2555932222301024  KEISHA ELIF FATHUR LATIF  VA 2555932222301024 </t>
  </si>
  <si>
    <t>'25110376000650156998</t>
  </si>
  <si>
    <t xml:space="preserve">079 - Transfer Masuk BI Fast (SU'AT NAJMAH/SPP Nov Athafariz)  VA 2555932232401158  ATHAFARIZ FAEYZA FATHURRAHMAN  VA 2555932232401158 </t>
  </si>
  <si>
    <t>'25110376000150219816</t>
  </si>
  <si>
    <t xml:space="preserve">079 - Transfer Masuk BI Fast (ILHAM ROIS UMAMI/SPP November 25)  VA 2555932232401022  ADAM SYARIF NUR ROMADHON  VA 2555932232401022 </t>
  </si>
  <si>
    <t>'25110376001420206720</t>
  </si>
  <si>
    <t xml:space="preserve">079 - Transfer Masuk BI Fast (IDA SUNARTI/spp bln November 2025)  VA 2555932252601140  NAZRIL GIBRAN HAFUZA  VA 2555932252601140 </t>
  </si>
  <si>
    <t>'25110376000051448562</t>
  </si>
  <si>
    <t xml:space="preserve">079 - Transfer Masuk BI Fast (WAHYU PRAYOGA SP MAB/SPP 2 BULAN)  VA 2555932212201008  AL FATIH RAMADHAN DEWANTORO  VA 2555932212201008 </t>
  </si>
  <si>
    <t>'25110376001770239672</t>
  </si>
  <si>
    <t>'25110376000570613143</t>
  </si>
  <si>
    <t>'25110388105260070270</t>
  </si>
  <si>
    <t xml:space="preserve">242 - Pemindahbukuan via ATM  VA 2555932212201009  RATU ADZKIYA FAKHIRAH SHAKILA  8807 2555932212201009 YAYASAN BINA   /RA </t>
  </si>
  <si>
    <t>'25110476000101448074</t>
  </si>
  <si>
    <t xml:space="preserve">079 - Transfer Masuk BI Fast (SUGIH HERNAWAN/spp nov ibnu hafizh 3 min)  VA 2555932242502184  IBNU HAFIZH HERNAWAN  VA 2555932242502184 </t>
  </si>
  <si>
    <t>'25110488003360180057</t>
  </si>
  <si>
    <t xml:space="preserve">014 - Transfer Masuk  VA 2555932242504138  QABSHA FAIRUZ ZAFFAN  5393 008 1440012370083 SULISTIO HARIYATI </t>
  </si>
  <si>
    <t>'25110488001740183940</t>
  </si>
  <si>
    <t xml:space="preserve">014 - Transfer Masuk  VA 2555932252601143  QAIREEN FELISHA ZEEVAH  2856 008 1440012370083 SULISTIO HARIYATI </t>
  </si>
  <si>
    <t>'25110476000760199472</t>
  </si>
  <si>
    <t>'25110476001240216907</t>
  </si>
  <si>
    <t xml:space="preserve">079 - Transfer Masuk BI Fast (YAHYA/Bayar SPP Sept dan Okt)  VA 2555932252601125  HULYAH SYAUQINA YAHYA  VA 2555932252601125 </t>
  </si>
  <si>
    <t>'25110476000991448238</t>
  </si>
  <si>
    <t>'25110476000220486571</t>
  </si>
  <si>
    <t>'25110476001571448547</t>
  </si>
  <si>
    <t xml:space="preserve">079 - Transfer Masuk BI Fast (SULVIANA/Spp grizelle november)  VA 2555932252601007  GRIZELLE ALYNA SAYYIDATUL FARIIDAH  VA 2555932252601007 </t>
  </si>
  <si>
    <t>'25110476001420207210</t>
  </si>
  <si>
    <t>'25110476000541448603</t>
  </si>
  <si>
    <t xml:space="preserve">079 - Transfer Masuk BI Fast (NANI/SPP Nada November)  VA 2555932222301146  NADA LATISHA ANJANI  VA 2555932222301146 </t>
  </si>
  <si>
    <t>'25110476001130240374</t>
  </si>
  <si>
    <t xml:space="preserve">079 - Transfer Masuk BI Fast (GUNGUN AGUSTINA/-)  VA 2555932252601191  SYIHA DEWI AGUSTINA  VA 2555932252601191 </t>
  </si>
  <si>
    <t>'25110476001651448479</t>
  </si>
  <si>
    <t>'25110476000480207630</t>
  </si>
  <si>
    <t xml:space="preserve">079 - Transfer Masuk BI Fast (DURROTUN NI'MAH/Spp Oktober Faishal)  VA 2555932212201081  MUHAMMAD FAISHAL AL NAFIS  VA 2555932212201081 </t>
  </si>
  <si>
    <t>'25110476001751448819</t>
  </si>
  <si>
    <t xml:space="preserve">079 - Transfer Masuk BI Fast (AGUS IMAN NOFIAN/Adyatama safaraz hamiza)  VA 2555932222301012  ADYATAMA SAFARAZ HAMIZAN.  VA 2555932222301012 </t>
  </si>
  <si>
    <t>'25110476001531448415</t>
  </si>
  <si>
    <t xml:space="preserve">079 - Transfer Masuk BI Fast (RINI PUSPITAWATI DEW/Lainnya)  VA 2555932212201011  AQILA RACHMA ALMIRA  VA 2555932212201011 </t>
  </si>
  <si>
    <t>'25110476000871447873</t>
  </si>
  <si>
    <t xml:space="preserve">079 - Transfer Masuk BI Fast (NURUL CAHYARANI/)  VA 2555932242501102  ARZANKA YOSHI ARKA  VA 2555932242501102 </t>
  </si>
  <si>
    <t>'25110476000611448544</t>
  </si>
  <si>
    <t>'25110476001491448365</t>
  </si>
  <si>
    <t xml:space="preserve">079 - Transfer Masuk BI Fast (AYU NINGTYAS/Spp alaric 4 mekkah novembe)  VA 2555932222301008  ALARIC RAFFASYA SETIAWAN  VA 2555932222301008 </t>
  </si>
  <si>
    <t>'25110476001920220740</t>
  </si>
  <si>
    <t>'25110488002210178682</t>
  </si>
  <si>
    <t xml:space="preserve">014 - Transfer Masuk  VA 2555932202101010  ALEYYA MICHAELA SUPRIATNA  4990 008 1730010750447 SUSI LARINI </t>
  </si>
  <si>
    <t>'25110476000391448774</t>
  </si>
  <si>
    <t xml:space="preserve">079 - Transfer Masuk BI Fast (RIA INDAH SARI/DANA20251104DANAIDJ1010O9)  VA 2555932242501029  INDIRA ALLEASHA ELGANES  VA 2555932242501029 </t>
  </si>
  <si>
    <t>'25110476001271124110</t>
  </si>
  <si>
    <t xml:space="preserve">079 - Transfer Masuk BI Fast (FLIPTECH LENTERA INSPIRASI PERTIWI/spp n)  VA 2555932242501013  KIANO HARSHAD MALIK  VA 2555932242501013 </t>
  </si>
  <si>
    <t>'25110476001191448434</t>
  </si>
  <si>
    <t xml:space="preserve">079 - Transfer Masuk BI Fast (RIKKA FITRIANTY LEST/november 2025)  VA 2555932202101076  RAFFA MULKA MUSHAFA  VA 2555932202101076 </t>
  </si>
  <si>
    <t>'25110476000331440775</t>
  </si>
  <si>
    <t xml:space="preserve">079 - Transfer Masuk BI Fast (RIKKA FITRIANTY LEST/november 2025)  VA 2555932232401181  RANIA ADZRA ALMAHYRA  VA 2555932232401181 </t>
  </si>
  <si>
    <t>'25110488106380069776</t>
  </si>
  <si>
    <t xml:space="preserve">242 - Pemindahbukuan via ATM  VA 2555932252601037  ZAYDAN ABIDZAR AL GHIFARY  0814 2555932252601037 YAYASAN BINA   /ZA </t>
  </si>
  <si>
    <t>'25110488108660148462</t>
  </si>
  <si>
    <t xml:space="preserve">242 - Pemindahbukuan via ATM  VA 2555932252601037  ZAYDAN ABIDZAR AL GHIFARY  1014 2555932252601037 YAYASAN BINA   /ZA </t>
  </si>
  <si>
    <t>'25110488002400189689</t>
  </si>
  <si>
    <t xml:space="preserve">014 - Transfer Masuk  VA 2555932252601176  FAEYZA OKTARIAN  4858 110 PIRTHA AGUS ISNANTI TRANSFER PR </t>
  </si>
  <si>
    <t>'25110488001290179489</t>
  </si>
  <si>
    <t xml:space="preserve">014 - Transfer Masuk  VA 2555932222301116  ADIA FARANISA  4947 110 PIRTHA AGUS ISNANTI TRANSFER PR </t>
  </si>
  <si>
    <t>'25110476001621448087</t>
  </si>
  <si>
    <t xml:space="preserve">079 - Transfer Masuk BI Fast (MELINDA HERDIANTI/Spp nov 2025)  VA 2555932252601146  SABIYA ARUNA DIVYANISA  VA 2555932252601146 </t>
  </si>
  <si>
    <t>'25110488109740152804</t>
  </si>
  <si>
    <t xml:space="preserve">242 - Pemindahbukuan via ATM  VA 2555932212201058  ZULFADHLI EL RASYID  3382 2555932212201058 YAYASAN BINA   /ZU </t>
  </si>
  <si>
    <t>'25110476001970818432</t>
  </si>
  <si>
    <t xml:space="preserve">079 - Transfer Masuk BI Fast (GURUH HARI SUSANTO/SPP Alrescha November)  VA 2555932232401031  ALRESCHA NARESWARA SUSANTO  VA 2555932232401031 </t>
  </si>
  <si>
    <t>'25110476001031448292</t>
  </si>
  <si>
    <t xml:space="preserve">079 - Transfer Masuk BI Fast (RISKA SRI BUDIAWATI/)  VA 2555932252610494  FLORIA ANASTASYA MASQURI  VA 2555932252610494 </t>
  </si>
  <si>
    <t>'25110476000401448752</t>
  </si>
  <si>
    <t>'25110476000650158230</t>
  </si>
  <si>
    <t xml:space="preserve">079 - Transfer Masuk BI Fast (PUTRI NURHAJIZAH/)  VA 2555932222301004  AYUKA ANDINA RUSMIANTO  VA 2555932222301004 </t>
  </si>
  <si>
    <t>'25110476000561448457</t>
  </si>
  <si>
    <t xml:space="preserve">079 - Transfer Masuk BI Fast (DYAH ADAMAYU ANANDA/)  VA 2555932202101089  Nadeen Azzahrakidya Rahmat  VA 2555932202101089 </t>
  </si>
  <si>
    <t>'25110476001931446976</t>
  </si>
  <si>
    <t xml:space="preserve">079 - Transfer Masuk BI Fast (DEDE SUTIYADI/sp mikaiel 4 mekkah)  VA 2555932222301138  MIKAIEL AL FARABY  VA 2555932222301138 </t>
  </si>
  <si>
    <t>'25110476001931447010</t>
  </si>
  <si>
    <t xml:space="preserve">079 - Transfer Masuk BI Fast (RORO ANISA RAWAT/spp aiza nov)  VA 2555932242501133  AIZA GAURI NUHA  VA 2555932242501133 </t>
  </si>
  <si>
    <t>'25110476000210242250</t>
  </si>
  <si>
    <t xml:space="preserve">079 - Transfer Masuk BI Fast (FLIPTECH LENTERA INSPIRASI PERTIWI/SPP B)  VA 2555932222301015  BIANCHA SESYA DEWANTARA  VA 2555932222301015 </t>
  </si>
  <si>
    <t>'25110476000681194204</t>
  </si>
  <si>
    <t>'25110476000370208396</t>
  </si>
  <si>
    <t xml:space="preserve">079 - Transfer Masuk BI Fast (FEBBY NURSANTY/SPP Akmal 6 Madinah Nov 2)  VA 2555932202101052  AKMAL JALALUDIN NUGROHO  VA 2555932202101052 </t>
  </si>
  <si>
    <t>'25110476000420236618</t>
  </si>
  <si>
    <t xml:space="preserve">079 - Transfer Masuk BI Fast (FEBBY NURSANTY/SPP Malik 3 Madinah Nov 2)  VA 2555932232401037  MALIK BAHARUDDIN NUGROHO  VA 2555932232401037 </t>
  </si>
  <si>
    <t>'25110576001231448594</t>
  </si>
  <si>
    <t>'25110576000251449772</t>
  </si>
  <si>
    <t xml:space="preserve">079 - Transfer Masuk BI Fast (YAHYA AWAD/SPP November 2025)  VA 2555932212201059  RAIHAN YAHYA ABUDAN  VA 2555932212201059 </t>
  </si>
  <si>
    <t>'25110576000551449452</t>
  </si>
  <si>
    <t xml:space="preserve">079 - Transfer Masuk BI Fast (ANGGRA HARDIANSYAH, S.SI./spp november)  VA 2555932232401170  NABILA AZZAHRA  VA 2555932232401170 </t>
  </si>
  <si>
    <t>'25110576001271125117</t>
  </si>
  <si>
    <t>'25110576001800821842</t>
  </si>
  <si>
    <t xml:space="preserve">079 - Transfer Masuk BI Fast (ROS ELLIS/Spp November Rayyen Adelio Raf)  VA 2555932232401124  RAYYEN ADELIO RAFAEL  VA 2555932232401124 </t>
  </si>
  <si>
    <t>'25110588004870200152</t>
  </si>
  <si>
    <t xml:space="preserve">014 - Transfer Masuk  VA 2555932212201038  RAHMAN ZULFA  7442 110 0003290794101 MASRI </t>
  </si>
  <si>
    <t>'25110588002510185913</t>
  </si>
  <si>
    <t xml:space="preserve">014 - Transfer Masuk  VA 2555932212201089  KHORIJUL BAHRI AJJAUHARI  0569 002 424201004469531 NASHRUDDIN </t>
  </si>
  <si>
    <t>'25110576002001450417</t>
  </si>
  <si>
    <t>'25110576001491449676</t>
  </si>
  <si>
    <t>'25110576001061209770</t>
  </si>
  <si>
    <t>'25110576001990324845</t>
  </si>
  <si>
    <t>'25110576001780211462</t>
  </si>
  <si>
    <t>'25110576001931448021</t>
  </si>
  <si>
    <t>'25110576001751450449</t>
  </si>
  <si>
    <t>'25110588003620184405</t>
  </si>
  <si>
    <t xml:space="preserve">014 - Transfer Masuk  VA 2555932242501153  GANENDRA FATHA ARFADHYA  3388 451 7177223098 HILMAN RAMDHANI </t>
  </si>
  <si>
    <t>'25110576001511415472</t>
  </si>
  <si>
    <t xml:space="preserve">079 - Transfer Masuk BI Fast (AKHMAD BAHTIAR/an Kei Khumairah Choirul)  VA 2555932232401036  KEI KHUMAIRAH CHOIRUL  VA 2555932232401036 </t>
  </si>
  <si>
    <t>'25110576000620210299</t>
  </si>
  <si>
    <t xml:space="preserve">079 - Transfer Masuk BI Fast (AKHMAD BAHTIAR/an Muhammad Ali Fatih Cho)  VA 2555932202101061  Muhammad Al Fatih Choirul  VA 2555932202101061 </t>
  </si>
  <si>
    <t>'25110576000660820247</t>
  </si>
  <si>
    <t xml:space="preserve">079 - Transfer Masuk BI Fast (ISNIASITA DITIA/)  VA 2555932202101036  AQILLA FEISYA PUTRI ANINDITA  VA 2555932202101036 </t>
  </si>
  <si>
    <t>'25110576001990325317</t>
  </si>
  <si>
    <t xml:space="preserve">079 - Transfer Masuk BI Fast (FEMTINE WIRDITIANI DRG/Spp bulan okt)  VA 2555932222301172  DIRGAHAYU ARJUNA PASHA  VA 2555932222301172 </t>
  </si>
  <si>
    <t>'25110576000641449698</t>
  </si>
  <si>
    <t>'25110576001191450316</t>
  </si>
  <si>
    <t xml:space="preserve">079 - Transfer Masuk BI Fast (Dian Andi Nastiti/Spp nov 2025 - dellano)  VA 2555932242501106  DELLANO ALBY NARESHWARA  VA 2555932242501106 </t>
  </si>
  <si>
    <t>'25110576000280201799</t>
  </si>
  <si>
    <t xml:space="preserve">079 - Transfer Masuk BI Fast (SEPTIAN DENES PRAKASA/-)  VA 2555932242501110  ADAM ALDEBARAN MULYA PRAKASA  VA 2555932242501110 </t>
  </si>
  <si>
    <t>'25110576000660820556</t>
  </si>
  <si>
    <t>'25110576000261449827</t>
  </si>
  <si>
    <t xml:space="preserve">079 - Transfer Masuk BI Fast (META HAPSARI/Spp nov)  VA 2555932202101038  MAULIDYA SARI DEWI  VA 2555932202101038 </t>
  </si>
  <si>
    <t>'25110576000230243927</t>
  </si>
  <si>
    <t xml:space="preserve">079 - Transfer Masuk BI Fast (AGUS SETIA BUDI/spp putri nov 2025)  VA 2555932232401103  PUTRI AULIA  VA 2555932232401103 </t>
  </si>
  <si>
    <t>'25110676001631449564</t>
  </si>
  <si>
    <t xml:space="preserve">079 - Transfer Masuk BI Fast (FLIPTECH LENTERA INSPIRASI PERTIWI/FLP98)  VA 2555932202101079  Naomi Azalea Anari  VA 2555932202101079 </t>
  </si>
  <si>
    <t>'25110676000230244129</t>
  </si>
  <si>
    <t>'25110676000671061634</t>
  </si>
  <si>
    <t>'25110676000340220122</t>
  </si>
  <si>
    <t xml:space="preserve">079 - Transfer Masuk BI Fast (BOBBY SENJAYA/DANA20251106DANAIDJ1010O99)  VA 2555932242501020  AYSHA RAHMA AFIFAH  VA 2555932242501020 </t>
  </si>
  <si>
    <t>'25110676001900229689</t>
  </si>
  <si>
    <t xml:space="preserve">079 - Transfer Masuk BI Fast (TITA PUSPITASARI RUSTAND/Spp moira)  VA 2555932222301159  MOIRA ALODITA RAHADIAN  VA 2555932222301159 </t>
  </si>
  <si>
    <t>'25110676000961450365</t>
  </si>
  <si>
    <t xml:space="preserve">079 - Transfer Masuk BI Fast (SETIYA NUGRAHA/SPP Nov 25)  VA 2555932212201024  CLARISSA ADHISTYA NUGRAHA  VA 2555932212201024 </t>
  </si>
  <si>
    <t>'25110676001661429182</t>
  </si>
  <si>
    <t xml:space="preserve">079 - Transfer Masuk BI Fast (SETIYA NUGRAHA/SPP Nov 2025)  VA 2555932242501048  ELNINO ADHITAMA NUGRAHA  VA 2555932242501048 </t>
  </si>
  <si>
    <t>'25110688109500117777</t>
  </si>
  <si>
    <t xml:space="preserve">242 - Pemindahbukuan via ATM  VA 2555932222301128  AYUDIA INARA PUTRI  0953 2555932222301128 YAYASAN BINA   /AY </t>
  </si>
  <si>
    <t>'25110676000930326696</t>
  </si>
  <si>
    <t xml:space="preserve">079 - Transfer Masuk BI Fast (RINA SITI RUKOYAH/Spp nov 25)  VA 2555932202101063  RHEINA KHANZA N. M  VA 2555932202101063 </t>
  </si>
  <si>
    <t>'25110676001980243643</t>
  </si>
  <si>
    <t xml:space="preserve">079 - Transfer Masuk BI Fast (MACHADI DHANA PRASETYA/)  VA 2555932252601010  MAKKA AFLAN ALNAJHAN  VA 2555932252601010 </t>
  </si>
  <si>
    <t>'25110676000641451144</t>
  </si>
  <si>
    <t xml:space="preserve">079 - Transfer Masuk BI Fast (WIDIASTUTI/SPP NOV ADIBA SHAKILA AZZAHRA)  VA 2555932242501134  ADIBA SHAKILA AZZAHRA SUPARMAN  VA 2555932242501134 </t>
  </si>
  <si>
    <t>'25110676000641451268</t>
  </si>
  <si>
    <t xml:space="preserve">079 - Transfer Masuk BI Fast (FLIPTECH LENTERA INSPIRASI PERTIWI/FLP98)  VA 2555932242504189  Queenisa Al Jannati  VA 2555932242504189 </t>
  </si>
  <si>
    <t>'25110676000681197172</t>
  </si>
  <si>
    <t xml:space="preserve">079 - Transfer Masuk BI Fast (MUHAMMAD ALI KUSUMA/SPP Clemira Bulan No)  VA 2555932252601117  CLEMIRA SYAFIQAH ALIYAH PUTRI  VA 2555932252601117 </t>
  </si>
  <si>
    <t>'25110676001940219530</t>
  </si>
  <si>
    <t xml:space="preserve">079 - Transfer Masuk BI Fast (VEVI YULIANTI/Spp ario nov 2 mekkah)  VA 2555932242501007  ARIO SINGGIH MULYA  VA 2555932242501007 </t>
  </si>
  <si>
    <t>'25110688108120164731</t>
  </si>
  <si>
    <t xml:space="preserve">242 - Pemindahbukuan via ATM  VA 2555932212201006  ADZKIA FAQIHA MUYASSIRAH  9395 2555932212201006 YAYASAN BINA   /AD </t>
  </si>
  <si>
    <t>'25110776001280223168</t>
  </si>
  <si>
    <t xml:space="preserve">079 - Transfer Masuk BI Fast (ISTIQOMAH/kia november 2025)  VA 2555932202101058  ZAKIAH KIREYNAHIKARI SETIOKO  VA 2555932202101058 </t>
  </si>
  <si>
    <t>'25110788000500193633</t>
  </si>
  <si>
    <t xml:space="preserve">014 - Transfer Masuk  VA 2555932212201078  NAFILA ZAHIRA MAULA  9220 110 DODDY RODIYAT MAULA DR TRANSFER </t>
  </si>
  <si>
    <t>'25110776001600207220</t>
  </si>
  <si>
    <t xml:space="preserve">079 - Transfer Masuk BI Fast (KARTIKA WIDJAYANTI/Hiroki Arpi 5 Mekkah)  VA 2555932212201055  HIROKI ARPI  VA 2555932212201055 </t>
  </si>
  <si>
    <t>'25110776001330242112</t>
  </si>
  <si>
    <t xml:space="preserve">079 - Transfer Masuk BI Fast (KARTIKA WIDJAYANTI/Keita Arpi 2 Marwah)  VA 2555932242501052  KEITA ARPI  VA 2555932242501052 </t>
  </si>
  <si>
    <t>'25110776001541451308</t>
  </si>
  <si>
    <t xml:space="preserve">079 - Transfer Masuk BI Fast (RICKY S PUTRA/SPP Nov)  VA 2555932252601139  NAYYARA SHAZFA ALFATIN  VA 2555932252601139 </t>
  </si>
  <si>
    <t>'25110776001451452754</t>
  </si>
  <si>
    <t xml:space="preserve">079 - Transfer Masuk BI Fast (RICKY S PUTRA/SPP Nov)  VA 2555932222301105  NAFEEZA ALIFIYA RAGHDA  VA 2555932222301105 </t>
  </si>
  <si>
    <t>'25110776001151426936</t>
  </si>
  <si>
    <t xml:space="preserve">079 - Transfer Masuk BI Fast (SHINTA AFRIANI/SPP Arshaka November)  VA 2555932232401013  AQLAN ARSHAKA NANDANA  VA 2555932232401013 </t>
  </si>
  <si>
    <t>'25110776001401451394</t>
  </si>
  <si>
    <t xml:space="preserve">079 - Transfer Masuk BI Fast (WAHYUNING AMBARWATI/)  VA 2555932212201032  ANANTA RIZKI GUNAWAN.  VA 2555932212201032 </t>
  </si>
  <si>
    <t>'25110776001861452284</t>
  </si>
  <si>
    <t xml:space="preserve">079 - Transfer Masuk BI Fast (FITRI ELIDA LUBIS/)  VA 2555932212201054  MUHAMMAD ALBI ABADZAR NASUTION  VA 2555932212201054 </t>
  </si>
  <si>
    <t>'25110776001401451491</t>
  </si>
  <si>
    <t>'25110776001340242544</t>
  </si>
  <si>
    <t>'25110776000780327969</t>
  </si>
  <si>
    <t>'25110776000471452411</t>
  </si>
  <si>
    <t xml:space="preserve">079 - Transfer Masuk BI Fast (MEIGI BALKIS SAVITRI/Radhika 2marwah nov)  VA 2555932242501137  RADHIKA ARSHAQ PRAGATA  VA 2555932242501137 </t>
  </si>
  <si>
    <t>'25110776001411451798</t>
  </si>
  <si>
    <t xml:space="preserve">079 - Transfer Masuk BI Fast (NINA MARLINA/Spp bln nov)  VA 2555932212201043  TRISTAN AURELLIO  VA 2555932212201043 </t>
  </si>
  <si>
    <t>'25110776001600207722</t>
  </si>
  <si>
    <t xml:space="preserve">079 - Transfer Masuk BI Fast (MUHAMAD RIFANI ROSA/Spp November)  VA 2555932232401107  ALIFIA RAFANDA ROSA  VA 2555932232401107 </t>
  </si>
  <si>
    <t>'25110776000531452444</t>
  </si>
  <si>
    <t>'25110776001561453028</t>
  </si>
  <si>
    <t>'25110776001751453381</t>
  </si>
  <si>
    <t xml:space="preserve">079 - Transfer Masuk BI Fast (NANIK HADIYATI/trf spp november ghofar 3)  VA 2555932232401130  AHMAD ARYA GHOFARANA  VA 2555932232401130 </t>
  </si>
  <si>
    <t>'25110788003610192722</t>
  </si>
  <si>
    <t xml:space="preserve">014 - Transfer Masuk  VA 2555932222301001  BILQIS NADHIFFA AZZAHRA  0052 008 1320011571883 YENI NURAENI </t>
  </si>
  <si>
    <t>'25110776001050206127</t>
  </si>
  <si>
    <t xml:space="preserve">079 - Transfer Masuk BI Fast (FLIPTECH LENTERA INSPIRASI PERTIWI/FLP98)  VA 2555932222301110  RAFLI YUSUF  VA 2555932222301110 </t>
  </si>
  <si>
    <t>'25110776000580212157</t>
  </si>
  <si>
    <t xml:space="preserve">079 - Transfer Masuk BI Fast (YUDI HARTONO/Shakira 1 mekkah)  VA 2555932252601148  SHAKIRA KAYLAH HARTONO  VA 2555932252601148 </t>
  </si>
  <si>
    <t>'25110776000181453026</t>
  </si>
  <si>
    <t xml:space="preserve">079 - Transfer Masuk BI Fast (ISMAIL/bayar spp bln November)  VA 2555932202101083  Naifa Milena Alicia Ismail  VA 2555932202101083 </t>
  </si>
  <si>
    <t>'25110788107520091852</t>
  </si>
  <si>
    <t xml:space="preserve">242 - Pemindahbukuan via ATM  VA 2555932242501006  IBRAHIM RIZVANOVIC ISKANDAR  3889 2555932242501006 YAYASAN BINA   /IB </t>
  </si>
  <si>
    <t>'25110776001940220658</t>
  </si>
  <si>
    <t xml:space="preserve">079 - Transfer Masuk BI Fast (IIN FARLINA/Spp 5 nov 25)  VA 2555932202101018  AISYAH RAYA FARLINA SUTRISNO  VA 2555932202101018 </t>
  </si>
  <si>
    <t>'25110776001220230509</t>
  </si>
  <si>
    <t>'25110788000920183031</t>
  </si>
  <si>
    <t xml:space="preserve">014 - Transfer Masuk  VA 2555932252601162  JOVANKA AYUNINDYA BILQIS  7832 014 4601611095 RIZKY HERYAWATI BARK </t>
  </si>
  <si>
    <t>'25110776001191453291</t>
  </si>
  <si>
    <t xml:space="preserve">079 - Transfer Masuk BI Fast (ISMAN MASRURI/)  VA 2555932202101003  DIMAS SHAKA AL GHOZALI  VA 2555932202101003 </t>
  </si>
  <si>
    <t>'25110776000541453727</t>
  </si>
  <si>
    <t>'25110776000641452974</t>
  </si>
  <si>
    <t>'25110876001291453676</t>
  </si>
  <si>
    <t xml:space="preserve">079 - Transfer Masuk BI Fast (PUJI MAYA SARI/November)  VA 2555932202101039  KAYLA NAFISHA R  VA 2555932202101039 </t>
  </si>
  <si>
    <t>'25110876001321452642</t>
  </si>
  <si>
    <t>'25110876001330243659</t>
  </si>
  <si>
    <t>'25110876000360226211</t>
  </si>
  <si>
    <t xml:space="preserve">079 - Transfer Masuk BI Fast (MELYSA JENNIVER/SPP Nov25 Gilbert 3 Mina)  VA 2555932232401049  MAHEER GILBERT GUNAWAN  VA 2555932232401049 </t>
  </si>
  <si>
    <t>'25110888109000147893</t>
  </si>
  <si>
    <t xml:space="preserve">242 - Pemindahbukuan via ATM  VA 2555932252601029  CHIARA AZALIA SHANESSA  3230 2555932252601029 YAYASAN BINA   /CH </t>
  </si>
  <si>
    <t>'25110876000991454150</t>
  </si>
  <si>
    <t>'25110876000041453448</t>
  </si>
  <si>
    <t xml:space="preserve">079 - Transfer Masuk BI Fast (INDAH SETYAWATI/DANA20251108DANAIDJ1010O)  VA 2555932242501103  HARINTAKA SATRIO PEMBUDI  VA 2555932242501103 </t>
  </si>
  <si>
    <t>'25110876001240223291</t>
  </si>
  <si>
    <t>'25110876001210220350</t>
  </si>
  <si>
    <t xml:space="preserve">079 - Transfer Masuk BI Fast (CYNDI MAULIDIA SANDI/agustus)  VA 2555932232401050  MUHAMMAD ABRAHAM ALEXI  VA 2555932232401050 </t>
  </si>
  <si>
    <t>'25110876001891426073</t>
  </si>
  <si>
    <t xml:space="preserve">079 - Transfer Masuk BI Fast (PANCA PURAKUSUMA IDR/SPP Nov 2025)  VA 2555932222301107  ISYANA AFSHEEN NAHDA  VA 2555932222301107 </t>
  </si>
  <si>
    <t>'25110876001821109553</t>
  </si>
  <si>
    <t xml:space="preserve">079 - Transfer Masuk BI Fast (ANGGAR WIDYANINGSIH/DANA20251108DANAIDJ1)  VA 2555932252601180  MEIRA ANNASYA MECCA  VA 2555932252601180 </t>
  </si>
  <si>
    <t>'25110976001050208145</t>
  </si>
  <si>
    <t xml:space="preserve">079 - Transfer Masuk BI Fast (LULUK HADI ANTINA/Spp chila november)  VA 2555932252601173  ARSYILA ELFIQH  VA 2555932252601173 </t>
  </si>
  <si>
    <t>'25110988108390134208</t>
  </si>
  <si>
    <t xml:space="preserve">242 - Pemindahbukuan via ATM  VA 2555932232403194  ILMIRA INARA SYAKILA  5831 2555932232403194 YAYASAN BINA   /IL </t>
  </si>
  <si>
    <t>'25110988001340185036</t>
  </si>
  <si>
    <t xml:space="preserve">014 - Transfer Masuk  VA 2555932212201110  ZAFRAN PRANAJA HILMAN  8651 008 1730075111980 HILMAN NOPRIYANTO </t>
  </si>
  <si>
    <t>'25110976000691454577</t>
  </si>
  <si>
    <t xml:space="preserve">079 - Transfer Masuk BI Fast (ISWAHYUDI DWI NURCAHYO/SPP nov)  VA 2555932222303168  SABIQ FATICHURAHMAN NURROSYIED  VA 2555932222303168 </t>
  </si>
  <si>
    <t>'25110976001940222607</t>
  </si>
  <si>
    <t xml:space="preserve">079 - Transfer Masuk BI Fast (FAISAL ROSA/BI FAST)  VA 2555932232401122  SYAMIKA HANUM ATTALAH ROZA  VA 2555932232401122 </t>
  </si>
  <si>
    <t>'25110988002440182177</t>
  </si>
  <si>
    <t xml:space="preserve">014 - Transfer Masuk  VA 2555932242501123  AMIRA AINUN NAJWA  7856 014 1930386215 AHMAD ADRIAN </t>
  </si>
  <si>
    <t>'25110976001891426976</t>
  </si>
  <si>
    <t xml:space="preserve">079 - Transfer Masuk BI Fast (HERA NURWENDAH/SPP Nov 2025)  VA 2555932252601145  RAYN ADHARA  VA 2555932252601145 </t>
  </si>
  <si>
    <t>'25110976000801455698</t>
  </si>
  <si>
    <t xml:space="preserve">079 - Transfer Masuk BI Fast (YUNITA ALVIANTI/DANA20251109DANAIDJ1010O)  VA 2555932242501005  JACINTA NIRANJANA YUNARKO  VA 2555932242501005 </t>
  </si>
  <si>
    <t>'25110976001361454630</t>
  </si>
  <si>
    <t xml:space="preserve">079 - Transfer Masuk BI Fast (RIKAYANTI/spp Kemilau 2 madinah)  VA 2555932242501168  KEMILAU BENING CAHAYA. I  VA 2555932242501168 </t>
  </si>
  <si>
    <t>'25110988003070181082</t>
  </si>
  <si>
    <t xml:space="preserve">014 - Transfer Masuk  VA 2555932202101100  Zahira Kalilla Ashira  4129 014 3431272588 NURUL HUDA ST Zahira </t>
  </si>
  <si>
    <t>'25110988004640182846</t>
  </si>
  <si>
    <t xml:space="preserve">014 - Transfer Masuk  VA 2555932232401048  ZAFINA NURUL AISYAH  4360 014 3431272588 NURUL HUDA ST </t>
  </si>
  <si>
    <t>'25111076000830235373</t>
  </si>
  <si>
    <t xml:space="preserve">079 - Transfer Masuk BI Fast (YUNI LESTARI/-)  VA 2555932232401172  NAILIS SAADAH  VA 2555932232401172 </t>
  </si>
  <si>
    <t>'25111076000851455176</t>
  </si>
  <si>
    <t>'25111076000980330856</t>
  </si>
  <si>
    <t>'25111088003540181989</t>
  </si>
  <si>
    <t xml:space="preserve">014 - Transfer Masuk  VA 2555932242501149  SITI FATIMAH NURLIANA FITRI  8139 014 1090430374 FITRI INDRIATI </t>
  </si>
  <si>
    <t>'25111076000851455208</t>
  </si>
  <si>
    <t xml:space="preserve">079 - Transfer Masuk BI Fast (ARUM DEWANNY/Nov 25)  VA 2555932212201018  KAHFI AL FATTAH ABDURAHIM  VA 2555932212201018 </t>
  </si>
  <si>
    <t>'25111076001191455824</t>
  </si>
  <si>
    <t xml:space="preserve">079 - Transfer Masuk BI Fast (FLIPTECH LENTERA INSPIRASI PERTIWI/Spp l)  VA 2555932212201092  KRYSTALLUNA AURA BALQIS  VA 2555932212201092 </t>
  </si>
  <si>
    <t>'25111076000071440737</t>
  </si>
  <si>
    <t xml:space="preserve">079 - Transfer Masuk BI Fast (FLIPTECH LENTERA INSPIRASI PERTIWI/spp E)  VA 2555932222301137  EBRAHAM OEMAR S  VA 2555932222301137 </t>
  </si>
  <si>
    <t>'25111076001621455403</t>
  </si>
  <si>
    <t xml:space="preserve">079 - Transfer Masuk BI Fast (PURI PRABAWATI/spp bulan november 2025)  VA 2555932212201083  ARSENIO NAUFAL AFKAR  VA 2555932212201083 </t>
  </si>
  <si>
    <t>'25111076001661433754</t>
  </si>
  <si>
    <t xml:space="preserve">079 - Transfer Masuk BI Fast (FLIPTECH LENTERA INSPIRASI PERTIWI/SPP A)  VA 2555932232401019  ALTHAFALULA VIDYA BRATANDARI  VA 2555932232401019 </t>
  </si>
  <si>
    <t>'25111088003830182044</t>
  </si>
  <si>
    <t xml:space="preserve">014 - Transfer Masuk  VA 2555932242501108  ALULA JAWARA SAPUTRA  1685 008 1650001882001 FATWIATU MILADA </t>
  </si>
  <si>
    <t>'25111076001780217694</t>
  </si>
  <si>
    <t xml:space="preserve">079 - Transfer Masuk BI Fast (ERRIC SAPUTRA/Spp november)  VA 2555932242501022  SHAQUEENA MARYAM AZZAHRA  VA 2555932242501022 </t>
  </si>
  <si>
    <t>'25111076001751456530</t>
  </si>
  <si>
    <t xml:space="preserve">079 - Transfer Masuk BI Fast (AGUNG MARDIANTO/Lainnya)  VA 2555932252601105  ALEYZA QAIREEN MUFID  VA 2555932252601105 </t>
  </si>
  <si>
    <t>'25111076000461456329</t>
  </si>
  <si>
    <t xml:space="preserve">079 - Transfer Masuk BI Fast (CORIY NUR SHIFA/Spp nov 25 an assyifa hu)  VA 2555932242501186  ASSYIFA HUMAIRA RUSTANDI  VA 2555932242501186 </t>
  </si>
  <si>
    <t>'25111076000790251257</t>
  </si>
  <si>
    <t>'25111076000511456056</t>
  </si>
  <si>
    <t xml:space="preserve">079 - Transfer Masuk BI Fast (NENGSIH/Jeslyn)  VA 2555932242501016  JESLYN  VA 2555932242501016 </t>
  </si>
  <si>
    <t>'25111076001541455197</t>
  </si>
  <si>
    <t xml:space="preserve">079 - Transfer Masuk BI Fast (HASAN HARIRI/)  VA 2555932242501176  RAFASHA FAEYZA HARIRI  VA 2555932242501176 </t>
  </si>
  <si>
    <t>'25111076001791456453</t>
  </si>
  <si>
    <t xml:space="preserve">079 - Transfer Masuk BI Fast (RICKY ERICK CHANDRA/SPP Sept - Okt 25 Am)  VA 2555932202101087  Amiera Gracelina Chandra  VA 2555932202101087 </t>
  </si>
  <si>
    <t>'25111076001770248263</t>
  </si>
  <si>
    <t xml:space="preserve">079 - Transfer Masuk BI Fast (ADHI SUBHANA/November)  VA 2555932252601163  XAVIER ABDULLAH ZIYAD SUKATMA  VA 2555932252601163 </t>
  </si>
  <si>
    <t>'25111076000110233345</t>
  </si>
  <si>
    <t>'25111088106440069169</t>
  </si>
  <si>
    <t xml:space="preserve">242 - Pemindahbukuan via ATM  VA 2555932242501021  MUHAMMAD ARSENLIO ABIYYU ANWAR  3699 2555932242501021 YAYASAN BINA   /MU </t>
  </si>
  <si>
    <t>'25111076001590953280</t>
  </si>
  <si>
    <t xml:space="preserve">079 - Transfer Masuk BI Fast (GENTRA SEPTASOMA RUSKANDAR/DANA20251110D)  VA 2555932212201072  GHANY KHAIRY RUSKANDAR  VA 2555932212201072 </t>
  </si>
  <si>
    <t>'25111076000961455579</t>
  </si>
  <si>
    <t xml:space="preserve">079 - Transfer Masuk BI Fast (SABILA ZASAROSA DR/SPP NOV 2025 QABILA 2)  VA 2555932242501154  QABILA KAYSHA FITRIYADI  VA 2555932242501154 </t>
  </si>
  <si>
    <t>'25111076001711456516</t>
  </si>
  <si>
    <t xml:space="preserve">079 - Transfer Masuk BI Fast (GENTRA SEPTASOMA RUSKANDAR/DANA20251110D)  VA 2555932222301120  GHINA KHAIRINA RUSKANDAR  VA 2555932222301120 </t>
  </si>
  <si>
    <t>'25111088004290203103</t>
  </si>
  <si>
    <t xml:space="preserve">014 - Transfer Masuk  VA 2555932252601121  FANESSA MIKHAYLA FUTRI  0650 014 5745382310 DEDE HERLITA </t>
  </si>
  <si>
    <t>'25111076001731455511</t>
  </si>
  <si>
    <t>'25111088003520186534</t>
  </si>
  <si>
    <t xml:space="preserve">014 - Transfer Masuk  VA 2555932252602192  ADHILLA GHANIA  3439 014 7425877771 NUNUNG NURHOTIMAH sp </t>
  </si>
  <si>
    <t>'25111076001210222816</t>
  </si>
  <si>
    <t>'25111076000360229403</t>
  </si>
  <si>
    <t xml:space="preserve">079 - Transfer Masuk BI Fast (ZANUARTI IKASARY/Nov)  VA 2555932252601012  ALEA VINESSA PUTRI  VA 2555932252601012 </t>
  </si>
  <si>
    <t>'25111076001240225948</t>
  </si>
  <si>
    <t xml:space="preserve">079 - Transfer Masuk BI Fast (ZANUARTI IKASARY/Nov)  VA 2555932202101004  ALVINO NAUFAL FIRMANSYAH  VA 2555932202101004 </t>
  </si>
  <si>
    <t>'25111076001240226018</t>
  </si>
  <si>
    <t xml:space="preserve">079 - Transfer Masuk BI Fast (H ENDIH SUTISNA SE/Spp nov)  VA 2555932202101040  MUHAMAD ZAYN FADEL RAMDHANI  VA 2555932202101040 </t>
  </si>
  <si>
    <t>'25111076001690327724</t>
  </si>
  <si>
    <t xml:space="preserve">079 - Transfer Masuk BI Fast (PANJI ANTORO WIBISONO/SPP NOVEMBER 2025)  VA 2555932212201025  SATRIA AKSA BIMASENA..  VA 2555932212201025 </t>
  </si>
  <si>
    <t>'25111076000041456691</t>
  </si>
  <si>
    <t xml:space="preserve">079 - Transfer Masuk BI Fast (HADIYAT MAHDI/Abdul Ghaniy)  VA 2555932252603152  ABDUL GHANIY SUPRATAMA  VA 2555932252603152 </t>
  </si>
  <si>
    <t>'25111076001020216501</t>
  </si>
  <si>
    <t xml:space="preserve">079 - Transfer Masuk BI Fast (FITRI MAESAROH/November)  VA 2555932252601018  MUHAMMAD ALDEBARAN AIDAN TSAQID  VA 2555932252601018 </t>
  </si>
  <si>
    <t>'25111076001561457382</t>
  </si>
  <si>
    <t xml:space="preserve">079 - Transfer Masuk BI Fast (ICIH/SPP november)  VA 2555932252601024  ELVANO RIZKI MAHARDIKA  VA 2555932252601024 </t>
  </si>
  <si>
    <t>'25111188002980194627</t>
  </si>
  <si>
    <t xml:space="preserve">014 - Transfer Masuk  VA 2555932212201031  KINANTI SASYA ADILA.  7302 014 1090987557 LIA SUSILAWATI Novem </t>
  </si>
  <si>
    <t>'25111188004840196527</t>
  </si>
  <si>
    <t xml:space="preserve">014 - Transfer Masuk  VA 2555932252601171  FATHIAN EL REZKY  7367 014 1090987557 LIA SUSILAWATI Novem </t>
  </si>
  <si>
    <t>'25111176001010222968</t>
  </si>
  <si>
    <t xml:space="preserve">079 - Transfer Masuk BI Fast (PUJI RAHAYU/an Ryszard)  VA 2555932212201051  RYSZARD SUTRISNO  VA 2555932212201051 </t>
  </si>
  <si>
    <t>'25111176001871456291</t>
  </si>
  <si>
    <t xml:space="preserve">079 - Transfer Masuk BI Fast (PUJI RAHAYU/an Richard)  VA 2555932252601023  RICHARD SUTRISNO  VA 2555932252601023 </t>
  </si>
  <si>
    <t>'25111176000721456636</t>
  </si>
  <si>
    <t xml:space="preserve">079 - Transfer Masuk BI Fast (RESYA LARA CITRESNA/-)  VA 2555932242501017  ALTAN  FAEYZA SHAQEEL  VA 2555932242501017 </t>
  </si>
  <si>
    <t>'25111176001041132393</t>
  </si>
  <si>
    <t xml:space="preserve">079 - Transfer Masuk BI Fast (TELLY FEBRIANTI/SPP Amira November)  VA 2555932242501182  AMIRA NURHAFSAH SYAFFIYAH  VA 2555932242501182 </t>
  </si>
  <si>
    <t>'25111188108720165048</t>
  </si>
  <si>
    <t xml:space="preserve">242 - Pemindahbukuan via ATM  VA 2555932222301117  MUHAMMAD ALFARIZQY MARTANTO  6445 2555932222301117 YAYASAN BINA   /MU </t>
  </si>
  <si>
    <t>'25111188108040132915</t>
  </si>
  <si>
    <t xml:space="preserve">242 - Pemindahbukuan via ATM  VA 2555932212201118  MAHIRA HASNA WIDAD KAMILAH  7595 2555932212201118 YAYASAN BINA   /MA </t>
  </si>
  <si>
    <t>'25111188109570156933</t>
  </si>
  <si>
    <t xml:space="preserve">242 - Pemindahbukuan via ATM  VA 2555932242501181  ASSYIFA AZHAR  7612 2555932242501181 YAYASAN BINA   /AS </t>
  </si>
  <si>
    <t>'25111188109590150522</t>
  </si>
  <si>
    <t xml:space="preserve">242 - Pemindahbukuan via ATM  VA 2555932212201039  ALISHA KHAIRA AZZAHRA  8361 2555932212201039 YAYASAN BINA   /AL </t>
  </si>
  <si>
    <t>'25111188108180141479</t>
  </si>
  <si>
    <t xml:space="preserve">242 - Pemindahbukuan via ATM  VA 2555932242501145  XEON AQSHAL FIRDAUS  8369 2555932242501145 YAYASAN BINA   /XE </t>
  </si>
  <si>
    <t>'25111188107140122333</t>
  </si>
  <si>
    <t xml:space="preserve">242 - Pemindahbukuan via ATM  VA 2555932252601157  AZKIA FARANISA DEWI  8377 2555932252601157 YAYASAN BINA   /AZ </t>
  </si>
  <si>
    <t>'25111176000780333175</t>
  </si>
  <si>
    <t xml:space="preserve">079 - Transfer Masuk BI Fast (ROSIDAH/spp bln nov)  VA 2555932252601015  FAYRA AZKIYA AZZAHRA  VA 2555932252601015 </t>
  </si>
  <si>
    <t>'25111176001081456222</t>
  </si>
  <si>
    <t>'25111176000711419493</t>
  </si>
  <si>
    <t xml:space="preserve">079 - Transfer Masuk BI Fast (VIVI SILVIA MELEINA/Oct november farrel)  VA 2555932202101067  FARREL IVANDER  VA 2555932202101067 </t>
  </si>
  <si>
    <t>'25111176001681217421</t>
  </si>
  <si>
    <t>'25111176000641457723</t>
  </si>
  <si>
    <t xml:space="preserve">079 - Transfer Masuk BI Fast (POPPIE HALIMAH/DANA20251111DANAIDJ1010O9)  VA 2555932222301120  GHINA KHAIRINA RUSKANDAR  VA 2555932222301120 </t>
  </si>
  <si>
    <t>'25111176001910217923</t>
  </si>
  <si>
    <t xml:space="preserve">079 - Transfer Masuk BI Fast (POPPIE HALIMAH/DANA20251111DANAIDJ1010O9)  VA 2555932212201072  GHANY KHAIRY RUSKANDAR  VA 2555932212201072 </t>
  </si>
  <si>
    <t>'25111276000480218218</t>
  </si>
  <si>
    <t>'25111276000851458856</t>
  </si>
  <si>
    <t xml:space="preserve">079 - Transfer Masuk BI Fast (ELIN HERLINA/DANA20251112DANAIDJ1010O995)  VA 2555932252601153  ADREENA AZKADINA MAULANA  VA 2555932252601153 </t>
  </si>
  <si>
    <t>'25111376001821114779</t>
  </si>
  <si>
    <t xml:space="preserve">079 - Transfer Masuk BI Fast (NERI ELVIANA/Spp Eyza Nov)  VA 2555932232401025  ARZHANKA RAFAEYZA SHAGUFTA  VA 2555932232401025 </t>
  </si>
  <si>
    <t>'25111376001551460057</t>
  </si>
  <si>
    <t xml:space="preserve">079 - Transfer Masuk BI Fast (SARI KUSUMA WARDHANI/spp kinara okt nov)  VA 2555932232401014  KINARA QUEENARISA SHAREEN  VA 2555932232401014 </t>
  </si>
  <si>
    <t>'25111376001541459216</t>
  </si>
  <si>
    <t xml:space="preserve">079 - Transfer Masuk BI Fast (RUSMELANI/Spp Arok Nov25)  VA 2555932232401144  AROK BIMASENA BASTIAN  VA 2555932232401144 </t>
  </si>
  <si>
    <t>'25111376001571460580</t>
  </si>
  <si>
    <t xml:space="preserve">079 - Transfer Masuk BI Fast (RUSMELANI/Spp Kala Nov25)  VA 2555932252601175  KALA MAHAJANA BASTIAN  VA 2555932252601175 </t>
  </si>
  <si>
    <t>'25111376001841460292</t>
  </si>
  <si>
    <t xml:space="preserve">079 - Transfer Masuk BI Fast (AULIA ISKANDAR/-)  VA 2555932222303157  ALAN CAHYA PRANATA  VA 2555932222303157 </t>
  </si>
  <si>
    <t>'25111376000161181723</t>
  </si>
  <si>
    <t xml:space="preserve">079 - Transfer Masuk BI Fast (AULIA ISKANDAR/-)  VA 2555932242501164  ATHALLA ZATRIA ARDA  VA 2555932242501164 </t>
  </si>
  <si>
    <t>'25111376000131460096</t>
  </si>
  <si>
    <t xml:space="preserve">079 - Transfer Masuk BI Fast (RISA ARELIA/Spp bulan november)  VA 2555932212201077  KAMILA RAFIDAH ADZRAWAN  VA 2555932212201077 </t>
  </si>
  <si>
    <t>'25111376000991460418</t>
  </si>
  <si>
    <t xml:space="preserve">079 - Transfer Masuk BI Fast (RANNY KHAIRANI/spp november)  VA 2555932202101029  NADHIRA SAFIYA KABSYAH  VA 2555932202101029 </t>
  </si>
  <si>
    <t>'25111376001110335482</t>
  </si>
  <si>
    <t xml:space="preserve">079 - Transfer Masuk BI Fast (TANTI EVAYANTI/Spp oktober)  VA 2555932222301009  NAJMA SHAKEERA RIYADI  VA 2555932222301009 </t>
  </si>
  <si>
    <t>'25111376000031459366</t>
  </si>
  <si>
    <t>'25111376001611134139</t>
  </si>
  <si>
    <t>'25111376001731459426</t>
  </si>
  <si>
    <t>'25111376001220238000</t>
  </si>
  <si>
    <t xml:space="preserve">079 - Transfer Masuk BI Fast (EKA YUNINGSIH/spp nov 2025)  VA 2555932232401121  NAFEEZA RAFANIA BANUWATI  VA 2555932232401121 </t>
  </si>
  <si>
    <t>'25111476000991461141</t>
  </si>
  <si>
    <t xml:space="preserve">079 - Transfer Masuk BI Fast (RISWANDI/SPP AMIRAH TSABITA NOV 2025)  VA 2555932232401163  AMIRAH TSABITA AZ-ZAHRA  VA 2555932232401163 </t>
  </si>
  <si>
    <t>'25111488002660193698</t>
  </si>
  <si>
    <t xml:space="preserve">014 - Transfer Masuk  VA 2555932232401053  INDRA HERDIANSYAH  3816 008 1730000027145 NANA HERDIANA 310 </t>
  </si>
  <si>
    <t>'25111488003750195748</t>
  </si>
  <si>
    <t xml:space="preserve">014 - Transfer Masuk  VA 2555932252601042  DAPUNTA AULIYAN FIRDAUS  4779 506 2010710410 </t>
  </si>
  <si>
    <t>'25111476001990336083</t>
  </si>
  <si>
    <t>'25111476001641438752</t>
  </si>
  <si>
    <t xml:space="preserve">079 - Transfer Masuk BI Fast (SODIK HANDOYO/Spp mega)  VA 2555932242501199  MEGA PUTRI KUSMAN ADY  VA 2555932242501199 </t>
  </si>
  <si>
    <t>'25111476001480223801</t>
  </si>
  <si>
    <t xml:space="preserve">079 - Transfer Masuk BI Fast (IIS LISNAWATI/SPP Jasmine November, Dese)  VA 2555932222301133  JASMINE ALESHA P  VA 2555932222301133 </t>
  </si>
  <si>
    <t>'25111488107630133716</t>
  </si>
  <si>
    <t xml:space="preserve">242 - Pemindahbukuan via ATM  VA 2555932222301161  RAKA AHZA PATRA  6211 2555932222301161 YAYASAN BINA   /RA </t>
  </si>
  <si>
    <t>'25111488002620195485</t>
  </si>
  <si>
    <t xml:space="preserve">014 - Transfer Masuk  VA 2555932202101077  FELICIA NAURA SHAQUILA  2331 008 1240005110334 FIRMANSYAH 611120 </t>
  </si>
  <si>
    <t>'25111476000280213432</t>
  </si>
  <si>
    <t>'25111576001031461606</t>
  </si>
  <si>
    <t xml:space="preserve">079 - Transfer Masuk BI Fast (LUSI LUSNAYANTI/Lova spp Nov)  VA 2555932252601039  LOVATA SHEEHAN ZAINA  VA 2555932252601039 </t>
  </si>
  <si>
    <t>'25111576001501230419</t>
  </si>
  <si>
    <t xml:space="preserve">079 - Transfer Masuk BI Fast (LUSI LUSNAYANTI/spp Nov Ay)  VA 2555932232401045  AINAYYA SHEEHAN LASHIRA  VA 2555932232401045 </t>
  </si>
  <si>
    <t>'25111576001531462410</t>
  </si>
  <si>
    <t xml:space="preserve">079 - Transfer Masuk BI Fast (ANDI HARTADI/)  VA 2555932242501026  AISHWA ADZKIYA KAMIL  VA 2555932242501026 </t>
  </si>
  <si>
    <t>'25111576001670223285</t>
  </si>
  <si>
    <t xml:space="preserve">079 - Transfer Masuk BI Fast (SYAIFUL RAHMAN/SPP okt 2025)  VA 2555932202101054  FATHIA FILZAH ROHMAN  VA 2555932202101054 </t>
  </si>
  <si>
    <t>'25111588002430192336</t>
  </si>
  <si>
    <t xml:space="preserve">014 - Transfer Masuk  VA 2555932232401180  NAFILAH CAHYA RAMADHANI  6267 014 0070674513 WARNOTO 222 </t>
  </si>
  <si>
    <t>'25111576000890222415</t>
  </si>
  <si>
    <t xml:space="preserve">079 - Transfer Masuk BI Fast (CYNDI MAULIDIA SANDI/September)  VA 2555932232401050  MUHAMMAD ABRAHAM ALEXI  VA 2555932232401050 </t>
  </si>
  <si>
    <t>'25111576001311461663</t>
  </si>
  <si>
    <t xml:space="preserve">079 - Transfer Masuk BI Fast (GALUH PRASASTI/Bumi 5 Mekah)  VA 2555932212201057  BUMI SHANKARA ABHISEVA  VA 2555932212201057 </t>
  </si>
  <si>
    <t>'25111676000090218409</t>
  </si>
  <si>
    <t>'25111676000660833565</t>
  </si>
  <si>
    <t>'25111676000261462700</t>
  </si>
  <si>
    <t xml:space="preserve">079 - Transfer Masuk BI Fast (IQMAL NOVRAYOGI/SPP Nazira kelas 5 Mina)  VA 2555932212201010  NAZIRA NOVRAYOGI  VA 2555932212201010 </t>
  </si>
  <si>
    <t>'25111676001600218531</t>
  </si>
  <si>
    <t>'25111676001731462389</t>
  </si>
  <si>
    <t xml:space="preserve">079 - Transfer Masuk BI Fast (ANNISA FITRIANI/Spp aldebaran nov 25)  VA 2555932232401042  M. ALDEBARAN SHAQUILLE PRIMA  VA 2555932232401042 </t>
  </si>
  <si>
    <t>'25111676000620224016</t>
  </si>
  <si>
    <t xml:space="preserve">079 - Transfer Masuk BI Fast (JOHAN WAHYUDIN/Spp november)  VA 2555932252601182  KEANDRA MEGHAN AISYEL  VA 2555932252601182 </t>
  </si>
  <si>
    <t>'25111676002001464429</t>
  </si>
  <si>
    <t xml:space="preserve">079 - Transfer Masuk BI Fast (FLIPTECH LENTERA INSPIRASI PERTIWI/FLP99)  VA 2555932252601160  IFRA NAMARA RIZQIYYAH  VA 2555932252601160 </t>
  </si>
  <si>
    <t>'25111676001480226331</t>
  </si>
  <si>
    <t xml:space="preserve">079 - Transfer Masuk BI Fast (ERNA YANTI PERMATA SARI/-)  VA 2555932212201047  GALAXY BINTANG SEMESTA  VA 2555932212201047 </t>
  </si>
  <si>
    <t>'25111676000230257114</t>
  </si>
  <si>
    <t>'25111776001511429455</t>
  </si>
  <si>
    <t xml:space="preserve">079 - Transfer Masuk BI Fast (SEPTIN KISRIYANI/Aqila 2 madinah)  VA 2555932242501119  AQILATUNNISA ZAIDA SALSABILA  VA 2555932242501119 </t>
  </si>
  <si>
    <t>'25111776000230257810</t>
  </si>
  <si>
    <t xml:space="preserve">079 - Transfer Masuk BI Fast (DEDE SUTIYADI/)  VA 2555932222301138  MIKAIEL AL FARABY  VA 2555932222301138 </t>
  </si>
  <si>
    <t>'25111776000490243551</t>
  </si>
  <si>
    <t xml:space="preserve">079 - Transfer Masuk BI Fast (SRI RATNA DEWI/spp Tytarnayva chavina bu)  VA 2555932252601196  TYTARNAYVA CHAVINA DEWI SOEMANTRI  VA 2555932252601196 </t>
  </si>
  <si>
    <t>'25111788004450193011</t>
  </si>
  <si>
    <t xml:space="preserve">014 - Transfer Masuk  VA 2555932232401150  GIBRAN MAHESWARA ARYASATYA  1601 110 ANDRI TRANSFER PRIMA R </t>
  </si>
  <si>
    <t>'25111776000220503371</t>
  </si>
  <si>
    <t xml:space="preserve">079 - Transfer Masuk BI Fast (FLIPTECH LENTERA INSPIRASI PERTIWI/FL992)  VA 2555932252601019  ARSHAKA PRADITYA WIJAYA  VA 2555932252601019 </t>
  </si>
  <si>
    <t>'25111776000320634383</t>
  </si>
  <si>
    <t>'25111876000230259562</t>
  </si>
  <si>
    <t xml:space="preserve">079 - Transfer Masuk BI Fast (ENDANG WIDIYASTUTY/SPP November 2025)  VA 2555932222301154  NURLATIFAH ALMAIRA  VA 2555932222301154 </t>
  </si>
  <si>
    <t>'25111976001130258681</t>
  </si>
  <si>
    <t xml:space="preserve">079 - Transfer Masuk BI Fast (MUHAMMAD KHAIRUL/november)  VA 2555932222301125  KIANO RYU ATHALAH  VA 2555932222301125 </t>
  </si>
  <si>
    <t>'25111976000480226093</t>
  </si>
  <si>
    <t xml:space="preserve">079 - Transfer Masuk BI Fast (ALVIA SURAIYA/Spp September oktober nove)  VA 2555932212201035  RADHITYA SAKHA ARGANI  VA 2555932212201035 </t>
  </si>
  <si>
    <t>'25111976000570632151</t>
  </si>
  <si>
    <t xml:space="preserve">079 - Transfer Masuk BI Fast (RIKA ANGGRAENI/-)  VA 2555932222301147  FEEZA AQILAH  VA 2555932222301147 </t>
  </si>
  <si>
    <t>'25111976001330256538</t>
  </si>
  <si>
    <t xml:space="preserve">079 - Transfer Masuk BI Fast (RIKA ANGGRAENI/-)  VA 2555932242501187  FAHRI EMYR AL HUSEIN  VA 2555932242501187 </t>
  </si>
  <si>
    <t>'25111988003280181536</t>
  </si>
  <si>
    <t xml:space="preserve">014 - Transfer Masuk  VA 2555932242501136  ALTHAF BANIFIANDRA ASSIDIQ  5294 008 1300004208396 ELFAN YANUAR ASSI </t>
  </si>
  <si>
    <t>'25111988003550187859</t>
  </si>
  <si>
    <t xml:space="preserve">014 - Transfer Masuk  VA 2555932202101002  NAUVAL ALIFIANDRA ASSIDIQ  3966 008 1300004208396 ELFAN YANUAR ASSI </t>
  </si>
  <si>
    <t>'25111988004450193292</t>
  </si>
  <si>
    <t xml:space="preserve">014 - Transfer Masuk  VA 2555932232401017  ARZHANKA ABQARY RAFFASYA  0705 200 18101500514381 RIZKI NASRULLAH </t>
  </si>
  <si>
    <t>'25112076001770259624</t>
  </si>
  <si>
    <t xml:space="preserve">079 - Transfer Masuk BI Fast (AKHMAD BAHTIAR/kei khunairah choirul)  VA 2555932232401036  KEI KHUMAIRAH CHOIRUL  VA 2555932232401036 </t>
  </si>
  <si>
    <t>'25112076000630342773</t>
  </si>
  <si>
    <t xml:space="preserve">079 - Transfer Masuk BI Fast (AKHMAD BAHTIAR/muhammad alfatih choirul)  VA 2555932202101061  Muhammad Al Fatih Choirul  VA 2555932202101061 </t>
  </si>
  <si>
    <t>'25112076000261467009</t>
  </si>
  <si>
    <t xml:space="preserve">079 - Transfer Masuk BI Fast (SARASWATI DEWI/-)  VA 2555932242501148  ABID RAJENDRA SUHENDAR  VA 2555932242501148 </t>
  </si>
  <si>
    <t>'25112076001511433327</t>
  </si>
  <si>
    <t xml:space="preserve">079 - Transfer Masuk BI Fast (ROMY AMINUDDIN/SPP November 2025Naomy)  VA 2555932232401021  KHADIJAH NAOMYLOVA AMINUDDIN  VA 2555932232401021 </t>
  </si>
  <si>
    <t>'25112076001611142277</t>
  </si>
  <si>
    <t xml:space="preserve">079 - Transfer Masuk BI Fast (YANTI SUPRIYANTI/)  VA 2555932222301002  FAISAL ALFERO  VA 2555932222301002 </t>
  </si>
  <si>
    <t>'25112076000061468165</t>
  </si>
  <si>
    <t xml:space="preserve">079 - Transfer Masuk BI Fast (YANTI SUPRIYANTI/)  VA 2555932202101066  FADHIL GENIO  VA 2555932202101066 </t>
  </si>
  <si>
    <t>'25112176000331461209</t>
  </si>
  <si>
    <t xml:space="preserve">079 - Transfer Masuk BI Fast (ELFIRA SANDRA DEWI/spp des)  VA 2555932242501105  DEANDRA ADERA HERISA PUTRI  VA 2555932242501105 </t>
  </si>
  <si>
    <t>'25112176001181468216</t>
  </si>
  <si>
    <t xml:space="preserve">079 - Transfer Masuk BI Fast (ARIESTIA EKA NINGTIAS/Shazfa / SD / Nove)  VA 2555932252601001  SHAZFA GAVAALULA ARSETIA  VA 2555932252601001 </t>
  </si>
  <si>
    <t>'25112176001690340413</t>
  </si>
  <si>
    <t xml:space="preserve">079 - Transfer Masuk BI Fast (DWI YANA HENDARTININ/spp okt 2025)  VA 2555932232401161  ABHIVANDYA KHAI AL BIRRU  VA 2555932232401161 </t>
  </si>
  <si>
    <t>'25112288003090197937</t>
  </si>
  <si>
    <t xml:space="preserve">014 - Transfer Masuk  VA 2555932252601120  ERINA KEARA  2524 008 1560000017949 NAHDUDIN 31193068 </t>
  </si>
  <si>
    <t>'25112288003120184119</t>
  </si>
  <si>
    <t xml:space="preserve">014 - Transfer Masuk  VA 2555932252601120  ERINA KEARA  0912 008 1560000017949 NAHDUDIN 31193076 </t>
  </si>
  <si>
    <t>'25112288002840195965</t>
  </si>
  <si>
    <t xml:space="preserve">014 - Transfer Masuk  VA 2555932232401153  KANAKA JUN ALFALAH  6682 008 60006888063 MUHAMMAD KHAIRUL 31 </t>
  </si>
  <si>
    <t>'25112376001641449087</t>
  </si>
  <si>
    <t xml:space="preserve">079 - Transfer Masuk BI Fast (DEWI FITRIANI/SPP NOV Mikhayla Mina)  VA 2555932252601027  MIKHAYLA NAZWA WIGUNA  VA 2555932252601027 </t>
  </si>
  <si>
    <t>'25112476000600347113</t>
  </si>
  <si>
    <t xml:space="preserve">079 - Transfer Masuk BI Fast (CYNDI MAULIDIA SANDI/)  VA 2555932232401050  MUHAMMAD ABRAHAM ALEXI  VA 2555932232401050 </t>
  </si>
  <si>
    <t>'25112476001191471906</t>
  </si>
  <si>
    <t xml:space="preserve">079 - Transfer Masuk BI Fast (Wurandika Chloridianti/arikades25)  VA 2555932242501101  ARIKA ALMASHYRA PRASETYO  VA 2555932242501101 </t>
  </si>
  <si>
    <t>'25112476002001472836</t>
  </si>
  <si>
    <t xml:space="preserve">079 - Transfer Masuk BI Fast (VERA MARIZKIA ERIKA/Spp)  VA 2555932232401116  RAJA RAYYAN ABITSA SUYUDI  VA 2555932232401116 </t>
  </si>
  <si>
    <t>'25112476000871471630</t>
  </si>
  <si>
    <t xml:space="preserve">079 - Transfer Masuk BI Fast (EVI RIAWATI/Spp zeyn)  VA 2555932252601044  ZEYN SYAFIQ INARA ALYANA  VA 2555932252601044 </t>
  </si>
  <si>
    <t>'25112476001301470792</t>
  </si>
  <si>
    <t xml:space="preserve">079 - Transfer Masuk BI Fast (MAMAY MELYANI/Nov 25)  VA 2555932202101044  NALADHIYA AINALANI RAHADIAN  VA 2555932202101044 </t>
  </si>
  <si>
    <t>'25112476000991472605</t>
  </si>
  <si>
    <t xml:space="preserve">079 - Transfer Masuk BI Fast (MAMAY MELYANI/Nov 25)  VA 2555932252601030  NALADHIYA AYANA RAHADIAN  VA 2555932252601030 </t>
  </si>
  <si>
    <t>'25112476001961471660</t>
  </si>
  <si>
    <t xml:space="preserve">079 - Transfer Masuk BI Fast (DEFRI IS SURYANTO/SPP November)  VA 2555932222301108  SHERYL AZALEA ZAHIN  VA 2555932222301108 </t>
  </si>
  <si>
    <t>'25112476000240342907</t>
  </si>
  <si>
    <t xml:space="preserve">079 - Transfer Masuk BI Fast (ZULYA RATNA MAHARANI/Spp des kalyani 5 M)  VA 2555932212201029  KALYANI ANINDYA MAHARANI.  VA 2555932212201029 </t>
  </si>
  <si>
    <t>'25112576000691472703</t>
  </si>
  <si>
    <t>'25112576001501241585</t>
  </si>
  <si>
    <t xml:space="preserve">079 - Transfer Masuk BI Fast (GINA AYUDIA/spp des 2025)  VA 2555932222301135  GANENDRA ADHYASTHA REYNAND  VA 2555932222301135 </t>
  </si>
  <si>
    <t>'25112588000360200352</t>
  </si>
  <si>
    <t xml:space="preserve">014 - Transfer Masuk  VA 2555932212201016  MUHAMMAD NABHAN ARRAZKA  2951 016 0161003949706 RIZKY ADITYA </t>
  </si>
  <si>
    <t>'25112576000320642742</t>
  </si>
  <si>
    <t xml:space="preserve">079 - Transfer Masuk BI Fast (RURY SANDRA APRILLIANTI/-)  VA 2555932242501135  GHAISAN RABBANI INDRAWAN  VA 2555932242501135 </t>
  </si>
  <si>
    <t>'25112576001371473327</t>
  </si>
  <si>
    <t>'25112576001151448074</t>
  </si>
  <si>
    <t xml:space="preserve">079 - Transfer Masuk BI Fast (YULIA ANEKE PUTRI/SPP Azkara Zhian)  VA 2555932252601113  AZKARA ZHIAN RADEVA PUTRA  VA 2555932252601113 </t>
  </si>
  <si>
    <t>'25112588004020187868</t>
  </si>
  <si>
    <t xml:space="preserve">014 - Transfer Masuk  VA 2555932242501002  KAWAKIBI AUSHAF KALANDRA NALURI  1767 014 5485032506 FAJAR SILVIANA SPPKa </t>
  </si>
  <si>
    <t>'25112588001700184115</t>
  </si>
  <si>
    <t xml:space="preserve">014 - Transfer Masuk  VA 2555932242501160  MIHRIMAH SYAMMA DANEENTORO  1953 014 0844512879 NURUL HIDAYAH Mihri </t>
  </si>
  <si>
    <t>'25112576000031472388</t>
  </si>
  <si>
    <t xml:space="preserve">079 - Transfer Masuk BI Fast (DWI RAHMAWATI VARINA/Des 2025)  VA 2555932252601004  SHAREEN AIYRA FATIMA  VA 2555932252601004 </t>
  </si>
  <si>
    <t>'25112576001380344150</t>
  </si>
  <si>
    <t xml:space="preserve">079 - Transfer Masuk BI Fast (NACE PERMANA/Spp gea bln nopember)  VA 2555932212201111  GEA AYUNDIA PRAMESTI ROSI  VA 2555932212201111 </t>
  </si>
  <si>
    <t>'25112576000230266790</t>
  </si>
  <si>
    <t xml:space="preserve">079 - Transfer Masuk BI Fast (POPPIE HALIMAH/DANA20251125DANAIDJ1010O9)  VA 2555932212201072  GHANY KHAIRY RUSKANDAR  VA 2555932212201072 </t>
  </si>
  <si>
    <t>'25112576000041472960</t>
  </si>
  <si>
    <t xml:space="preserve">079 - Transfer Masuk BI Fast (POPPIE HALIMAH/DANA20251125DANAIDJ1010O9)  VA 2555932222301120  GHINA KHAIRINA RUSKANDAR  VA 2555932222301120 </t>
  </si>
  <si>
    <t>'25112576001351461396</t>
  </si>
  <si>
    <t xml:space="preserve">079 - Transfer Masuk BI Fast (DWI RAHMAWATI VARINA/Des 2025)  VA 2555932202101033  KHAYLA ALMIRA PRADITHA  VA 2555932202101033 </t>
  </si>
  <si>
    <t>'25112576001430239830</t>
  </si>
  <si>
    <t xml:space="preserve">079 - Transfer Masuk BI Fast (JUNI MARWATI/Spp Nov)  VA 2555932242501115  RANIA ASHALINA NALADHIPA  VA 2555932242501115 </t>
  </si>
  <si>
    <t>'25112576000551473467</t>
  </si>
  <si>
    <t xml:space="preserve">079 - Transfer Masuk BI Fast (DANNY WICAKSANA PUTRA/SPP alzhea 4 mekah)  VA 2555932232402164  ALZHEA MISHALL SAMAIRA  VA 2555932232402164 </t>
  </si>
  <si>
    <t>'25112576001740232829</t>
  </si>
  <si>
    <t xml:space="preserve">079 - Transfer Masuk BI Fast (ACHMAD KISWANTARA/spp desember 2025)  VA 2555932242501117  ARGANI ACHMAD PRADANA  VA 2555932242501117 </t>
  </si>
  <si>
    <t>'25112576000370232966</t>
  </si>
  <si>
    <t xml:space="preserve">079 - Transfer Masuk BI Fast (TRI ANITA FITRIAH/SPP November)  VA 2555932252601185  ALINDYA HANIN PRANJANI  VA 2555932252601185 </t>
  </si>
  <si>
    <t>'25112576000071458490</t>
  </si>
  <si>
    <t xml:space="preserve">079 - Transfer Masuk BI Fast (WINNY SORAYA/SPP DESEMBER)  VA 2555932232401137  ASSYAFA KEISHA FAUZIYYAH  VA 2555932232401137 </t>
  </si>
  <si>
    <t>'25112576000701473174</t>
  </si>
  <si>
    <t xml:space="preserve">079 - Transfer Masuk BI Fast (WINNY SORAYA/SPP DESEMBER)  VA 2555932232401138  ASSYIFA KEISHA FAUZIYYAH  VA 2555932232401138 </t>
  </si>
  <si>
    <t>'25112576000691473163</t>
  </si>
  <si>
    <t xml:space="preserve">079 - Transfer Masuk BI Fast (SASONGKO/Spp Arzan Maulana M kelas 3 Mad)  VA 2555932232401102  ARZAN MAULANA M  VA 2555932232401102 </t>
  </si>
  <si>
    <t>'25112576000711435055</t>
  </si>
  <si>
    <t xml:space="preserve">079 - Transfer Masuk BI Fast (SYAFARIANSYAH/M. sean musthafa)  VA 2555932252601137  MUHAMMAD SEAN MUSTHAFA  VA 2555932252601137 </t>
  </si>
  <si>
    <t>'25112576001961472861</t>
  </si>
  <si>
    <t>'25112576000541474035</t>
  </si>
  <si>
    <t xml:space="preserve">079 - Transfer Masuk BI Fast (INEKE SENJA MEILIA/SPP Nov 25)  VA 2555932252604195  RAYYAN FILLAH ADYAKSA  VA 2555932252604195 </t>
  </si>
  <si>
    <t>'25112576000861149111</t>
  </si>
  <si>
    <t xml:space="preserve">079 - Transfer Masuk BI Fast (FLIPTECH LENTERA INSPIRASI PERTIWI/FL998)  VA 2555932232401034  MUHAMMAD ARSYIL MAJID KOESUMAH  VA 2555932232401034 </t>
  </si>
  <si>
    <t>'25112576000810348551</t>
  </si>
  <si>
    <t xml:space="preserve">079 - Transfer Masuk BI Fast (ANIY SETYOWATI/spp qilo nov des 2025)  VA 2555932252601108  AQILATUNNISA LUBNA MAHESWARI  VA 2555932252601108 </t>
  </si>
  <si>
    <t>'25112576001440235134</t>
  </si>
  <si>
    <t xml:space="preserve">079 - Transfer Masuk BI Fast (MIRA ERNAWAN AMIR/Spp Haikal Desember 24)  VA 2555932252601201  HAIKAL ADRAN ABQARI  VA 2555932252601201 </t>
  </si>
  <si>
    <t>'25112576000681219212</t>
  </si>
  <si>
    <t xml:space="preserve">079 - Transfer Masuk BI Fast (NOPI SUSANTO/SPP Des 2026)  VA 2555932242501127  AMMAR SYAFIQ SUSANTO  VA 2555932242501127 </t>
  </si>
  <si>
    <t>'25112576000980349047</t>
  </si>
  <si>
    <t xml:space="preserve">079 - Transfer Masuk BI Fast (NOPI SUSANTO/SPP Des 2025)  VA 2555932212201034  HAMIZ NAUFAL SUSANTO  VA 2555932212201034 </t>
  </si>
  <si>
    <t>'25112576000681219333</t>
  </si>
  <si>
    <t xml:space="preserve">079 - Transfer Masuk BI Fast (FEBRINA YUNITA/spp november)  VA 2555932232401002  ARUNA RAFISQY ALFESYAH  VA 2555932232401002 </t>
  </si>
  <si>
    <t>'25112576001931472140</t>
  </si>
  <si>
    <t xml:space="preserve">079 - Transfer Masuk BI Fast (ADE ANDRIYANI/Spp bulan desember)  VA 2555932222301152  HADEINA TEKYANDRA  VA 2555932222301152 </t>
  </si>
  <si>
    <t>'25112576001780235963</t>
  </si>
  <si>
    <t>'25112576000351473877</t>
  </si>
  <si>
    <t xml:space="preserve">079 - Transfer Masuk BI Fast (NOVIE SEVENTINA/spp desember)  VA 2555932212201026  KEVIN ABIYYU SAVERIO ALTHAAF..  VA 2555932212201026 </t>
  </si>
  <si>
    <t>'25112576000080232009</t>
  </si>
  <si>
    <t xml:space="preserve">079 - Transfer Masuk BI Fast (CHAIRU MAHAD FATWANTO/Transfer ke YAYASA)  VA 2555932242501046  DOVIZIO BENFATWA MAHAD  VA 2555932242501046 </t>
  </si>
  <si>
    <t>'25112576001770266387</t>
  </si>
  <si>
    <t xml:space="preserve">079 - Transfer Masuk BI Fast (RAHMAT SALEH/-)  VA 2555932212201074  EARLYTA ARSYFA SALSABILA  VA 2555932212201074 </t>
  </si>
  <si>
    <t>'25112576000480233934</t>
  </si>
  <si>
    <t xml:space="preserve">079 - Transfer Masuk BI Fast (RAHMAT SALEH/-)  VA 2555932252601119  ELVIERA  VA 2555932252601119 </t>
  </si>
  <si>
    <t>'25112576000871473880</t>
  </si>
  <si>
    <t xml:space="preserve">079 - Transfer Masuk BI Fast (PUTRI NINA ROKHMANIA/SPP Desember Rayvan)  VA 2555932202101047  RAYVANGGA PUTRA HARDIAN  VA 2555932202101047 </t>
  </si>
  <si>
    <t>'25112576002001475324</t>
  </si>
  <si>
    <t xml:space="preserve">079 - Transfer Masuk BI Fast (DINDA AISHA/SPP Zaydan Dec 2025)  VA 2555932232401039  ZAYDAN ABRAR MALIK PANGGABEAN  VA 2555932232401039 </t>
  </si>
  <si>
    <t>'25112576000991474739</t>
  </si>
  <si>
    <t xml:space="preserve">079 - Transfer Masuk BI Fast (FLIPTECH LENTERA INSPIRASI PERTIWI/FL998)  VA 2555932252601025  NAAFI FAYYAD QADRIAN  VA 2555932252601025 </t>
  </si>
  <si>
    <t>'25112576001770266619</t>
  </si>
  <si>
    <t>'25112576001611148440</t>
  </si>
  <si>
    <t xml:space="preserve">079 - Transfer Masuk BI Fast (CINDI TRIANA POETRY/spp leon  nov)  VA 2555932252601038  LEON WILLIAM MUTAQIN  VA 2555932252601038 </t>
  </si>
  <si>
    <t>'25112576001851113492</t>
  </si>
  <si>
    <t>'25112576000861149998</t>
  </si>
  <si>
    <t>'25112576000080232505</t>
  </si>
  <si>
    <t>'25112676001690345686</t>
  </si>
  <si>
    <t xml:space="preserve">079 - Transfer Masuk BI Fast (LUSI LUSNAYANTI/spp Ay)  VA 2555932232401045  AINAYYA SHEEHAN LASHIRA  VA 2555932232401045 </t>
  </si>
  <si>
    <t>'25112676000750266718</t>
  </si>
  <si>
    <t>'25112676001891446781</t>
  </si>
  <si>
    <t xml:space="preserve">079 - Transfer Masuk BI Fast (EKA MUTHIA SARI/SPP Desember 2025)  VA 2555932212201041  SYAHNAZ MAHEERA WARDANA  VA 2555932212201041 </t>
  </si>
  <si>
    <t>'25112676001200237803</t>
  </si>
  <si>
    <t>'25112676000071459887</t>
  </si>
  <si>
    <t>'25112676001130267375</t>
  </si>
  <si>
    <t xml:space="preserve">079 - Transfer Masuk BI Fast (MUHAMAD JULIARTO/SPP Gio Dec 25 -)  VA 2555932222301010  GIOVANNI ALFARO YAFIQ PUTRA JULIARTO  VA 2555932222301010 </t>
  </si>
  <si>
    <t>'25112676000451474693</t>
  </si>
  <si>
    <t>'25112676001430241406</t>
  </si>
  <si>
    <t xml:space="preserve">079 - Transfer Masuk BI Fast (AGUS SAPTO WIDODO SE/Spp diandra)  VA 2555932212201015  DIANDRA QUEENSHA AQILA GUSTI  VA 2555932212201015 </t>
  </si>
  <si>
    <t>'25112676001980267162</t>
  </si>
  <si>
    <t>'25112676000691474627</t>
  </si>
  <si>
    <t>'25112676001950234385</t>
  </si>
  <si>
    <t xml:space="preserve">079 - Transfer Masuk BI Fast (EVI RIAWATI/Spp)  VA 2555932222301160  ABQORY RUNAKO ARSENIO ALYANA  VA 2555932222301160 </t>
  </si>
  <si>
    <t>'25112676001690345916</t>
  </si>
  <si>
    <t xml:space="preserve">079 - Transfer Masuk BI Fast (EMI TAUFANAWATI/SPP arnetta Oktober, Nov)  VA 2555932202101090  Arnetta Hafhs Queen  VA 2555932202101090 </t>
  </si>
  <si>
    <t>'25112676000771459835</t>
  </si>
  <si>
    <t xml:space="preserve">079 - Transfer Masuk BI Fast (AA MUHAMMAD YAHYA/SPP Desember 2025)  VA 2555932252601164  MUHAMMAD HANAN ADELIO MEEZAN  VA 2555932252601164 </t>
  </si>
  <si>
    <t>'25112676001621474805</t>
  </si>
  <si>
    <t xml:space="preserve">079 - Transfer Masuk BI Fast (ARIE DAMAWI/spp desember AL Ghazali 3mar)  VA 2555932232401111  MUHAMMAD KIANDRA AL GHAZALI  VA 2555932232401111 </t>
  </si>
  <si>
    <t>'25112676000340244320</t>
  </si>
  <si>
    <t xml:space="preserve">079 - Transfer Masuk BI Fast (REZA ALFINA RAMADHANY/SPP)  VA 2555932252601155  ANDHISYA AQILA PUTRI  VA 2555932252601155 </t>
  </si>
  <si>
    <t>'25112676001070411066</t>
  </si>
  <si>
    <t xml:space="preserve">079 - Transfer Masuk BI Fast (BUDI HARTARTO/Lainnya)  VA 2555932232401046  AHMAD DZAKY AL GHAZALI  VA 2555932232401046 </t>
  </si>
  <si>
    <t>'25112676000950253404</t>
  </si>
  <si>
    <t xml:space="preserve">079 - Transfer Masuk BI Fast (RIFKI KURNIAWANSYAH/spp cavin des 1 mekk)  VA 2555932252601169  CAVIN SAKDILLAH SYAH  VA 2555932252601169 </t>
  </si>
  <si>
    <t>'25112676000980350600</t>
  </si>
  <si>
    <t xml:space="preserve">079 - Transfer Masuk BI Fast (RIFKI KURNIAWANSYAH/spp hamiz dec 2 mina)  VA 2555932242501150  HAMIZ IBRAHIM SYAH  VA 2555932242501150 </t>
  </si>
  <si>
    <t>'25112676001541474621</t>
  </si>
  <si>
    <t>'25112676001761475776</t>
  </si>
  <si>
    <t xml:space="preserve">079 - Transfer Masuk BI Fast (Zahrina/spp faiz Des 2025)  VA 2555932232401056  FAIZ ALVARO  VA 2555932232401056 </t>
  </si>
  <si>
    <t>'25112676001501243898</t>
  </si>
  <si>
    <t>'25112676000600350686</t>
  </si>
  <si>
    <t xml:space="preserve">079 - Transfer Masuk BI Fast (Zahrina/spp Khaulah Hanifah Des 2025)  VA 2555932252601014  KHAULAH HANIFAH  VA 2555932252601014 </t>
  </si>
  <si>
    <t>'25112676001271151350</t>
  </si>
  <si>
    <t xml:space="preserve">079 - Transfer Masuk BI Fast (SITI ASIYAH OKTARIKA/Spp atha desember 2)  VA 2555932232401038  AHMAD ATHALLAH AZFAR  VA 2555932232401038 </t>
  </si>
  <si>
    <t>'25112676001661453484</t>
  </si>
  <si>
    <t xml:space="preserve">079 - Transfer Masuk BI Fast (RIA INDAH SARI/DANA20251126DANAIDJ1010O9)  VA 2555932242501029  INDIRA ALLEASHA ELGANES  VA 2555932242501029 </t>
  </si>
  <si>
    <t>'25112688002000187520</t>
  </si>
  <si>
    <t xml:space="preserve">014 - Transfer Masuk  VA 2555932212201085  ALZENA DESTINY HAKIM  7856 013 7282761 HANNY KRISTANTY 0000389 </t>
  </si>
  <si>
    <t>'25112688001170181380</t>
  </si>
  <si>
    <t xml:space="preserve">014 - Transfer Masuk  VA 2555932212201085  ALZENA DESTINY HAKIM  8062 013 7282761 HANNY KRISTANTY 0000389 </t>
  </si>
  <si>
    <t>'25112688004740191703</t>
  </si>
  <si>
    <t xml:space="preserve">014 - Transfer Masuk  VA 2555932232401134  ZALIKA HAKIM  3857 013 7282761 HANNY KRISTANTY 0001195 </t>
  </si>
  <si>
    <t>'25112688001520193853</t>
  </si>
  <si>
    <t xml:space="preserve">014 - Transfer Masuk  VA 2555932232401134  ZALIKA HAKIM  8428 013 7282761 HANNY KRISTANTY 0000389 </t>
  </si>
  <si>
    <t>'25112688003200183977</t>
  </si>
  <si>
    <t xml:space="preserve">014 - Transfer Masuk  VA 2555932242501163  ADNAN MANAF RACHMAN  7486 014 5211882744 INDRIAWATY </t>
  </si>
  <si>
    <t>'25112676001271151536</t>
  </si>
  <si>
    <t xml:space="preserve">079 - Transfer Masuk BI Fast (RIAN ADITIA/Spp desember 2025)  VA 2555932222301123  SHAREEN ALESHA MEDINA  VA 2555932222301123 </t>
  </si>
  <si>
    <t>'25112676001291475770</t>
  </si>
  <si>
    <t xml:space="preserve">079 - Transfer Masuk BI Fast (ARIS SETIAWAN/spp desember 25)  VA 2555932252601124  HANA HALWATUNNISA KIRANA  VA 2555932252601124 </t>
  </si>
  <si>
    <t>'25112676000480235414</t>
  </si>
  <si>
    <t xml:space="preserve">079 - Transfer Masuk BI Fast (ARIS SETIAWAN/spp desember 25)  VA 2555932212201061  ZABDAN GHANI ABGARY  VA 2555932212201061 </t>
  </si>
  <si>
    <t>'25112688002590182459</t>
  </si>
  <si>
    <t xml:space="preserve">014 - Transfer Masuk  VA 2555932252601166  YUKIHIRO ARUMI SHAQUILE  6966 014 5221488483 MU'ALIM </t>
  </si>
  <si>
    <t>'25112676000650185619</t>
  </si>
  <si>
    <t xml:space="preserve">079 - Transfer Masuk BI Fast (ADE KHAIRANI BR TOBING/Spp des 2025)  VA 2555932232402177  FADHIL KEENAN SITEPU  VA 2555932232402177 </t>
  </si>
  <si>
    <t>'25112676000280227678</t>
  </si>
  <si>
    <t xml:space="preserve">079 - Transfer Masuk BI Fast (DEGGI EKA PRASETYA/)  VA 2555932252601188  RAFFASA ABQARY EL MUMTAZ PRASETYA  VA 2555932252601188 </t>
  </si>
  <si>
    <t>'25112676000840270239</t>
  </si>
  <si>
    <t xml:space="preserve">079 - Transfer Masuk BI Fast (EKA AZWINDA/Spp marsha desemeber 2025)  VA 2555932232404199  MARSHA CALLISTA PUTRI  VA 2555932232404199 </t>
  </si>
  <si>
    <t>'25112676000240346526</t>
  </si>
  <si>
    <t xml:space="preserve">079 - Transfer Masuk BI Fast (JAYENG AGNI GELIAN/Lainnya)  VA 2555932242501064  SULTAN ARSENIO R  VA 2555932242501064 </t>
  </si>
  <si>
    <t>'25112676001291476224</t>
  </si>
  <si>
    <t>'25112776001191476208</t>
  </si>
  <si>
    <t xml:space="preserve">079 - Transfer Masuk BI Fast (SELLY KOMALASARI/Okt)  VA 2555932242501045  DHARA ZAHRATUNNISYA  VA 2555932242501045 </t>
  </si>
  <si>
    <t>'25112776000630351728</t>
  </si>
  <si>
    <t xml:space="preserve">079 - Transfer Masuk BI Fast (TUKIRAN/SPP November 2025)  VA 2555932232401151  ALMIRA ALYA RACHMAWATI  VA 2555932232401151 </t>
  </si>
  <si>
    <t>'25112776001110351797</t>
  </si>
  <si>
    <t>'25112776001430242810</t>
  </si>
  <si>
    <t xml:space="preserve">079 - Transfer Masuk BI Fast (SULISTIOWATI/Lainnya)  VA 2555932202101070  ARKANANTA DAFANDRA UTOMO  VA 2555932202101070 </t>
  </si>
  <si>
    <t>'25112776000210269860</t>
  </si>
  <si>
    <t xml:space="preserve">079 - Transfer Masuk BI Fast (RISKA DAMAYANTI/)  VA 2555932242501015  AQILLA IZZA ARRAHMAN  VA 2555932242501015 </t>
  </si>
  <si>
    <t>'25112788105100072153</t>
  </si>
  <si>
    <t xml:space="preserve">242 - Pemindahbukuan via ATM  VA 2555932252601035  CATTLEYA NEISIA HUMAIRAH  6000 2555932252601035 YAYASAN BINA   /CA </t>
  </si>
  <si>
    <t>'25112776000871476075</t>
  </si>
  <si>
    <t>'25112776000140231467</t>
  </si>
  <si>
    <t xml:space="preserve">079 - Transfer Masuk BI Fast (TITA NURHAYATI/SPP Nov 25)  VA 2555932222303170  HAIKAL ANANDA IVANA PUTERA  VA 2555932222303170 </t>
  </si>
  <si>
    <t>'25112788001810184610</t>
  </si>
  <si>
    <t xml:space="preserve">014 - Transfer Masuk  VA 2555932222301134  ZAFARANI CHAYRA FIRMANSYAH  9870 014 7045186741 SEFTY SUNARYA Spp De </t>
  </si>
  <si>
    <t>'25112776000360249380</t>
  </si>
  <si>
    <t xml:space="preserve">079 - Transfer Masuk BI Fast (ANDI HARTADI/Spp November aishwa)  VA 2555932242501026  AISHWA ADZKIYA KAMIL  VA 2555932242501026 </t>
  </si>
  <si>
    <t>'25112776001700849774</t>
  </si>
  <si>
    <t>'25112776000830256822</t>
  </si>
  <si>
    <t xml:space="preserve">079 - Transfer Masuk BI Fast (OKY SYAFWIRATAMA/SPP Aleena Dec. 2025)  VA 2555932232401179  ALEENA SHAISTA WIRATAMA  VA 2555932232401179 </t>
  </si>
  <si>
    <t>'25112776000041476634</t>
  </si>
  <si>
    <t xml:space="preserve">079 - Transfer Masuk BI Fast (OKY SYAFWIRATAMA/SPP Fathan RW, Dec. 202)  VA 2555932242501059  FATHAN RASHEED WIRATAMA  VA 2555932242501059 </t>
  </si>
  <si>
    <t>'25112788107790136289</t>
  </si>
  <si>
    <t xml:space="preserve">242 - Pemindahbukuan via ATM  VA 2555932222301113  GISCA CORDELIA RAMADANI  2636 2555932222301113 YAYASAN BINA   /GI </t>
  </si>
  <si>
    <t>'25112776001491477352</t>
  </si>
  <si>
    <t xml:space="preserve">079 - Transfer Masuk BI Fast (NILAM KELANA PUTRI/ravin des 25)  VA 2555932242501172  ATHARRAZKA RAVINDRA PERWIRA  VA 2555932242501172 </t>
  </si>
  <si>
    <t>'25112776000280229234</t>
  </si>
  <si>
    <t>'25112776001761477849</t>
  </si>
  <si>
    <t xml:space="preserve">079 - Transfer Masuk BI Fast (SUHARDI/)  VA 2555932232401029  TABAROK AL MADANI  VA 2555932232401029 </t>
  </si>
  <si>
    <t>'25112876000810352475</t>
  </si>
  <si>
    <t>'25112876000013638128</t>
  </si>
  <si>
    <t xml:space="preserve">079 - Transfer Masuk BI Fast (EVI ROSMIATI/-)  VA 2555932212201109  NAZEERA RATU ELSHAQUILLA  VA 2555932212201109 </t>
  </si>
  <si>
    <t>'25112876001690348542</t>
  </si>
  <si>
    <t xml:space="preserve">079 - Transfer Masuk BI Fast (STEVEN LEWI/arlyn 1 madinah)  VA 2555932252601109  ARLYN KAILEENA LEWI  VA 2555932252601109 </t>
  </si>
  <si>
    <t>'25112876000980352966</t>
  </si>
  <si>
    <t xml:space="preserve">079 - Transfer Masuk BI Fast (KRISSYANDY/Spp Des 2025)  VA 2555932242501008  ANJANI BTARI ANINDYASWARI  VA 2555932242501008 </t>
  </si>
  <si>
    <t>'25112876001731476703</t>
  </si>
  <si>
    <t xml:space="preserve">079 - Transfer Masuk BI Fast (KRISSYANDY/Spp Des 2025)  VA 2555932202101037  ARJUNA SATYA BAGASKARA  VA 2555932202101037 </t>
  </si>
  <si>
    <t>'25112888004420184549</t>
  </si>
  <si>
    <t xml:space="preserve">014 - Transfer Masuk  VA 2555932232401120  RAFA SALMAN ALHAJJ  9767 451 7097790797 JIWARANI AMBAR PERTI </t>
  </si>
  <si>
    <t>'25112888002820185002</t>
  </si>
  <si>
    <t xml:space="preserve">014 - Transfer Masuk  VA 2555932252601005  UMAR RASYID ARRAJAB  0524 451 7097790797 JIWARANI AMBAR PERTI </t>
  </si>
  <si>
    <t>'25112876001970847753</t>
  </si>
  <si>
    <t>'25112876001631476683</t>
  </si>
  <si>
    <t xml:space="preserve">079 - Transfer Masuk BI Fast (JUWITA NINGSIH/Spp Arsakha)  VA 2555932232402196  MUHAMMAD ARSAKHA PUTRA HADRIANTO  VA 2555932232402196 </t>
  </si>
  <si>
    <t>'25112876001531478052</t>
  </si>
  <si>
    <t xml:space="preserve">079 - Transfer Masuk BI Fast (DEDE ERLAND RAMADHAN/SPP DES 2025 RAFFAS)  VA 2555932252601170  RAFFASYA ERHAN ARTANABIL  VA 2555932252601170 </t>
  </si>
  <si>
    <t>'25112876001821133070</t>
  </si>
  <si>
    <t xml:space="preserve">079 - Transfer Masuk BI Fast (BALIAN ZAHAB/SPP OKT 2025)  VA 2555932232404169  ADELIO ALDEN ARSH ZAHAB  VA 2555932232404169 </t>
  </si>
  <si>
    <t>'25112876000780353548</t>
  </si>
  <si>
    <t xml:space="preserve">079 - Transfer Masuk BI Fast (BALIAN ZAHAB/SPP OKT 2025)  VA 2555932242501043  EMERY CHESSA ARKANA ZAHAB  VA 2555932242501043 </t>
  </si>
  <si>
    <t>'25112876000980353144</t>
  </si>
  <si>
    <t xml:space="preserve">079 - Transfer Masuk BI Fast (BALIAN ZAHAB/SPP OKT 2025)  VA 2555932252601003  ALIANDRIA KHAIREEN CHEARA ZAHAB  VA 2555932252601003 </t>
  </si>
  <si>
    <t>'25112888004430198060</t>
  </si>
  <si>
    <t xml:space="preserve">014 - Transfer Masuk  VA 2555932252601135  MUHAMMAD ASKARA LIWA  5251 014 2331867740 NADYA RAMADHANTY Spp </t>
  </si>
  <si>
    <t>'25112876001770270154</t>
  </si>
  <si>
    <t xml:space="preserve">079 - Transfer Masuk BI Fast (AMIR MAHMUD/)  VA 2555932232401132  MAQIL MAHMUD ELFATA  VA 2555932232401132 </t>
  </si>
  <si>
    <t>'25112888107600125153</t>
  </si>
  <si>
    <t xml:space="preserve">242 - Pemindahbukuan via ATM  VA 2555932242501039  ALTHAF KHAIRY AMAZLAH.  1012 2555932242501039 YAYASAN BINA   /AL </t>
  </si>
  <si>
    <t>'25112876000240348778</t>
  </si>
  <si>
    <t>'25112876001690349583</t>
  </si>
  <si>
    <t xml:space="preserve">079 - Transfer Masuk BI Fast (ANDRI FIRMAN SAPUTRA/SPP Safina Desember)  VA 2555932242501169  SAFINA ZAHRA ANDRIANI  VA 2555932242501169 </t>
  </si>
  <si>
    <t>'25112876001651478920</t>
  </si>
  <si>
    <t xml:space="preserve">079 - Transfer Masuk BI Fast (ANDRI FIRMAN SAPUTRA/SPP Safira Desember)  VA 2555932242501170  SAFIRA ZAHRA ANDRIANI  VA 2555932242501170 </t>
  </si>
  <si>
    <t>'25112876000641478318</t>
  </si>
  <si>
    <t xml:space="preserve">079 - Transfer Masuk BI Fast (MAYANG RESTY RAHAYU/Investasi)  VA 2555932232401113  BINTANG ARSYLA SHANUM  VA 2555932232401113 </t>
  </si>
  <si>
    <t>'25112876000251479346</t>
  </si>
  <si>
    <t xml:space="preserve">079 - Transfer Masuk BI Fast (ARDANIKHOIRUNISYAH/)  VA 2555932242501001  KAIYA ATHALLA KURNIAWAN  VA 2555932242501001 </t>
  </si>
  <si>
    <t>'25112876001990354341</t>
  </si>
  <si>
    <t xml:space="preserve">079 - Transfer Masuk BI Fast (RINDHA MELANNY SUDRADJAT/SPP Desember 20)  VA 2555932202101043  RAQEESHA NARINDHA AZKADINA  VA 2555932202101043 </t>
  </si>
  <si>
    <t>'25112876001010245102</t>
  </si>
  <si>
    <t xml:space="preserve">079 - Transfer Masuk BI Fast (CAMILA KAMAL/-)  VA 2555932242501044  DINAH FADHIL ABDULLAH  VA 2555932242501044 </t>
  </si>
  <si>
    <t>'25112888107920178844</t>
  </si>
  <si>
    <t xml:space="preserve">242 - Pemindahbukuan via ATM  VA 2555932232401115  ALVIERO PRATAMA GAGAH  0155 2555932232401115 YAYASAN BINA   /AL </t>
  </si>
  <si>
    <t>'25112976000950257496</t>
  </si>
  <si>
    <t>'25112976001621479166</t>
  </si>
  <si>
    <t xml:space="preserve">079 - Transfer Masuk BI Fast (IMAWAN SETYABUDI/SPP Desember Amara Hanu)  VA 2555932232401135  AMARA HANUM ARDIYANTI  VA 2555932232401135 </t>
  </si>
  <si>
    <t>'25112976001740238940</t>
  </si>
  <si>
    <t xml:space="preserve">079 - Transfer Masuk BI Fast (IMAWAN SETYABUDI/SPP Desember Amira Hanu)  VA 2555932232401136  AMIRA HANUM ARDIYANTI  VA 2555932232401136 </t>
  </si>
  <si>
    <t>'25112976000101479719</t>
  </si>
  <si>
    <t xml:space="preserve">079 - Transfer Masuk BI Fast (LIANA CHELDA HANDOKO/Spp des)  VA 2555932242501004  KIANA NURAISHA AZKADINA  VA 2555932242501004 </t>
  </si>
  <si>
    <t>'25112976001081477884</t>
  </si>
  <si>
    <t xml:space="preserve">079 - Transfer Masuk BI Fast (HERI SETIAWAN/Diza Noumira)  VA 2555932232401024  DIZA NOUMIRA HANIFA  VA 2555932232401024 </t>
  </si>
  <si>
    <t>'25112976000641479068</t>
  </si>
  <si>
    <t>'25112976000570645303</t>
  </si>
  <si>
    <t xml:space="preserve">079 - Transfer Masuk BI Fast (MUFI WIDYANTI/SPP Alisha Des 2025)  VA 2555932252601002  ALISHA SHAFIYYAH QADIRINA  VA 2555932252601002 </t>
  </si>
  <si>
    <t>'25112976001891451499</t>
  </si>
  <si>
    <t xml:space="preserve">079 - Transfer Masuk BI Fast (MUFI WIDYANTI/SPP Rashya Des 2025)  VA 2555932232401141  RASHYA XAVIER ALFAEYZA  VA 2555932232401141 </t>
  </si>
  <si>
    <t>'25112976000970354975</t>
  </si>
  <si>
    <t xml:space="preserve">079 - Transfer Masuk BI Fast (YUYUN WAHYUNI/spp nov)  VA 2555932212201098  ALUNA MIKHAYLA ANINDYA SUTOYO  VA 2555932212201098 </t>
  </si>
  <si>
    <t>'25112976001581478993</t>
  </si>
  <si>
    <t>'25112976001800852481</t>
  </si>
  <si>
    <t>'25112976000280231621</t>
  </si>
  <si>
    <t xml:space="preserve">079 - Transfer Masuk BI Fast (OTING/SPP Nov an. Safaraz Fahmi Azzam kl)  VA 2555932212201036  Safaraz Fahmi Azzam  VA 2555932212201036 </t>
  </si>
  <si>
    <t>'25112976000020853152</t>
  </si>
  <si>
    <t xml:space="preserve">079 - Transfer Masuk BI Fast (RACHMAT JULIYANTO/)  VA 2555932202101006  AYRA KINARA PARAMITHA  VA 2555932202101006 </t>
  </si>
  <si>
    <t>'25112976000431479837</t>
  </si>
  <si>
    <t xml:space="preserve">079 - Transfer Masuk BI Fast (NOVIA LAPAROSKOPI/Spp November Desember)  VA 2555932222301155  SHAKEIL RAFIF ARTANABIL  VA 2555932222301155 </t>
  </si>
  <si>
    <t>'25112976001810259044</t>
  </si>
  <si>
    <t>'25112976001651480435</t>
  </si>
  <si>
    <t xml:space="preserve">079 - Transfer Masuk BI Fast (ADITYA PARATHAMA/SPP Gaga Desember 2025)  VA 2555932232401054  GALENDRA ARSY YUDOMIJOYO  VA 2555932232401054 </t>
  </si>
  <si>
    <t>'25112976001101455269</t>
  </si>
  <si>
    <t xml:space="preserve">079 - Transfer Masuk BI Fast (ELIN KRISTIN/Lainnya)  VA 2555932232401155  ZAHID KHAIZURAN MUQORROBIN  VA 2555932232401155 </t>
  </si>
  <si>
    <t>'25112976000861155925</t>
  </si>
  <si>
    <t xml:space="preserve">079 - Transfer Masuk BI Fast (SANDI BUANA JABBAR/Spp. Leander November)  VA 2555932212201112  LEANDER ARJUNA JANITRA JABBAR  VA 2555932212201112 </t>
  </si>
  <si>
    <t>'25113076000061480525</t>
  </si>
  <si>
    <t xml:space="preserve">079 - Transfer Masuk BI Fast (ATI ISMIATI/SPP Des 2025)  VA 2555932232404188  AYESHA ADLINA QAIREEN  VA 2555932232404188 </t>
  </si>
  <si>
    <t>'25113076000181480826</t>
  </si>
  <si>
    <t xml:space="preserve">079 - Transfer Masuk BI Fast (EDI HARYADI/SPP bln des)  VA 2555932232401185  SHAFIYYAH KHANZA AURORA  VA 2555932232401185 </t>
  </si>
  <si>
    <t>'25113076001770273103</t>
  </si>
  <si>
    <t xml:space="preserve">079 - Transfer Masuk BI Fast (FLIPTECH LENTERA INSPIRASI PERTIWI/FL100)  VA 2555932252601112  AYANADHIRA QANITA  VA 2555932252601112 </t>
  </si>
  <si>
    <t>'25113076001330271054</t>
  </si>
  <si>
    <t xml:space="preserve">079 - Transfer Masuk BI Fast (AGUS BUDIANTO/Spp desember 2025)  VA 2555932242501130  ALFATIH RAYHAN AKBAR  VA 2555932242501130 </t>
  </si>
  <si>
    <t>'25113076001311479867</t>
  </si>
  <si>
    <t>'25113076001321479861</t>
  </si>
  <si>
    <t>'25113076000451480854</t>
  </si>
  <si>
    <t xml:space="preserve">079 - Transfer Masuk BI Fast (MIFTA ULI NUR ELOK/SPP Zahra 2 Marwah Bl)  VA 2555932242501040  ZAHRA MAULIDYA AQILA FATHUR  VA 2555932242501040 </t>
  </si>
  <si>
    <t>'25113076001700854053</t>
  </si>
  <si>
    <t xml:space="preserve">079 - Transfer Masuk BI Fast (MIFTA ULI NUR ELOK/SPP Elif 4 mina Bln n)  VA 2555932222301024  KEISHA ELIF FATHUR LATIF  VA 2555932222301024 </t>
  </si>
  <si>
    <t>'25113076000410273245</t>
  </si>
  <si>
    <t xml:space="preserve">079 - Transfer Masuk BI Fast (FARIDA YULIANI/SPP Nov 25)  VA 2555932212201028  ARINDA KHAIRA LUBNA.  VA 2555932212201028 </t>
  </si>
  <si>
    <t>'25113076000501480407</t>
  </si>
  <si>
    <t xml:space="preserve">079 - Transfer Masuk BI Fast (LISSA OKTAMURTI DRG/SPP Des)  VA 2555932212201030  SANIKA SHEVA ADARA.  VA 2555932212201030 </t>
  </si>
  <si>
    <t>'25113076000370241210</t>
  </si>
  <si>
    <t>'25113076000360254451</t>
  </si>
  <si>
    <t xml:space="preserve">079 - Transfer Masuk BI Fast (FLIPTECH LENTERA INSPIRASI PERTIWI/FL100)  VA 2555932252602189  SYDNEY SYARIFAH PUTRI BUDYANTORO  VA 2555932252602189 </t>
  </si>
  <si>
    <t>NAMA MURID</t>
  </si>
  <si>
    <t>L/P</t>
  </si>
  <si>
    <t>NAMA PANGGILAN</t>
  </si>
  <si>
    <t>ADIKA ZAYYAN RINALDI</t>
  </si>
  <si>
    <t>L</t>
  </si>
  <si>
    <t>ADIKA</t>
  </si>
  <si>
    <t>1 MEKKAH</t>
  </si>
  <si>
    <t>ADREENA AZKADINA MAULANA</t>
  </si>
  <si>
    <t>P</t>
  </si>
  <si>
    <t>ADREENA</t>
  </si>
  <si>
    <t>ALAMANDA HAURA RABBANI</t>
  </si>
  <si>
    <t>MANDA</t>
  </si>
  <si>
    <t>ALEYZA QAIREEN MUFID</t>
  </si>
  <si>
    <t>QAIREEN</t>
  </si>
  <si>
    <t>ALISHA SHAFIYYAH QADIRINA</t>
  </si>
  <si>
    <t>ALISHA</t>
  </si>
  <si>
    <t>ANDHISYA AQILA PUTRI</t>
  </si>
  <si>
    <t>DHISYA</t>
  </si>
  <si>
    <t>ARCELLO KAIHARVARD AL GHAIZAN</t>
  </si>
  <si>
    <t>ARCELLO</t>
  </si>
  <si>
    <t>ARSAKHA ADIABBAD</t>
  </si>
  <si>
    <t>SAKHA</t>
  </si>
  <si>
    <t>AYANADHIRA QANITA</t>
  </si>
  <si>
    <t>AYA</t>
  </si>
  <si>
    <t>AZKIA FARANISA DEWI</t>
  </si>
  <si>
    <t>AZKIA</t>
  </si>
  <si>
    <t>BEBBY SABRINA</t>
  </si>
  <si>
    <t>BEBI</t>
  </si>
  <si>
    <t>CATTLEYA NEISIA HUMAIRAH</t>
  </si>
  <si>
    <t>ALEA</t>
  </si>
  <si>
    <t>CAVIN SAKDILLAH SYAH</t>
  </si>
  <si>
    <t>CAVIN</t>
  </si>
  <si>
    <t>ELVANO RIZKI MAHARDIKA</t>
  </si>
  <si>
    <t>ELVANO</t>
  </si>
  <si>
    <t>ELVIERA AZZAHRA</t>
  </si>
  <si>
    <t>ELVIERA</t>
  </si>
  <si>
    <t>EZRA MUHAMMAD ARYANENDRA</t>
  </si>
  <si>
    <t>EJA</t>
  </si>
  <si>
    <t>HAINAN KIYOSHI DARMAWAN</t>
  </si>
  <si>
    <t>KIYOSHI</t>
  </si>
  <si>
    <t>HANAKA ALFARIZQY NITINEGORO</t>
  </si>
  <si>
    <t>NAKA</t>
  </si>
  <si>
    <t>JOVANKA AYUNINDYA BILQIS</t>
  </si>
  <si>
    <t>JOVANKA</t>
  </si>
  <si>
    <t>KALA MAHAJANA BASTIAN</t>
  </si>
  <si>
    <t>KALA</t>
  </si>
  <si>
    <t>KIRANA NAWANG JOVANKA</t>
  </si>
  <si>
    <t>KIRANA</t>
  </si>
  <si>
    <t>LINGGA DHIYAULHAQ WIJAYA</t>
  </si>
  <si>
    <t>LINGGA</t>
  </si>
  <si>
    <t>MEIRA ANNASYA MECCA</t>
  </si>
  <si>
    <t>RARA</t>
  </si>
  <si>
    <t>MUHAMMAD DANIYAL ADZRIEL ALFATIH</t>
  </si>
  <si>
    <t>DINAN</t>
  </si>
  <si>
    <t>MUHAMMAD RAMDHAN AL FATTAH</t>
  </si>
  <si>
    <t>RAMDHAN</t>
  </si>
  <si>
    <t>MUHAMMAD SEAN MUSTHAFA</t>
  </si>
  <si>
    <t xml:space="preserve">MUSTHAFA </t>
  </si>
  <si>
    <t>PUTRI FREDELLA ANANDA TURYANTO</t>
  </si>
  <si>
    <t>ADEL</t>
  </si>
  <si>
    <t>SAHILA YUMNA NURROKHMAN</t>
  </si>
  <si>
    <t>YUMNA</t>
  </si>
  <si>
    <t>SHAKIRA KAYLAH HARTONO</t>
  </si>
  <si>
    <t>SHAKIRA</t>
  </si>
  <si>
    <t>SITI AZZAHRA RAMADANTI</t>
  </si>
  <si>
    <t>ZAHRA</t>
  </si>
  <si>
    <t>SURYA RAMADAN WIKMA KUSTANTO</t>
  </si>
  <si>
    <t>SURYA</t>
  </si>
  <si>
    <t>UMAR RASYID ARRAJAB</t>
  </si>
  <si>
    <t>UMAR</t>
  </si>
  <si>
    <t>ABIMANA NANDIKA WICAKSONO</t>
  </si>
  <si>
    <t>ABI</t>
  </si>
  <si>
    <t>1 MADINAH</t>
  </si>
  <si>
    <t>AFNAN MUHAMMAD SYAZWAN</t>
  </si>
  <si>
    <t>AFNAN</t>
  </si>
  <si>
    <t>AKHTAR FARZAN WIJAYA</t>
  </si>
  <si>
    <t>AKHTAR</t>
  </si>
  <si>
    <t>ALEA VINESSA PUTRI</t>
  </si>
  <si>
    <t>ALIANDRIA KHAIREEN CHEARA ZAHAB</t>
  </si>
  <si>
    <t>CHEARA</t>
  </si>
  <si>
    <t>ALINDYA HANIN PRANJANI</t>
  </si>
  <si>
    <t>ALIN</t>
  </si>
  <si>
    <t>ALMEERA KHANZA AZZAHRA</t>
  </si>
  <si>
    <t>IRA</t>
  </si>
  <si>
    <t>AMMAR ZEIN KENDRY</t>
  </si>
  <si>
    <t>ZEIN</t>
  </si>
  <si>
    <t>ARLYN KAILEENA LEWI</t>
  </si>
  <si>
    <t>ARLYN</t>
  </si>
  <si>
    <t>ARSEN YUSUF SUGIARTO</t>
  </si>
  <si>
    <t>ARSEN</t>
  </si>
  <si>
    <t>AZKARA ZHIAN RADEVA PUTRA</t>
  </si>
  <si>
    <t>ZHIAN</t>
  </si>
  <si>
    <t>CEISYA ALAYYA DIZZA</t>
  </si>
  <si>
    <t>CEISYA</t>
  </si>
  <si>
    <t>CLEMIRA SYAFIQAH ALIYAH PUTRI</t>
  </si>
  <si>
    <t>CLEMIRA</t>
  </si>
  <si>
    <t>ERINA KEARA</t>
  </si>
  <si>
    <t>ERIN</t>
  </si>
  <si>
    <t>HULYAH SYAUQINA YAHYA</t>
  </si>
  <si>
    <t>QINA</t>
  </si>
  <si>
    <t>KENSYAKIRA NAMARA</t>
  </si>
  <si>
    <t>SYAKIRA</t>
  </si>
  <si>
    <t>KHAULAH HANIFAH</t>
  </si>
  <si>
    <t>KHAULAH</t>
  </si>
  <si>
    <t>KIREI VELANDRA RUSMIANTO</t>
  </si>
  <si>
    <t>KIREI</t>
  </si>
  <si>
    <t>LAITSA HASHI PRADANA</t>
  </si>
  <si>
    <t>LAITSA</t>
  </si>
  <si>
    <t>LAYLA KHADIJA KARIM</t>
  </si>
  <si>
    <t>YAYA</t>
  </si>
  <si>
    <t>MIKHAYLA LANIKA MISHALL</t>
  </si>
  <si>
    <t>MIKHA</t>
  </si>
  <si>
    <t>MOHAMMAD ARSENIO GANNESH</t>
  </si>
  <si>
    <t>ARSENIO</t>
  </si>
  <si>
    <t>MUHAMMAD AZZAM NUR KHALIF</t>
  </si>
  <si>
    <t>AZZAM</t>
  </si>
  <si>
    <t>MUHAMMAD SULTAN AL FATH</t>
  </si>
  <si>
    <t>SULTAN</t>
  </si>
  <si>
    <t>NADYA ALYSSA LESMANA</t>
  </si>
  <si>
    <t>NADYA</t>
  </si>
  <si>
    <t>NAZRIL GIBRAN HAFUZA</t>
  </si>
  <si>
    <t>GIBRAN</t>
  </si>
  <si>
    <t>RICHARD SUTRISNO</t>
  </si>
  <si>
    <t>RICHARD</t>
  </si>
  <si>
    <t>SYIHA DEWI AGUSTINA</t>
  </si>
  <si>
    <t>SYIHA</t>
  </si>
  <si>
    <t>YUKIHIRO ARUMI SHAQUILE</t>
  </si>
  <si>
    <t>YUKI</t>
  </si>
  <si>
    <t>ZAVIER RAFFANSYAM FAIZAN</t>
  </si>
  <si>
    <t>ZAVIER</t>
  </si>
  <si>
    <t>ZAYDAN ABIDZAR AL GHIFARY</t>
  </si>
  <si>
    <t>ZAYDAN</t>
  </si>
  <si>
    <t>ARNELITA SENSA ZIANEETA</t>
  </si>
  <si>
    <t>SENSA</t>
  </si>
  <si>
    <t>AQILATUNNISA LUBNA MAHESWARI</t>
  </si>
  <si>
    <t>Qila</t>
  </si>
  <si>
    <t>1 MINA</t>
  </si>
  <si>
    <t>ARSYILA ELFIQH</t>
  </si>
  <si>
    <t>Chila</t>
  </si>
  <si>
    <t>CENDIKIA KENZIE AIRLANGGA</t>
  </si>
  <si>
    <t>Kenzie</t>
  </si>
  <si>
    <t>DAPUNTA AULIYAN FIRDAUS</t>
  </si>
  <si>
    <t>Dapunta</t>
  </si>
  <si>
    <t>FAEYZA OKTARIAN</t>
  </si>
  <si>
    <t>Faeyza</t>
  </si>
  <si>
    <t>FANESSA MIKHAYLA FUTRI</t>
  </si>
  <si>
    <t>Fanessa</t>
  </si>
  <si>
    <t>FATHIAN EL REZKY</t>
  </si>
  <si>
    <t>Fathian</t>
  </si>
  <si>
    <t>GRIZELLE ALYNA SAYYIDATUL FARIIDAH</t>
  </si>
  <si>
    <t>Izell</t>
  </si>
  <si>
    <t>HAIKAL ADRAN ABQARI</t>
  </si>
  <si>
    <t>Haikal</t>
  </si>
  <si>
    <t>HANA HALWATUNNISA KIRANA</t>
  </si>
  <si>
    <t>Hana</t>
  </si>
  <si>
    <t>IFRA NAMARA RIZQIYYAH</t>
  </si>
  <si>
    <t>Ifra</t>
  </si>
  <si>
    <t>KEINARRA ALIFYA NOUSHAFARIN</t>
  </si>
  <si>
    <t>Keina</t>
  </si>
  <si>
    <t>KHALIFA KHAIRUNISA KARYA</t>
  </si>
  <si>
    <t>Nisa</t>
  </si>
  <si>
    <t>LEON WILLIAM MUTAQIN</t>
  </si>
  <si>
    <t>Leon</t>
  </si>
  <si>
    <t>LOVATA SHEEHAN ZAINA</t>
  </si>
  <si>
    <t>Lova</t>
  </si>
  <si>
    <t>MAIZA RAFANIA KHAIREEN HARAHAP</t>
  </si>
  <si>
    <t>Maiza</t>
  </si>
  <si>
    <t>MIKHAYLA NAZWA WIGUNA</t>
  </si>
  <si>
    <t>Khay</t>
  </si>
  <si>
    <t>MOCHAMMAD ELRUMI PUTERA</t>
  </si>
  <si>
    <t>Elrumi(Rumi)</t>
  </si>
  <si>
    <t>MUHAMMAD ASKARA LIWA</t>
  </si>
  <si>
    <t>Liwa</t>
  </si>
  <si>
    <t>MUHAMMAD GIBRAN ARSHAKA</t>
  </si>
  <si>
    <t>Arshaka</t>
  </si>
  <si>
    <t>NALADHIYA AYANA RAHADIAN</t>
  </si>
  <si>
    <t>Nana</t>
  </si>
  <si>
    <t>NAURA AZKAYRA WIBOWO</t>
  </si>
  <si>
    <t>Naura</t>
  </si>
  <si>
    <t>NAYYARA SHAZFA ALFATIN</t>
  </si>
  <si>
    <t>Nayya</t>
  </si>
  <si>
    <t>RAFAEYZA ARSHAKA KAAMIL NUGROHO</t>
  </si>
  <si>
    <t>Kaamil</t>
  </si>
  <si>
    <t>RAFFASA ABQARY EL MUMTAZ PRASETYA</t>
  </si>
  <si>
    <t>Qary</t>
  </si>
  <si>
    <t>SABIYA ARUNA DIVYANISA</t>
  </si>
  <si>
    <t>Sabiya</t>
  </si>
  <si>
    <t>SANUBARI KAIRA DEWANGGA</t>
  </si>
  <si>
    <t>Kaira</t>
  </si>
  <si>
    <t>SAQEENARAVA LASHIRA ALIREDJA</t>
  </si>
  <si>
    <t>Qeena</t>
  </si>
  <si>
    <t>TALITHA ALANNA SYAHIRA</t>
  </si>
  <si>
    <t>Talitha</t>
  </si>
  <si>
    <t>TYTARNAYVA CHAVINA DEWI SOEMANTRI</t>
  </si>
  <si>
    <t>Chavina</t>
  </si>
  <si>
    <t>ZEYN SYAFIQ INARA ALYANA</t>
  </si>
  <si>
    <t>Zeyn</t>
  </si>
  <si>
    <t>ADIBA HURIYAH HARISBAYA</t>
  </si>
  <si>
    <t>Adiba</t>
  </si>
  <si>
    <t>ARSHAKA PRADITYA WIJAYA</t>
  </si>
  <si>
    <t>ARSHA</t>
  </si>
  <si>
    <t>1 MARWAH/TAHFIDZ</t>
  </si>
  <si>
    <t>ATHIRA JANNAH PRASOJO</t>
  </si>
  <si>
    <t>ATHIRA</t>
  </si>
  <si>
    <t>BRAMANTYA GALANG AKHTARANDA</t>
  </si>
  <si>
    <t>CHIARA AZALIA SHANESSA</t>
  </si>
  <si>
    <t>CHIARA</t>
  </si>
  <si>
    <t>FAYRA AZKIYA AZZAHRA</t>
  </si>
  <si>
    <t>FAYRA</t>
  </si>
  <si>
    <t>KEANDRA MEGHAN AISYEL</t>
  </si>
  <si>
    <t>KEANDRA</t>
  </si>
  <si>
    <t>MAKKA AFLAN ALNAJHAN</t>
  </si>
  <si>
    <t>MAKKA</t>
  </si>
  <si>
    <t>MUHAMMAD ALDEBARAN AIDAN TSAQIB</t>
  </si>
  <si>
    <t>AIDAN</t>
  </si>
  <si>
    <t>MUHAMMAD HANAN ADELIO MEEZAN</t>
  </si>
  <si>
    <t>HANAN</t>
  </si>
  <si>
    <t>MUHAMMAD YAZID HERMAWAN</t>
  </si>
  <si>
    <t>YAZID</t>
  </si>
  <si>
    <t>NAAFI FAYYAD QADRIAN</t>
  </si>
  <si>
    <t>NAAFI</t>
  </si>
  <si>
    <t>NAZAFARIN ANSARA MUGHNI</t>
  </si>
  <si>
    <t>NAZAFARIN</t>
  </si>
  <si>
    <t>PANGERAN UMAR AL-SAUQHI</t>
  </si>
  <si>
    <t>ABANG PANGERAN</t>
  </si>
  <si>
    <t>PRINCE KELVIN AULIA AD DZAKY</t>
  </si>
  <si>
    <t>PRINCE</t>
  </si>
  <si>
    <t>QAIREEN FELISHA ZEEVAH</t>
  </si>
  <si>
    <t>ZEEVAH</t>
  </si>
  <si>
    <t>RAFFASYA ERHAN ARTANABIL</t>
  </si>
  <si>
    <t>ERHAN</t>
  </si>
  <si>
    <t>RAYN ADHARA</t>
  </si>
  <si>
    <t>RAYN</t>
  </si>
  <si>
    <t>REZQIANO ATHAREL GHAZIE</t>
  </si>
  <si>
    <t>ATHAREL</t>
  </si>
  <si>
    <t>SHAREEN AIYRA FATIMA</t>
  </si>
  <si>
    <t>SHAREEN</t>
  </si>
  <si>
    <t>SHAZFA GAVAALULA ARSETIA</t>
  </si>
  <si>
    <t>SHAZFA</t>
  </si>
  <si>
    <t>XAVIER ABDULLAH ZIYAD SUKATMA</t>
  </si>
  <si>
    <t>ZIYAD</t>
  </si>
  <si>
    <t>ZIANKA SHAKILA PUTRI WAHYUDI</t>
  </si>
  <si>
    <t>ZIANKA</t>
  </si>
  <si>
    <t>ABID RAJENDRA SUHENDAR</t>
  </si>
  <si>
    <t>ABID</t>
  </si>
  <si>
    <t>2 MEKKAH</t>
  </si>
  <si>
    <t>ADIBA SHAKILA AZZAHRA SUPARMAN</t>
  </si>
  <si>
    <t>ADIBA</t>
  </si>
  <si>
    <t>ALFARIZQI YUSUF ATHALLA</t>
  </si>
  <si>
    <t>YUSUF</t>
  </si>
  <si>
    <t>ALMEERA AZZAHRA KURNIAWAN</t>
  </si>
  <si>
    <t>ALMEERA</t>
  </si>
  <si>
    <t>ALTHAF KHAIRY AMAZLAH</t>
  </si>
  <si>
    <t>ALTHAF</t>
  </si>
  <si>
    <t>AMMAR SYAFIQ SUSANTO</t>
  </si>
  <si>
    <t>AMMAR</t>
  </si>
  <si>
    <t>AQILA MARYAM MUQODDAS</t>
  </si>
  <si>
    <t>AQILA</t>
  </si>
  <si>
    <t>ARIKA ALMASHYRA PRASETYO</t>
  </si>
  <si>
    <t>ARIKA</t>
  </si>
  <si>
    <t>ARIO SINGGIH MULYA</t>
  </si>
  <si>
    <t>ARIO</t>
  </si>
  <si>
    <t>ARZANKA YOSHI ARKA</t>
  </si>
  <si>
    <t>ARZANKA</t>
  </si>
  <si>
    <t>ATHASHA LITUHAYU WIBOWO</t>
  </si>
  <si>
    <t>CACA</t>
  </si>
  <si>
    <t>CALLYSTA ZEA AL FISYAHRIN</t>
  </si>
  <si>
    <t>ZEA</t>
  </si>
  <si>
    <t>DELYSSA ASHADIYA MAHVEEN</t>
  </si>
  <si>
    <t>DELYSSA</t>
  </si>
  <si>
    <t>DINAH FADHIL ABDULLAH</t>
  </si>
  <si>
    <t>DINAH</t>
  </si>
  <si>
    <t>ELNINO ADHITAMA NUGRAHA</t>
  </si>
  <si>
    <t>NINO</t>
  </si>
  <si>
    <t>EMERY CHESSA ARKANA ZAHAB</t>
  </si>
  <si>
    <t>CHESSA</t>
  </si>
  <si>
    <t>GANENDRA FATHA ARFADHYA</t>
  </si>
  <si>
    <t>GENTA</t>
  </si>
  <si>
    <t>GHAISAN RABBANI INDRAWAN</t>
  </si>
  <si>
    <t>GHAISAN</t>
  </si>
  <si>
    <t>HANANIA AUFA JENNAIRA</t>
  </si>
  <si>
    <t>HANA</t>
  </si>
  <si>
    <t>JESLYN</t>
  </si>
  <si>
    <t>KANEISHIA ANNIRA DIVYANISA</t>
  </si>
  <si>
    <t>KANES</t>
  </si>
  <si>
    <t>KIANO HARSHAD MALIK</t>
  </si>
  <si>
    <t>AKAI</t>
  </si>
  <si>
    <t>KINZA XAVIER FAEYZA</t>
  </si>
  <si>
    <t>KINZA</t>
  </si>
  <si>
    <t>MEGA PUTRI KUSMAN ADY</t>
  </si>
  <si>
    <t>MEGA</t>
  </si>
  <si>
    <t>MELODY EIREEN BIONDI</t>
  </si>
  <si>
    <t>MELODY</t>
  </si>
  <si>
    <t>MUHAMMAD ARSENLIO ABIYYU ANWAR</t>
  </si>
  <si>
    <t>ABIYYU</t>
  </si>
  <si>
    <t>MUHAMMAD IBRAHIM AL FATIH DIYAN</t>
  </si>
  <si>
    <t>BAIM</t>
  </si>
  <si>
    <t>ORLIN RACHELLE FAHLEVIN</t>
  </si>
  <si>
    <t>ORLIN</t>
  </si>
  <si>
    <t>QABILA KAYSHA FITRIYADI</t>
  </si>
  <si>
    <t>QABILA</t>
  </si>
  <si>
    <t>RAFFASHA FAEZA HARIRI</t>
  </si>
  <si>
    <t>RAFFASHA</t>
  </si>
  <si>
    <t>SALMAN HASAN ARRASYID</t>
  </si>
  <si>
    <t>SALMAN</t>
  </si>
  <si>
    <t>SYDNEY SARIFAH PUTRI BUDIYANTORO</t>
  </si>
  <si>
    <t>SYDNEY</t>
  </si>
  <si>
    <t>ADNAN MANAF RACHMAN</t>
  </si>
  <si>
    <t>MANAF</t>
  </si>
  <si>
    <t>2 MADINAH</t>
  </si>
  <si>
    <t>AIRLANGGA AL IHSAN</t>
  </si>
  <si>
    <t>BOBOY</t>
  </si>
  <si>
    <t>AISHWA ADZKIYA KAMIL</t>
  </si>
  <si>
    <t>AIS</t>
  </si>
  <si>
    <t>AIZA GAURI NUHA</t>
  </si>
  <si>
    <t>AIZA</t>
  </si>
  <si>
    <t>ALMAHYRA QIRANI HERDIANTA</t>
  </si>
  <si>
    <t>ALMA</t>
  </si>
  <si>
    <t>ALTAN FAEYZA SHAQEEL KESUMA</t>
  </si>
  <si>
    <t>SHAQEEL</t>
  </si>
  <si>
    <t>AQILATUNNISA ZAIDA SALSABILA</t>
  </si>
  <si>
    <t>ASSYIFA AZHAR</t>
  </si>
  <si>
    <t>SYIFA</t>
  </si>
  <si>
    <t>ATHALLA ZATRIA ARDA</t>
  </si>
  <si>
    <t>ATHALLAH</t>
  </si>
  <si>
    <t>BAGAS AL FATH</t>
  </si>
  <si>
    <t>BAGAS</t>
  </si>
  <si>
    <t>CALIXTO GAVRIEL UTOMO</t>
  </si>
  <si>
    <t>AVI</t>
  </si>
  <si>
    <t>CARRISA AURORA SHAQUEELA</t>
  </si>
  <si>
    <t>ICHA</t>
  </si>
  <si>
    <t>CYRA SHEZA FAYYOLA SIGIT</t>
  </si>
  <si>
    <t>CYRA</t>
  </si>
  <si>
    <t>FAHRI EMYR AL HUSEN</t>
  </si>
  <si>
    <t>EMYR</t>
  </si>
  <si>
    <t>FATHAN RASHEED WIRATAMA</t>
  </si>
  <si>
    <t>FATHAN</t>
  </si>
  <si>
    <t>HAIDAR HARYO KUSUMAYUDHA</t>
  </si>
  <si>
    <t xml:space="preserve">HAIDAR </t>
  </si>
  <si>
    <t>INDIRA ALLESHA ELGANES</t>
  </si>
  <si>
    <t>ASYA</t>
  </si>
  <si>
    <t>JACINTA NIRANJANA YUNARKO</t>
  </si>
  <si>
    <t>JESS</t>
  </si>
  <si>
    <t>KAI DEFA CAHYADI</t>
  </si>
  <si>
    <t>KAI</t>
  </si>
  <si>
    <t>KAWAKIBI AUSHAF KALANDRA NALURI</t>
  </si>
  <si>
    <t>KAWA</t>
  </si>
  <si>
    <t>KEMILAU BENING CAHAYA INDRAWAN</t>
  </si>
  <si>
    <t>KIMI</t>
  </si>
  <si>
    <t>KHAYRA NUR AISHA</t>
  </si>
  <si>
    <t>KHAY</t>
  </si>
  <si>
    <t>MUHAMMAD HABEEL RAMADHAN</t>
  </si>
  <si>
    <t>HABEEL</t>
  </si>
  <si>
    <t>MUHAMMAD RAFIF SHIDDIQ SETIADI</t>
  </si>
  <si>
    <t>RAFIF</t>
  </si>
  <si>
    <t>MUHAMMAD YUNUS</t>
  </si>
  <si>
    <t>YUNUS</t>
  </si>
  <si>
    <t>PANGERAN SATYA SURYADI</t>
  </si>
  <si>
    <t>SATYA</t>
  </si>
  <si>
    <t>RAESHA NURUL LATIFAH</t>
  </si>
  <si>
    <t>RAESHA</t>
  </si>
  <si>
    <t>RANIA ASHALINA NALADHIPA</t>
  </si>
  <si>
    <t>RANIA</t>
  </si>
  <si>
    <t>SHAQUEENA MARYAM AZZAHRA</t>
  </si>
  <si>
    <t>QUEENA</t>
  </si>
  <si>
    <t>SITI FATIMAH NURLIANAFIRI</t>
  </si>
  <si>
    <t>IMA</t>
  </si>
  <si>
    <t>SYAMIL ABDURRAHMAN HUSAEIN</t>
  </si>
  <si>
    <t>SYAMIL</t>
  </si>
  <si>
    <t>TRISTAN WILLY WIJAYANTO</t>
  </si>
  <si>
    <t>TRISTAN</t>
  </si>
  <si>
    <t>ADAM ALDEBARAN MULYA PRAKASA</t>
  </si>
  <si>
    <t>BARA</t>
  </si>
  <si>
    <t>2 MINA</t>
  </si>
  <si>
    <t>ADDAR QUTHNI PUTRA HAMID</t>
  </si>
  <si>
    <t>ADDAR</t>
  </si>
  <si>
    <t>AIRA HIKARI AVICENNA</t>
  </si>
  <si>
    <t>AIRA</t>
  </si>
  <si>
    <t>ALE LANGIT RAMADHAN</t>
  </si>
  <si>
    <t>ALE</t>
  </si>
  <si>
    <t>ALULA JAWARA SAPUTRA</t>
  </si>
  <si>
    <t>ALULA</t>
  </si>
  <si>
    <t>AMIRA NURHAFSAH SYAFFIYAH</t>
  </si>
  <si>
    <t>AMIRA</t>
  </si>
  <si>
    <t>AQILLA IZZA ARRAHMAN</t>
  </si>
  <si>
    <t>AQILLA</t>
  </si>
  <si>
    <t>ARZANKA SYAZANI ROSA</t>
  </si>
  <si>
    <t>ARZA</t>
  </si>
  <si>
    <t>AYSHA RAHMA AFIFAH</t>
  </si>
  <si>
    <t>AYSHA</t>
  </si>
  <si>
    <t>DELLANO ALBY NARESHWARA</t>
  </si>
  <si>
    <t>ALBY</t>
  </si>
  <si>
    <t>DIVYANISA MINARA SHEZAN</t>
  </si>
  <si>
    <t>MINARA</t>
  </si>
  <si>
    <t>GHADIZA PENDRANIA MAAZ</t>
  </si>
  <si>
    <t>GHIZA</t>
  </si>
  <si>
    <t>HAFIZA HANUM SALSABIELA</t>
  </si>
  <si>
    <t>HANUM</t>
  </si>
  <si>
    <t>HAMIZ IBRAHIM SYAH</t>
  </si>
  <si>
    <t>HAMIZ</t>
  </si>
  <si>
    <t>HARINTAKA SATRIO PEMBUDI</t>
  </si>
  <si>
    <t>TAKA</t>
  </si>
  <si>
    <t>HAWLA ASSYIFA RAMADHANI</t>
  </si>
  <si>
    <t>HAWLA</t>
  </si>
  <si>
    <t>KAIYA ATHALLA KURNIAWAN</t>
  </si>
  <si>
    <t>KAIYA</t>
  </si>
  <si>
    <t>KEINARA ZAREENA GHAISANI</t>
  </si>
  <si>
    <t>KEINARA</t>
  </si>
  <si>
    <t>KENICHI ATHALLA KANEMOTO</t>
  </si>
  <si>
    <t>KENICHI</t>
  </si>
  <si>
    <t>KIANA NURAISHA AZKADINA</t>
  </si>
  <si>
    <t>KIANA</t>
  </si>
  <si>
    <t>MADA AQILLA SYAFA</t>
  </si>
  <si>
    <t>QILLA</t>
  </si>
  <si>
    <t>MYKHAYLLA TAVISHA NAFIANA</t>
  </si>
  <si>
    <t>KYKA</t>
  </si>
  <si>
    <t>QUINN ARSYILA ZARA AL AMIN</t>
  </si>
  <si>
    <t>SYILA</t>
  </si>
  <si>
    <t>RAFIF FAEYZA RAHMAWAN</t>
  </si>
  <si>
    <t>RAYHAN AMALA RASHID</t>
  </si>
  <si>
    <t>RAYHAN</t>
  </si>
  <si>
    <t>REIFANSYAH YOGA PRATAMA</t>
  </si>
  <si>
    <t>YOGA</t>
  </si>
  <si>
    <t>RESPATI ALI IBRAHIM</t>
  </si>
  <si>
    <t>IBRAHIM</t>
  </si>
  <si>
    <t>RIFAT ADRIAN MAULANA</t>
  </si>
  <si>
    <t>RIFAT</t>
  </si>
  <si>
    <t>SAFINA ZAHRA ANDRIANI</t>
  </si>
  <si>
    <t>SAFINA</t>
  </si>
  <si>
    <t>SULTAN ARSENIO RAFFASYA</t>
  </si>
  <si>
    <t>SULTAN RAFFASYA</t>
  </si>
  <si>
    <t>SYAFIRA KIRANA MAHARANI SUTOPO</t>
  </si>
  <si>
    <t>SYAFIRA</t>
  </si>
  <si>
    <t>ADHILLA GHANIA</t>
  </si>
  <si>
    <t>ADHILLA</t>
  </si>
  <si>
    <t>AFLAN NADIF QADDAFI</t>
  </si>
  <si>
    <t>QADDAFI</t>
  </si>
  <si>
    <t>2 MARWAH</t>
  </si>
  <si>
    <t>AHMAD ATHALLA ZAYN UWAIS</t>
  </si>
  <si>
    <t>ATHALLA</t>
  </si>
  <si>
    <t>ALFATIH RAYHAN AKBAR</t>
  </si>
  <si>
    <t>FATIH</t>
  </si>
  <si>
    <t>ALLAGIA AURA BINAR</t>
  </si>
  <si>
    <t>BINAR</t>
  </si>
  <si>
    <t>ALTHAF BANIFIANDRA ASSIDIQ</t>
  </si>
  <si>
    <t>AMIRA AINUN NAJWA</t>
  </si>
  <si>
    <t>NAJWA</t>
  </si>
  <si>
    <t>ANJANI BTARI ANINDYASWARI</t>
  </si>
  <si>
    <t>ANJANI</t>
  </si>
  <si>
    <t>ARGANI ACHMAD PRADANA</t>
  </si>
  <si>
    <t>ARGA</t>
  </si>
  <si>
    <t>ASSYIFA HUMAIRA RUSTANDI</t>
  </si>
  <si>
    <t>HUMAIRA</t>
  </si>
  <si>
    <t>ATHARAZKA RAVINDRA PERWIRA</t>
  </si>
  <si>
    <t>RAVIN</t>
  </si>
  <si>
    <t>DEANDRA ADERA HERISA PUTRI</t>
  </si>
  <si>
    <t>DEA</t>
  </si>
  <si>
    <t>DHARA ZAHRATUNNISYA</t>
  </si>
  <si>
    <t>DHARA</t>
  </si>
  <si>
    <t>DOVIZIO BENFATWA MAHAD</t>
  </si>
  <si>
    <t>ZIO</t>
  </si>
  <si>
    <t>IBRAHIM RIZVANOVIC ISKANDAR</t>
  </si>
  <si>
    <t>AIM</t>
  </si>
  <si>
    <t>KEITA ARPI</t>
  </si>
  <si>
    <t>KEITA</t>
  </si>
  <si>
    <t>MIHRIMAH SYAMMA DANEENTORO</t>
  </si>
  <si>
    <t>MIHRI</t>
  </si>
  <si>
    <t>MUHAMAD IKHSAN SAERUN</t>
  </si>
  <si>
    <t>IKHSAN</t>
  </si>
  <si>
    <t>MUHAMMAD ASYRAAF SHAHAB</t>
  </si>
  <si>
    <t>ASYRAAF</t>
  </si>
  <si>
    <t>MUHAMMAD MIKAEEL GIBRAN AVICENNA</t>
  </si>
  <si>
    <t>NACITA SHANUMDIYA ESTEL</t>
  </si>
  <si>
    <t>NACITA</t>
  </si>
  <si>
    <t>NAIRA INTAN GUMAY</t>
  </si>
  <si>
    <t>NAIRA</t>
  </si>
  <si>
    <t>QUEENZA ALMAHYRA AMARINDRA</t>
  </si>
  <si>
    <t>QUEENZA</t>
  </si>
  <si>
    <t>RADHIKA ARSHAQ PRAGATA</t>
  </si>
  <si>
    <t>RAKA</t>
  </si>
  <si>
    <t>RAIQA PUTRI ADINDIKA</t>
  </si>
  <si>
    <t>RAIQA</t>
  </si>
  <si>
    <t>SAFIRA ZAHRA ANDRIANI</t>
  </si>
  <si>
    <t>SAFIRA</t>
  </si>
  <si>
    <t>SHAQUEENA AGUTINOOR FARID</t>
  </si>
  <si>
    <t>QUEEN</t>
  </si>
  <si>
    <t>SULTAN NAUFAL HANIF</t>
  </si>
  <si>
    <t>SULTHAN ALVARO AGHNA AL AMIN</t>
  </si>
  <si>
    <t>VARO</t>
  </si>
  <si>
    <t>XEON AQSHAL FIRDAUS</t>
  </si>
  <si>
    <t>XEON</t>
  </si>
  <si>
    <t>ZAHIRA SABHIYA NASSYRA</t>
  </si>
  <si>
    <t>ZAHIRA</t>
  </si>
  <si>
    <t>ZAHRA MAULIDYA AQILA FATHUR</t>
  </si>
  <si>
    <t>ABDUL GHANIY SUPRATAMA</t>
  </si>
  <si>
    <t>AL</t>
  </si>
  <si>
    <t>3 MEKKAH</t>
  </si>
  <si>
    <t>AHMAD DZAKY AL GHAZALI</t>
  </si>
  <si>
    <t>AL GHAZALI</t>
  </si>
  <si>
    <t>ALTHAFALULA VIDYA BRATANDARI</t>
  </si>
  <si>
    <t>LULA</t>
  </si>
  <si>
    <t>ALVIERO PRATAMA GAGAH</t>
  </si>
  <si>
    <t>ALVIERO</t>
  </si>
  <si>
    <t>AMIRA HANUM ARDIYANTI</t>
  </si>
  <si>
    <t>ANESHKA ZHOYA RAVEENA</t>
  </si>
  <si>
    <t>ANESH</t>
  </si>
  <si>
    <t>ARSENIO FARIZA SHIDIQ</t>
  </si>
  <si>
    <t>NIO</t>
  </si>
  <si>
    <t>ARUNA RAFISQY ALFESYAH</t>
  </si>
  <si>
    <t>ARUNA</t>
  </si>
  <si>
    <t>ARZHANKA ABQARY RAFFASYA</t>
  </si>
  <si>
    <t>RASYA</t>
  </si>
  <si>
    <t>ATHAFARIZ FAEYZA FATHURRAHMAN</t>
  </si>
  <si>
    <t>ATHAFARIZ</t>
  </si>
  <si>
    <t>BINTANG ARSYLA SHANUM</t>
  </si>
  <si>
    <t>ARSYLA</t>
  </si>
  <si>
    <t>DHEFIN RAQILLA DILAN</t>
  </si>
  <si>
    <t>DHEFIN</t>
  </si>
  <si>
    <t>ELMIRA SHARAPOVA WIJAYA</t>
  </si>
  <si>
    <t>ELMIRA</t>
  </si>
  <si>
    <t>ENAN WIJAYA KUSUMA</t>
  </si>
  <si>
    <t>ENAN</t>
  </si>
  <si>
    <t>FAYYADH KAAFII HIDAYAT</t>
  </si>
  <si>
    <t>FAYYADH</t>
  </si>
  <si>
    <t>HATI ALDARIYA NOER</t>
  </si>
  <si>
    <t>ALDA</t>
  </si>
  <si>
    <t>KANAKA JUN ALFALAH</t>
  </si>
  <si>
    <t>KANAKA JUN</t>
  </si>
  <si>
    <t>KHADIJAH NAOMYLOVA AMINUDDIN</t>
  </si>
  <si>
    <t>NAOMY</t>
  </si>
  <si>
    <t>MAQIL MAHMUD ELFATA</t>
  </si>
  <si>
    <t>ELFATA</t>
  </si>
  <si>
    <t>MUHAMMAD RAJENDRA ZAFRAN ARKATAMA</t>
  </si>
  <si>
    <t>ZAFRAN</t>
  </si>
  <si>
    <t>NAFILAH CAHYA RAMADHANI</t>
  </si>
  <si>
    <t>NAFILAH</t>
  </si>
  <si>
    <t>NAYYARA ILONA MYSHA</t>
  </si>
  <si>
    <t>NAYYARA</t>
  </si>
  <si>
    <t>PUTRI AULIA</t>
  </si>
  <si>
    <t>PUTRI</t>
  </si>
  <si>
    <t>RAFANDA NADHIFA ADSILA</t>
  </si>
  <si>
    <t>NADHIFA</t>
  </si>
  <si>
    <t>RANIA ADZRA ALMAHYRA</t>
  </si>
  <si>
    <t>RAYYANKA ASH ZAQWAN</t>
  </si>
  <si>
    <t>RAYYAN</t>
  </si>
  <si>
    <t>SABRINA</t>
  </si>
  <si>
    <t>SASA</t>
  </si>
  <si>
    <t>SHA QUEENA SAFEERA</t>
  </si>
  <si>
    <t>ZAHID KHAIZURAN MUQORROBIN</t>
  </si>
  <si>
    <t>ZAHID</t>
  </si>
  <si>
    <t>ZALIKA HAKIM</t>
  </si>
  <si>
    <t>ZALIKA</t>
  </si>
  <si>
    <t>ZAYDAN ABRAR MALIK PANGGABEAN</t>
  </si>
  <si>
    <t>ABHIVANDYA KHAI AL BIRRU</t>
  </si>
  <si>
    <t>KHAI</t>
  </si>
  <si>
    <t>3 MADINAH</t>
  </si>
  <si>
    <t>ABIYA SHAULA MECCA</t>
  </si>
  <si>
    <t>ABIYA</t>
  </si>
  <si>
    <t>AHMAD ARIA GHOFARANA</t>
  </si>
  <si>
    <t>GHOFAR</t>
  </si>
  <si>
    <t>AHMAD ATHALLAH AZFAR</t>
  </si>
  <si>
    <t>ATHA</t>
  </si>
  <si>
    <t>ALIFIA RAFANDA ROSA</t>
  </si>
  <si>
    <t>RAFANDA</t>
  </si>
  <si>
    <t>ALKANA AFZAM DRAJAT</t>
  </si>
  <si>
    <t>ALMIRA ALYA RACHMAWATI</t>
  </si>
  <si>
    <t>ALYA</t>
  </si>
  <si>
    <t>ALRESCHA NARESWARA SUSANTO</t>
  </si>
  <si>
    <t>RESCHA</t>
  </si>
  <si>
    <t>AQILLA SHEZA MAULIDA</t>
  </si>
  <si>
    <t>SHEZA</t>
  </si>
  <si>
    <t>ARZAN MAULANA MUZAFFA</t>
  </si>
  <si>
    <t>ARZAN</t>
  </si>
  <si>
    <t>ARZHANKA RAFAEYZA SHAGUFTA</t>
  </si>
  <si>
    <t>EYZA</t>
  </si>
  <si>
    <t>AULIA RAYNELLE HARPAN</t>
  </si>
  <si>
    <t>AULIA</t>
  </si>
  <si>
    <t>CARRISSA NAJLA LASHIRA</t>
  </si>
  <si>
    <t>CARRISSA</t>
  </si>
  <si>
    <t>ELODIA LEANDRA SATRIANI HUTOMO</t>
  </si>
  <si>
    <t>LEANDRA</t>
  </si>
  <si>
    <t>HUMAIRA ADZANIA NITINEGORO</t>
  </si>
  <si>
    <t>INDRA HERDIANSYAH</t>
  </si>
  <si>
    <t>INDRA</t>
  </si>
  <si>
    <t>KAISAR AR RANSI HIDAYAT</t>
  </si>
  <si>
    <t>KAISAR</t>
  </si>
  <si>
    <t>KARAMEL ARKA RAMADANI</t>
  </si>
  <si>
    <t>AMEL</t>
  </si>
  <si>
    <t>KEI KHUMAIRAH CHOIRUL</t>
  </si>
  <si>
    <t>KEI</t>
  </si>
  <si>
    <t>KINARA QUEENARISA SHAREEN WIBOWO</t>
  </si>
  <si>
    <t>KINARA</t>
  </si>
  <si>
    <t>MALIK BAHARUDDIN NUGROHO</t>
  </si>
  <si>
    <t>MALIK</t>
  </si>
  <si>
    <t>MIKAIL FAYYADH PRASOJO</t>
  </si>
  <si>
    <t>MIKAIL</t>
  </si>
  <si>
    <t>MIKAYLA PUTRI ANDANI</t>
  </si>
  <si>
    <t>KAYLA</t>
  </si>
  <si>
    <t>MIKHAYLA AZ ZAHRA ZEFANOV</t>
  </si>
  <si>
    <t>LALA</t>
  </si>
  <si>
    <t>MUHAMMAD ARSYIL MAJID KOESUMAH</t>
  </si>
  <si>
    <t>ARSYIL</t>
  </si>
  <si>
    <t>MUHAMMAD DAFAZ NURWANDA</t>
  </si>
  <si>
    <t>DAFAZ</t>
  </si>
  <si>
    <t>MUHAMMAD RENAN ISYA</t>
  </si>
  <si>
    <t>RENAN</t>
  </si>
  <si>
    <t>RAFA SALMAN ALHAJJ</t>
  </si>
  <si>
    <t>RAFA</t>
  </si>
  <si>
    <t>RANIA AMEERA ALTHAFUNNISA</t>
  </si>
  <si>
    <t>RAYYEN ADELIO RAFAEL</t>
  </si>
  <si>
    <t>RAYYEN</t>
  </si>
  <si>
    <t>RIEVALISYA NAYANIKA SEMIRA</t>
  </si>
  <si>
    <t>NAYA</t>
  </si>
  <si>
    <t>ADAM SYARIF NUR ROMADHON</t>
  </si>
  <si>
    <t>ADAM</t>
  </si>
  <si>
    <t>3 MINA</t>
  </si>
  <si>
    <t>ALEENA SHAISTA WIRATAMA</t>
  </si>
  <si>
    <t>ALEENA</t>
  </si>
  <si>
    <t>ALIFIA NADEERA ALMIRA S.A</t>
  </si>
  <si>
    <t>ALIFIA</t>
  </si>
  <si>
    <t>ALMEERA QAIREEN CASSIMIRA REANDA</t>
  </si>
  <si>
    <t>AROK BIMASENA BASTIAN</t>
  </si>
  <si>
    <t>AROK</t>
  </si>
  <si>
    <t>ANNASYA MOUZA KUSMAYADI</t>
  </si>
  <si>
    <t>MOUZA</t>
  </si>
  <si>
    <t>ARSYILA LIANA HARDI</t>
  </si>
  <si>
    <t>CILA</t>
  </si>
  <si>
    <t>ARYASATYA ADYATAMA NARENDRA</t>
  </si>
  <si>
    <t>ARYA</t>
  </si>
  <si>
    <t>ASSYAFA KEISHA FAUZIYYAH</t>
  </si>
  <si>
    <t>SYAFA</t>
  </si>
  <si>
    <t>ASSYIFA KEISHA FAUZIYYAH</t>
  </si>
  <si>
    <t>ASSYIFA</t>
  </si>
  <si>
    <t>BIMA RAZENDRA LUCKMANTO</t>
  </si>
  <si>
    <t>BIMA</t>
  </si>
  <si>
    <t>CARRIOSSA ELMINA DERMAWAN</t>
  </si>
  <si>
    <t>OCA</t>
  </si>
  <si>
    <t>DAREL ELJABAR FIRGIAWAN</t>
  </si>
  <si>
    <t>DAREL</t>
  </si>
  <si>
    <t>DARIELL AHMAD RHEVANSHAH</t>
  </si>
  <si>
    <t>ARIEL</t>
  </si>
  <si>
    <t>EGIDIO ANDRIAN KEILANO</t>
  </si>
  <si>
    <t>DIO</t>
  </si>
  <si>
    <t>ERLANGGA SATYA UTAMA</t>
  </si>
  <si>
    <t>ERLAN</t>
  </si>
  <si>
    <t>FAIZ ALVARO DARNAIN</t>
  </si>
  <si>
    <t>FAIZ</t>
  </si>
  <si>
    <t>GALENDRA ARSY YUDOMIJOYO</t>
  </si>
  <si>
    <t>GAGA</t>
  </si>
  <si>
    <t>IBNU HAFIZH HERNAWAN</t>
  </si>
  <si>
    <t>HAFIZH</t>
  </si>
  <si>
    <t>KANAKA ARZAN ZAIN MULYONO</t>
  </si>
  <si>
    <t>KANAKA</t>
  </si>
  <si>
    <t>KHAYLILA ASSYIFA SAPUTRA</t>
  </si>
  <si>
    <t>MAHEER GILBERT GUNAWAN</t>
  </si>
  <si>
    <t>GILBERT</t>
  </si>
  <si>
    <t>MUHAMMAD ZAIN FAEYZA ATMAJA</t>
  </si>
  <si>
    <t>ZAIN</t>
  </si>
  <si>
    <t>NAIRA HANITA KEINARRA</t>
  </si>
  <si>
    <t>QANITA AQILA SUBIANTORO</t>
  </si>
  <si>
    <t>SAYYIDINA MUHAMMAD HERMAWAN</t>
  </si>
  <si>
    <t>AYYID</t>
  </si>
  <si>
    <t>SHAFIYYAH KHANZA AURORA</t>
  </si>
  <si>
    <t>AURORA</t>
  </si>
  <si>
    <t>SYAMIKA HANUM ATTHALAH ROZA</t>
  </si>
  <si>
    <t>TABAROK AL MADANI</t>
  </si>
  <si>
    <t>BARKA</t>
  </si>
  <si>
    <t>ZAFINA NURUL AISYAH</t>
  </si>
  <si>
    <t>ZAFINA</t>
  </si>
  <si>
    <t>ARSHAKA ZHAFRAN AL KHALIFA</t>
  </si>
  <si>
    <t>AALIYAH SYAHIDA AZ-ZAHRA</t>
  </si>
  <si>
    <t>ALIYAH</t>
  </si>
  <si>
    <t>3 MARWAH</t>
  </si>
  <si>
    <t>ABINAYA JUN PRAKOSO</t>
  </si>
  <si>
    <t>ABIN</t>
  </si>
  <si>
    <t>AINAYYA SHEEHAN LASHIRA</t>
  </si>
  <si>
    <t>AINAYYA</t>
  </si>
  <si>
    <t>ALFATHAN PUTRA AGIYASA</t>
  </si>
  <si>
    <t>ALMEER AHMED AL FATIH</t>
  </si>
  <si>
    <t>ALMEER</t>
  </si>
  <si>
    <t>AMARA HANUM ARDIYANTI</t>
  </si>
  <si>
    <t>AMARA</t>
  </si>
  <si>
    <t>AMIRAH TSABITA AZ ZAHRA</t>
  </si>
  <si>
    <t>ABHIA</t>
  </si>
  <si>
    <t>AQLAN ARSHAKA NANDANA</t>
  </si>
  <si>
    <t>ARSHAKA</t>
  </si>
  <si>
    <t>DAFFA AZKARYA WIBOWO</t>
  </si>
  <si>
    <t>DAFFA</t>
  </si>
  <si>
    <t>DIZA NOUMIRA HANIFA</t>
  </si>
  <si>
    <t>DIZA</t>
  </si>
  <si>
    <t>GIBRAN MAHESWARA ARYASATYA</t>
  </si>
  <si>
    <t>IFTITAH KHAERUNNISA MEGEN</t>
  </si>
  <si>
    <t>IFTITAH</t>
  </si>
  <si>
    <t>IINAS HAURA THARFA</t>
  </si>
  <si>
    <t>IINAS</t>
  </si>
  <si>
    <t>JIHAN NAURA PUTRI KURNIAWAN</t>
  </si>
  <si>
    <t>JIHAN</t>
  </si>
  <si>
    <t>KHANSA NAILAH MAHARDIKA</t>
  </si>
  <si>
    <t>KHANSA</t>
  </si>
  <si>
    <t>M. ALDEBARAN SHAQUILLE PRIMA</t>
  </si>
  <si>
    <t>MOANA ZEIN</t>
  </si>
  <si>
    <t>MUHAMMAD ABRAHAM ALEXI</t>
  </si>
  <si>
    <t>ALEXI</t>
  </si>
  <si>
    <t>MUHAMMAD KIANDRA AL GHAZALI</t>
  </si>
  <si>
    <t>MUHAMMAD MIKAIL ZUHUR ALFALIH</t>
  </si>
  <si>
    <t>MUHAMMAD PRADANA LOMALARE</t>
  </si>
  <si>
    <t>DANA</t>
  </si>
  <si>
    <t>NABILA AZZAHRA</t>
  </si>
  <si>
    <t>NABILA</t>
  </si>
  <si>
    <t>NAFEEZA RAFANIA BANUWATI</t>
  </si>
  <si>
    <t>NAFEEZA</t>
  </si>
  <si>
    <t>NAILIS SAADAH</t>
  </si>
  <si>
    <t>ELIS</t>
  </si>
  <si>
    <t>OKTA HARYADI SAID</t>
  </si>
  <si>
    <t>OKTA</t>
  </si>
  <si>
    <t>RAJA RAYYAN ABISATYA SUYUDI</t>
  </si>
  <si>
    <t>RAJA</t>
  </si>
  <si>
    <t>RASHYA XAVIER ALFAEYZA</t>
  </si>
  <si>
    <t>RASHYA</t>
  </si>
  <si>
    <t>SHANELL SAFFANA PRAWIRA</t>
  </si>
  <si>
    <t>SHANELL</t>
  </si>
  <si>
    <t>SHANUM KEFFAYA MAYSHUN</t>
  </si>
  <si>
    <t>SHANUM</t>
  </si>
  <si>
    <t>WAHYU YUNIAR</t>
  </si>
  <si>
    <t>WAHYU</t>
  </si>
  <si>
    <t>AESYA AZZHALEA MECCA PULUNGAN</t>
  </si>
  <si>
    <t>LEA</t>
  </si>
  <si>
    <t>4 MEKKAH</t>
  </si>
  <si>
    <t>ALARIC RAFFASYA SETIAWAN</t>
  </si>
  <si>
    <t>ALARIC</t>
  </si>
  <si>
    <t>ALDEERA AFSHEEN PRADIKA</t>
  </si>
  <si>
    <t>ALDEERA</t>
  </si>
  <si>
    <t>ALIF HAZIQ SUNGKAR</t>
  </si>
  <si>
    <t>ALIF</t>
  </si>
  <si>
    <t>ALMA MUTIA ADEEVA</t>
  </si>
  <si>
    <t>ALZHEA MISHALL SAMAIRA</t>
  </si>
  <si>
    <t>ALZHEA</t>
  </si>
  <si>
    <t>BIANCHA SESYA DEWANTARA</t>
  </si>
  <si>
    <t>BIANCHA</t>
  </si>
  <si>
    <t>DIRGAHAYU ARJUNA PASHA</t>
  </si>
  <si>
    <t>DIRGA</t>
  </si>
  <si>
    <t>FAISAL ALVERO HONO COKRO</t>
  </si>
  <si>
    <t>VERO</t>
  </si>
  <si>
    <t>FEEZA AQILAH</t>
  </si>
  <si>
    <t>FEEZA</t>
  </si>
  <si>
    <t>FELYCIA LASHIRA PUTRI HARYADI</t>
  </si>
  <si>
    <t>FELYC</t>
  </si>
  <si>
    <t>GHANI RASYID SUHENDRA</t>
  </si>
  <si>
    <t>GHANI</t>
  </si>
  <si>
    <t>GIOVANNI ALFARO YAFIQ PUTRA JULIARTO</t>
  </si>
  <si>
    <t>GIO</t>
  </si>
  <si>
    <t>GISCA CORDELIA RAMADANI</t>
  </si>
  <si>
    <t>GISCA</t>
  </si>
  <si>
    <t>HADEINA TEKYANDRA</t>
  </si>
  <si>
    <t>DEINA</t>
  </si>
  <si>
    <t>JAIDEN ALDIANO WIJAYA</t>
  </si>
  <si>
    <t>JEJE</t>
  </si>
  <si>
    <t>KANAYA REINA DEWI</t>
  </si>
  <si>
    <t>KANAYA</t>
  </si>
  <si>
    <t>KEYSHEVA AFSHEEN HERMANA</t>
  </si>
  <si>
    <t>SHEVA</t>
  </si>
  <si>
    <t>MAMBARRA ZIMAM ZAID IRAWAN</t>
  </si>
  <si>
    <t>BARRA</t>
  </si>
  <si>
    <t>MIKAIEL AL FARABY</t>
  </si>
  <si>
    <t>MIKAIEL</t>
  </si>
  <si>
    <t>MUHAMMAD ARSAKHA PUTRA HADRIANTO</t>
  </si>
  <si>
    <t>ARSAKHA</t>
  </si>
  <si>
    <t>NADA LATISHA ANJANI</t>
  </si>
  <si>
    <t>NADA</t>
  </si>
  <si>
    <t>NADIA SHAFIRA GUMAY</t>
  </si>
  <si>
    <t>NADIA</t>
  </si>
  <si>
    <t>NAYLA ALMIRA AZIZAH</t>
  </si>
  <si>
    <t>NAYLA</t>
  </si>
  <si>
    <t>NAJMA SHAKEERA RIYADI</t>
  </si>
  <si>
    <t>SHAKEERA</t>
  </si>
  <si>
    <t>RABHYA FRIDAY ORLIN</t>
  </si>
  <si>
    <t>RAYYAN FILLAH ADYAKSA</t>
  </si>
  <si>
    <t xml:space="preserve">RAYYAN </t>
  </si>
  <si>
    <t>SALSABILA RAYYA DIRVIANA</t>
  </si>
  <si>
    <t>SARAISHA SAKINA ABDULLAH</t>
  </si>
  <si>
    <t>SAKINA</t>
  </si>
  <si>
    <t>SHAKEIL RAFIF ARTANABIL</t>
  </si>
  <si>
    <t>SHAKEIL</t>
  </si>
  <si>
    <t>UMAR RAKA BAGASTYA</t>
  </si>
  <si>
    <t>ABQORY RUNAKO ARSENIO ALYANA</t>
  </si>
  <si>
    <t>ACEN</t>
  </si>
  <si>
    <t>4 MADINAH</t>
  </si>
  <si>
    <t>ACHAZIA ALLETHA PUTRI SUDRAJAT</t>
  </si>
  <si>
    <t>AZIA</t>
  </si>
  <si>
    <t>ADELARD RONALDO RIVANI</t>
  </si>
  <si>
    <t>ALDO</t>
  </si>
  <si>
    <t>ADIA FARANISA</t>
  </si>
  <si>
    <t>ADIA</t>
  </si>
  <si>
    <t>ALESHA WIDYA PUTRI SETIAWAN</t>
  </si>
  <si>
    <t>ALESHA</t>
  </si>
  <si>
    <t>ALISSA PUTRI ARYADILLAH</t>
  </si>
  <si>
    <t>ALISSA</t>
  </si>
  <si>
    <t>ANDITYA KENCANA ALZENA</t>
  </si>
  <si>
    <t>ZENA</t>
  </si>
  <si>
    <t>ANINDITYA PRANIA ZAHRANI</t>
  </si>
  <si>
    <t>AYUDHIA MAHARANI</t>
  </si>
  <si>
    <t>AYU</t>
  </si>
  <si>
    <t>AYUDIA INARA PUTRI</t>
  </si>
  <si>
    <t>INARA</t>
  </si>
  <si>
    <t>EBRAHAM OEMAR SUKMARA</t>
  </si>
  <si>
    <t>EBRO</t>
  </si>
  <si>
    <t>FADHIL KEENAN SITEPU</t>
  </si>
  <si>
    <t>FADIL</t>
  </si>
  <si>
    <t>FIONA ZEA RAMADHANI</t>
  </si>
  <si>
    <t>FIONA</t>
  </si>
  <si>
    <t>FLORIA ANATASYA MASQURI</t>
  </si>
  <si>
    <t>FLO</t>
  </si>
  <si>
    <t>GANENDRA ADHYASTHA REYNAND</t>
  </si>
  <si>
    <t>REYNAND</t>
  </si>
  <si>
    <t>GHINA KHAIRINA RUSKANDAR</t>
  </si>
  <si>
    <t>GHINA</t>
  </si>
  <si>
    <t>HAIA YUSTIKA MEGEN</t>
  </si>
  <si>
    <t>HAIA</t>
  </si>
  <si>
    <t>KENZIE AZALA PUTRA ARIBOWO</t>
  </si>
  <si>
    <t>KENZIE</t>
  </si>
  <si>
    <t>KIANO RYU ATHALAH</t>
  </si>
  <si>
    <t>KIANO</t>
  </si>
  <si>
    <t>LINGGAR FAADHILLAH RAMADHANI</t>
  </si>
  <si>
    <t>LINGGAR</t>
  </si>
  <si>
    <t>MIKA WIKMA KUSTANTO</t>
  </si>
  <si>
    <t>MIKA</t>
  </si>
  <si>
    <t>MUHAMMAD ALFARIZQY MARTANTO</t>
  </si>
  <si>
    <t>FARIZ</t>
  </si>
  <si>
    <t>MUHAMMAD AVICENNA ABDURROHIM</t>
  </si>
  <si>
    <t>CENNA</t>
  </si>
  <si>
    <t>MUHAMMAD ZAIN EL GHALY JAELANI</t>
  </si>
  <si>
    <t>EL ZAIN</t>
  </si>
  <si>
    <t>MUTIARA CAHYA WIBOWO</t>
  </si>
  <si>
    <t>MUTIARA</t>
  </si>
  <si>
    <t>NURLATIFAH ALMAIRA</t>
  </si>
  <si>
    <t>RADEVA GHAISAN DEBRIANSYAH</t>
  </si>
  <si>
    <t>DEVA</t>
  </si>
  <si>
    <t>RAKA AHZA PATRA</t>
  </si>
  <si>
    <t>RICHIE DAMIAN HENG</t>
  </si>
  <si>
    <t>RICHIE</t>
  </si>
  <si>
    <t>SHERYL AZALEA ZAHIN</t>
  </si>
  <si>
    <t>SHERYL</t>
  </si>
  <si>
    <t>SYAURA VELOVE PRAWIRA</t>
  </si>
  <si>
    <t>VELOVE</t>
  </si>
  <si>
    <t>ADYATAMA SAFARAZ HAMIZAN</t>
  </si>
  <si>
    <t>ADY</t>
  </si>
  <si>
    <t>4 MINA</t>
  </si>
  <si>
    <t>AFIDENAYA FREDELLA BIONDI</t>
  </si>
  <si>
    <t>AHMAD FADGHAM ABIZAR</t>
  </si>
  <si>
    <t>ABIZAR</t>
  </si>
  <si>
    <t>ALULA LUVENA MYESHA</t>
  </si>
  <si>
    <t>ANDYRA NAIFA FADHEELA</t>
  </si>
  <si>
    <t>NAIFA</t>
  </si>
  <si>
    <t>ANINDITA KEISHA ZAHRA</t>
  </si>
  <si>
    <t>ARSAKHA NARENDRA PRATAMA</t>
  </si>
  <si>
    <t>ATAYA RAFIQ AKBAR</t>
  </si>
  <si>
    <t>ATHAYA</t>
  </si>
  <si>
    <t>AYUKA ANDINA RUSMIANTO</t>
  </si>
  <si>
    <t>YUKA</t>
  </si>
  <si>
    <t>BILQIS NADHIFFA AZZAHRA</t>
  </si>
  <si>
    <t>NADHIFFA</t>
  </si>
  <si>
    <t>BRILLIANT AIDANO LUCIAN HERGANTARA</t>
  </si>
  <si>
    <t>ANO</t>
  </si>
  <si>
    <t>DZAKIR TSABIT HAMDANI</t>
  </si>
  <si>
    <t>TSABIT</t>
  </si>
  <si>
    <t>FACHRI SIDQI ALARIQ</t>
  </si>
  <si>
    <t>FACHRI</t>
  </si>
  <si>
    <t>GHINA ZAKIYAH</t>
  </si>
  <si>
    <t>ISYANA AFSHEEN NAHDA</t>
  </si>
  <si>
    <t>ISYANA</t>
  </si>
  <si>
    <t>JASMINE ALESHA PURNAMA</t>
  </si>
  <si>
    <t>JASMINE</t>
  </si>
  <si>
    <t>KAIVANDRA ARGYA MANDAKA</t>
  </si>
  <si>
    <t>KEENAN NOAH AL FATIH</t>
  </si>
  <si>
    <t>NOAH</t>
  </si>
  <si>
    <t>KEISHA ELIF FATHUR LATIF</t>
  </si>
  <si>
    <t>ELIF</t>
  </si>
  <si>
    <t>LALITA CHANDRA KIRANA</t>
  </si>
  <si>
    <t>LITA</t>
  </si>
  <si>
    <t>MOIRA ALODITA RAHADIAN</t>
  </si>
  <si>
    <t>MOIRA</t>
  </si>
  <si>
    <t>NABILA AZKHA GAVA PUTRI</t>
  </si>
  <si>
    <t>NAFEEZA ALIFIYA RAGHDA</t>
  </si>
  <si>
    <t>PUTRA DHARMAWAN</t>
  </si>
  <si>
    <t>PUTRA</t>
  </si>
  <si>
    <t>RAFLI YUSUF</t>
  </si>
  <si>
    <t>RAFLI</t>
  </si>
  <si>
    <t>REYQI WAHYU LUCKY PRATAMA</t>
  </si>
  <si>
    <t>REYQI</t>
  </si>
  <si>
    <t>SAFARAZ ADHITAMA WIJAYA</t>
  </si>
  <si>
    <t>ADHIT</t>
  </si>
  <si>
    <t>SHAREEN ALESHA MEDINA</t>
  </si>
  <si>
    <t>USTMAN RAYA BAGASTYA</t>
  </si>
  <si>
    <t>USTMAN</t>
  </si>
  <si>
    <t>VIRENDRA PARAMA WIBOWO</t>
  </si>
  <si>
    <t>RENDRA</t>
  </si>
  <si>
    <t>ZAFARANI CHAYRA FIRMANSYAH</t>
  </si>
  <si>
    <t>ZAFA</t>
  </si>
  <si>
    <t>ADEEVA AFSHEEN MYESHA SIGIT</t>
  </si>
  <si>
    <t>ADEEVA</t>
  </si>
  <si>
    <t>5 MEKKAH</t>
  </si>
  <si>
    <t>ADHWA BAKHTIAR KURNIAWAN</t>
  </si>
  <si>
    <t>ADHWA</t>
  </si>
  <si>
    <t>ADZKIA FAQIHA MUYASSIRAH</t>
  </si>
  <si>
    <t>ADZKIA</t>
  </si>
  <si>
    <t>ADZNATUL ADZLIN REIHANDRA DARMAWAN</t>
  </si>
  <si>
    <t>ADZLIN</t>
  </si>
  <si>
    <t>AGHA FAEYZA AL FARIZI</t>
  </si>
  <si>
    <t>AGHA</t>
  </si>
  <si>
    <t>AIRA AULIA SILVIA</t>
  </si>
  <si>
    <t>AZKA FAEYZA ARSANDY</t>
  </si>
  <si>
    <t>AZKA</t>
  </si>
  <si>
    <t>ALISHA KHAIRA AZZAHRA</t>
  </si>
  <si>
    <t>ALULA ABELIA</t>
  </si>
  <si>
    <t>ARINDA KHAIRA LUBNA</t>
  </si>
  <si>
    <t>BUMI SHANKARA ABHISEVA</t>
  </si>
  <si>
    <t>BUMI</t>
  </si>
  <si>
    <t>DANISH FAUZA ANWAR</t>
  </si>
  <si>
    <t>DANISH</t>
  </si>
  <si>
    <t>DIANDRA QUEENSHA AQILA GUSTI</t>
  </si>
  <si>
    <t>DIANDRA</t>
  </si>
  <si>
    <t>FARRAND BARKAH ECHSANY</t>
  </si>
  <si>
    <t>FARRAND</t>
  </si>
  <si>
    <t>GHAZALI PENDRA MAAZ</t>
  </si>
  <si>
    <t>GHAZA</t>
  </si>
  <si>
    <t>HIROKI ARPI</t>
  </si>
  <si>
    <t>HIROKI</t>
  </si>
  <si>
    <t>JUHLAN SAYFATA MALIK HUTOMO</t>
  </si>
  <si>
    <t>JUHLAN</t>
  </si>
  <si>
    <t>KAHFI ALFATTAH ABDURAHIM</t>
  </si>
  <si>
    <t>KAHFI</t>
  </si>
  <si>
    <t>KAMILA RAFIDAH ADZRAWAN</t>
  </si>
  <si>
    <t>KAMILA</t>
  </si>
  <si>
    <t>KARAYYA NAUFA QAISARA</t>
  </si>
  <si>
    <t>RAYYA</t>
  </si>
  <si>
    <t>KHANZA ZHAFIRA AZZAHRA</t>
  </si>
  <si>
    <t>KHANZA</t>
  </si>
  <si>
    <t>MUHAMMAD ALBI ABADZAR NASUTION</t>
  </si>
  <si>
    <t>ALBI</t>
  </si>
  <si>
    <t>MUHAMMAD SAYYID ABDILLAH MUSYAFFA</t>
  </si>
  <si>
    <t>SAYYID</t>
  </si>
  <si>
    <t>NAFILA ZAHIRA MAULA</t>
  </si>
  <si>
    <t>NAFILA</t>
  </si>
  <si>
    <t>NARENDRA KHAIRAN KAWINDRA</t>
  </si>
  <si>
    <t>REI</t>
  </si>
  <si>
    <t>QABSHA FAIRUZ ZAFFAN</t>
  </si>
  <si>
    <t>FAIRUZ</t>
  </si>
  <si>
    <t>QUEENISA AL JANNATI</t>
  </si>
  <si>
    <t>RAHMAN ZULFA</t>
  </si>
  <si>
    <t>ZULFA</t>
  </si>
  <si>
    <t>REFFAGHINA NURGHASANIY RIZKY</t>
  </si>
  <si>
    <t>REFFA</t>
  </si>
  <si>
    <t>RYSZARD SUTRISNO</t>
  </si>
  <si>
    <t>RYSZARD</t>
  </si>
  <si>
    <t>ZARIFA ALENA NAFEEZA</t>
  </si>
  <si>
    <t>ZARIFA</t>
  </si>
  <si>
    <t>AL BARKLA ABHIESEKA HENDRAWAN</t>
  </si>
  <si>
    <t>BARKLA</t>
  </si>
  <si>
    <t>5 MADINAH</t>
  </si>
  <si>
    <t>ALUNA MIKHAYLA ANINDYA SUTOYO</t>
  </si>
  <si>
    <t>ANANTA RIZKI GUNAWAN</t>
  </si>
  <si>
    <t>ANANTA</t>
  </si>
  <si>
    <t>AQILA RACHMA ALMIRA</t>
  </si>
  <si>
    <t>ARETA ZHAFIRA ANDIKA PUTRI</t>
  </si>
  <si>
    <t>ARETA</t>
  </si>
  <si>
    <t>ARJUNA ZHAFRAN KHAIRY</t>
  </si>
  <si>
    <t>ARJUNA</t>
  </si>
  <si>
    <t>CALESTO ALARIC UTOMO</t>
  </si>
  <si>
    <t>GEA AYUNDIA PRAMESTI ROSI</t>
  </si>
  <si>
    <t>GEA</t>
  </si>
  <si>
    <t>GHANY KHAIRY RUSKANDAR</t>
  </si>
  <si>
    <t>GHANY</t>
  </si>
  <si>
    <t>IBRAHIM AHZA ABDILAH</t>
  </si>
  <si>
    <t>ILMIRA INARA SYAKILA</t>
  </si>
  <si>
    <t>ILMIRA</t>
  </si>
  <si>
    <t>KEENAN DEFA CAHYADI</t>
  </si>
  <si>
    <t>KOKO</t>
  </si>
  <si>
    <t>KEVIN ABIYYU SAVERIO ALTHAAF</t>
  </si>
  <si>
    <t>KEVIN</t>
  </si>
  <si>
    <t>KHANSA ABIDAH PRAMUDITA WAHYU</t>
  </si>
  <si>
    <t>ACA</t>
  </si>
  <si>
    <t>KIANDRA KALILA ALTHAFUNNISA</t>
  </si>
  <si>
    <t>KIKA</t>
  </si>
  <si>
    <t>KINANTI SASYA ADILA</t>
  </si>
  <si>
    <t>KINANTI</t>
  </si>
  <si>
    <t>KRYSTALLUNA AURA BALQIS</t>
  </si>
  <si>
    <t>LUNA</t>
  </si>
  <si>
    <t>LEANDER ARJUNA JANITRA JABBAR</t>
  </si>
  <si>
    <t>JUNA</t>
  </si>
  <si>
    <t>MAHIRA HASNA WIDAD KAMILAH</t>
  </si>
  <si>
    <t>MAHIRA</t>
  </si>
  <si>
    <t>MARYAM JASMINE</t>
  </si>
  <si>
    <t>MARYAM</t>
  </si>
  <si>
    <t>MUHAMMAD HAFIZH RUNAKO ABQORI</t>
  </si>
  <si>
    <t>NAZEERA RATU ELSHAQUILLA</t>
  </si>
  <si>
    <t>ZEERA</t>
  </si>
  <si>
    <t>SAFARAZ FAHMI AZZAM</t>
  </si>
  <si>
    <t>SALSABILLA NADHIFA CANTYKA PUTRI</t>
  </si>
  <si>
    <t>CANTIKA</t>
  </si>
  <si>
    <t>SATRIA AKSA BIMASENA</t>
  </si>
  <si>
    <t>SHAKEENA HUMAIRA BINTARA</t>
  </si>
  <si>
    <t>KEKE</t>
  </si>
  <si>
    <t>SHAQUILLE DANISH AKBAR</t>
  </si>
  <si>
    <t>TASYA KAMILAH IHSAN</t>
  </si>
  <si>
    <t>TRISTAN AURELLIO</t>
  </si>
  <si>
    <t>ZABDAN GHANI ABGARY</t>
  </si>
  <si>
    <t>GHAGAN</t>
  </si>
  <si>
    <t>ZAFRAN PRANAJA HILMAN</t>
  </si>
  <si>
    <t>ALULA FARZANA ROSA</t>
  </si>
  <si>
    <t>5 MINA</t>
  </si>
  <si>
    <t>ALZENA DESTINY HAKIM</t>
  </si>
  <si>
    <t>ALZENA</t>
  </si>
  <si>
    <t>ARSENIO NAUFAL AFKAR</t>
  </si>
  <si>
    <t>ALFATIH RAMADHAN DEWANTORO</t>
  </si>
  <si>
    <t>BERWYN ALARIC ATHALLAH</t>
  </si>
  <si>
    <t>ARIC</t>
  </si>
  <si>
    <t>BHIMA ARYASATYA PRADITYA BASKARA</t>
  </si>
  <si>
    <t>BHIMA</t>
  </si>
  <si>
    <t>CLARISSA ADHISTYA NUGRAHA</t>
  </si>
  <si>
    <t>ADHIS</t>
  </si>
  <si>
    <t>DESVINA ALMIRA MAHENDRA</t>
  </si>
  <si>
    <t>ALMIRA</t>
  </si>
  <si>
    <t>EARLYTA ARSYFA SALSABILA</t>
  </si>
  <si>
    <t>EARLYTA</t>
  </si>
  <si>
    <t>GALAXY BINTANG SEMESTA</t>
  </si>
  <si>
    <t>HAMIZ NAUFAL SUSANTO</t>
  </si>
  <si>
    <t>HAMIZAN SATRIA NARENDRA</t>
  </si>
  <si>
    <t>MIZAN</t>
  </si>
  <si>
    <t>JIHAN KAMILIA</t>
  </si>
  <si>
    <t>KALYANI ANINDYA MAHARANI</t>
  </si>
  <si>
    <t>KHORIJUL BAHRI AJJAUHARI</t>
  </si>
  <si>
    <t>IJUL</t>
  </si>
  <si>
    <t>MIHRIMA ALEXANDRIA EMPIRA</t>
  </si>
  <si>
    <t>MIMA</t>
  </si>
  <si>
    <t>MUHAMMAD ADNAN KHIAR RAFANDRA</t>
  </si>
  <si>
    <t>KHIAR</t>
  </si>
  <si>
    <t>MUHAMMAD ALFATH KHALIFAH</t>
  </si>
  <si>
    <t>ALFATH</t>
  </si>
  <si>
    <t>MUHAMMAD AZFAR GHAZI</t>
  </si>
  <si>
    <t>GHAZI</t>
  </si>
  <si>
    <t>MUHAMMAD FAISHAL AL NAFIS</t>
  </si>
  <si>
    <t>FAISHAL</t>
  </si>
  <si>
    <t>MUHAMMAD NABHAN ARRAZKA</t>
  </si>
  <si>
    <t>NABHAN</t>
  </si>
  <si>
    <t>NAYLA HASNA FADHILAH</t>
  </si>
  <si>
    <t>NAZIRA SYIFA NOVRAYOGI</t>
  </si>
  <si>
    <t>NAZIRA</t>
  </si>
  <si>
    <t>NAZNEEN AOI ADZANI</t>
  </si>
  <si>
    <t>AOI</t>
  </si>
  <si>
    <t>RADHITYA SAKHA ARGANI</t>
  </si>
  <si>
    <t>RADHIT</t>
  </si>
  <si>
    <t>RAIHAN YAHYA ABUDAN</t>
  </si>
  <si>
    <t>RAIHAN</t>
  </si>
  <si>
    <t>RATU ADZKIYA FAKHIRAH SHAKILA</t>
  </si>
  <si>
    <t>KILA</t>
  </si>
  <si>
    <t>SANIKA SHEVA ADARA</t>
  </si>
  <si>
    <t>SANIKA</t>
  </si>
  <si>
    <t>SYAHNAZ MAHEERA WARDANA</t>
  </si>
  <si>
    <t>NANAZ</t>
  </si>
  <si>
    <t>SYAKILLA KINARA DESTRIANI PUTRI</t>
  </si>
  <si>
    <t>ZULFADHLI EL RASYID</t>
  </si>
  <si>
    <t>BABANG EL</t>
  </si>
  <si>
    <t>ACHMAD ZIDANE DANADYAKSA</t>
  </si>
  <si>
    <t>ZIDANE</t>
  </si>
  <si>
    <t>6 MEKKAH</t>
  </si>
  <si>
    <t>AIKO JURO GAVIN HARYOKO</t>
  </si>
  <si>
    <t>IKO</t>
  </si>
  <si>
    <t>AL AFHAM MUFAZZAL JAELANI</t>
  </si>
  <si>
    <t>AL AFHAM</t>
  </si>
  <si>
    <t>ALEYYA MICHAELA SUPRIATNA</t>
  </si>
  <si>
    <t>ALEYYA</t>
  </si>
  <si>
    <t>ALVIS KADZIM ANGGADIKUSUMA</t>
  </si>
  <si>
    <t>ALVIS</t>
  </si>
  <si>
    <t>AMIERA GRACELINA CHANDRA</t>
  </si>
  <si>
    <t>CHELINE</t>
  </si>
  <si>
    <t>AZKIA CALLISTA RAHMA INDRIANTO</t>
  </si>
  <si>
    <t>EARLYTA SHEZA JANEETA</t>
  </si>
  <si>
    <t>EARLY</t>
  </si>
  <si>
    <t>FARREL IVANDER YUSUF</t>
  </si>
  <si>
    <t>FARREL</t>
  </si>
  <si>
    <t>FELICIA NAURA SHAQUILA</t>
  </si>
  <si>
    <t>AQUILA</t>
  </si>
  <si>
    <t>GIRISHA SENNA WARANGGANI</t>
  </si>
  <si>
    <t>GISHA</t>
  </si>
  <si>
    <t>HAJZE BINA ALBANI SAM</t>
  </si>
  <si>
    <t>HAJZ</t>
  </si>
  <si>
    <t>KENZA MARITZA AURELIA</t>
  </si>
  <si>
    <t>ECHA</t>
  </si>
  <si>
    <t>KHAYLA ALMIRA PRADHITA</t>
  </si>
  <si>
    <t>KHAYLA</t>
  </si>
  <si>
    <t>KINARA SHAIRA NATHANIA</t>
  </si>
  <si>
    <t>LEVINA ATHIYA WAHYUDI</t>
  </si>
  <si>
    <t>LEVINA</t>
  </si>
  <si>
    <t>MARSHA CALLISTA PUTRI</t>
  </si>
  <si>
    <t>MIKHAIL YUSUF NAFIANA</t>
  </si>
  <si>
    <t>MUHAMAD ZAYN FADEL RAMDHANI</t>
  </si>
  <si>
    <t>ZAYN</t>
  </si>
  <si>
    <t>MUHAMMAD CEDRIK FADILAH</t>
  </si>
  <si>
    <t>FADHIL</t>
  </si>
  <si>
    <t>NAJMA SYAKIRA FAUZI</t>
  </si>
  <si>
    <t>NAJMA</t>
  </si>
  <si>
    <t>NALADHIYA AINALANI RAHADIAN</t>
  </si>
  <si>
    <t>AINA</t>
  </si>
  <si>
    <t>NAUFAL ADITYA SYAMSYUHUD</t>
  </si>
  <si>
    <t>NAUFAL</t>
  </si>
  <si>
    <t>NAUVAL ALIFIANDRA ASSIDIQ</t>
  </si>
  <si>
    <t>NEYSHA AULIA RAHMA</t>
  </si>
  <si>
    <t>RACHEL ALMIRA IHSAN</t>
  </si>
  <si>
    <t>RACHEL</t>
  </si>
  <si>
    <t>RAFANDRA ADZKA FAHREZA DARSONO</t>
  </si>
  <si>
    <t>RAFANDRA</t>
  </si>
  <si>
    <t>RAIFQI YAFIQ SOLIHIN</t>
  </si>
  <si>
    <t>RAI</t>
  </si>
  <si>
    <t>RAISA NAMILA HUMAIRA</t>
  </si>
  <si>
    <t>RAISA</t>
  </si>
  <si>
    <t>ZAHIRA KALILIA ASHIRA</t>
  </si>
  <si>
    <t>AISYAH RAYA FARLINA SUTRISNO</t>
  </si>
  <si>
    <t>RAYA</t>
  </si>
  <si>
    <t>6 MADINAH</t>
  </si>
  <si>
    <t>AKMAL JALALUDIN NUGROHO</t>
  </si>
  <si>
    <t>AKMAL</t>
  </si>
  <si>
    <t>ALAN CAHYA PRANATA</t>
  </si>
  <si>
    <t>ALAN</t>
  </si>
  <si>
    <t>ALVINO NAUFAL FIRMANSYAH</t>
  </si>
  <si>
    <t>ALVINO</t>
  </si>
  <si>
    <t>AQILLA FEISYA PUTRI ANINDITA</t>
  </si>
  <si>
    <t>ARJUNA SATYA BAGASKARA</t>
  </si>
  <si>
    <t>ARKANANTA DAFANDRA UTOMO</t>
  </si>
  <si>
    <t>ARKA</t>
  </si>
  <si>
    <t>ARNETTA HAFSH QUEEN</t>
  </si>
  <si>
    <t>AVITO IQBAL IBRAHIM</t>
  </si>
  <si>
    <t>IQBAL</t>
  </si>
  <si>
    <t>AYESHA ADLINA QAIREEN</t>
  </si>
  <si>
    <t>AYESHA</t>
  </si>
  <si>
    <t>FADHIL GENIO HONO COKRO</t>
  </si>
  <si>
    <t>GHANI AL-FATH</t>
  </si>
  <si>
    <t>IRFAN KURNIAWAN RAMADHAN</t>
  </si>
  <si>
    <t>IRFAN</t>
  </si>
  <si>
    <t>KAYLA NAFISHA RAMADHANIA</t>
  </si>
  <si>
    <t>KHAISAN FARAUQI RADINHAQ PURBAWISESA</t>
  </si>
  <si>
    <t>DINHAQ</t>
  </si>
  <si>
    <t>MAULIDYA SARI DEWI</t>
  </si>
  <si>
    <t>LIDYA</t>
  </si>
  <si>
    <t>MUHAMAD AKHTAR RAISYAUQI</t>
  </si>
  <si>
    <t>MUHAMMAD NAUFAL ALFARIZI</t>
  </si>
  <si>
    <t>AL FARIZI</t>
  </si>
  <si>
    <t xml:space="preserve">NADEEN AZZAHRAKIDYA RAHMAT </t>
  </si>
  <si>
    <t>NADEEN</t>
  </si>
  <si>
    <t>NADHIRA SAFIYA KABSYAH</t>
  </si>
  <si>
    <t>FIYA</t>
  </si>
  <si>
    <t>NAFAYA KIREINA AZIZI</t>
  </si>
  <si>
    <t>NAFISA AULIA IZZATUNNISA</t>
  </si>
  <si>
    <t>NAFISA</t>
  </si>
  <si>
    <t>NAIFA MILENA ALICIA ISMAIL</t>
  </si>
  <si>
    <t>RAFFA MULKA MUSHAFFA</t>
  </si>
  <si>
    <t>RAFFA</t>
  </si>
  <si>
    <t>RAINA ALISHA MAULANA</t>
  </si>
  <si>
    <t>RAINA</t>
  </si>
  <si>
    <t>RASYA SURYA RAMADHAN</t>
  </si>
  <si>
    <t>RAYSHA HANUM HAMIDI</t>
  </si>
  <si>
    <t>SABIQ FATICHURAHMAN NURROSYIED</t>
  </si>
  <si>
    <t>SABIQ</t>
  </si>
  <si>
    <t>WULAN PERMATA SARI</t>
  </si>
  <si>
    <t>WULAN</t>
  </si>
  <si>
    <t xml:space="preserve">QUEEN MARSHA ELEANA NAFISA </t>
  </si>
  <si>
    <t xml:space="preserve">ELEANA </t>
  </si>
  <si>
    <t>ABRISAM FATIH EL AZZAM</t>
  </si>
  <si>
    <t>6 MINA</t>
  </si>
  <si>
    <t>ADAM ALMEERO ARSYAD LUBIS</t>
  </si>
  <si>
    <t>ADELIO ALDEN ARSH ZAHAB</t>
  </si>
  <si>
    <t>ALDEN</t>
  </si>
  <si>
    <t>ALIKA NAURA ROSEKAMILA DARMAWAN</t>
  </si>
  <si>
    <t>ALIKA</t>
  </si>
  <si>
    <t>ALMAIRA GAVAPUTRI ADRIANTARA</t>
  </si>
  <si>
    <t>ANNISA RAHMA LARASATI</t>
  </si>
  <si>
    <t>ANNISA</t>
  </si>
  <si>
    <t>AYRA KINARA PARAMITHA</t>
  </si>
  <si>
    <t>AYRA</t>
  </si>
  <si>
    <t>BINTANG KINANTI MULYADI</t>
  </si>
  <si>
    <t>BINTANG</t>
  </si>
  <si>
    <t>DELISH AISYA YUWANSA</t>
  </si>
  <si>
    <t>DELISH</t>
  </si>
  <si>
    <t>DIMAS SHAKA AL GHAZALI</t>
  </si>
  <si>
    <t>DIMAS</t>
  </si>
  <si>
    <t>ERINA OKTA AZKADINA</t>
  </si>
  <si>
    <t>FATHIA FILZAH RAHMAN</t>
  </si>
  <si>
    <t>TIA</t>
  </si>
  <si>
    <t>GHATAN AL FATH</t>
  </si>
  <si>
    <t>GHATAN</t>
  </si>
  <si>
    <t>GILBY AXELLO MAULANA</t>
  </si>
  <si>
    <t>AXELLO</t>
  </si>
  <si>
    <t>HAIKAL ANANDA IVANA PUTERA</t>
  </si>
  <si>
    <t>HAYKAL</t>
  </si>
  <si>
    <t>HARUN RASYID HARIRI</t>
  </si>
  <si>
    <t>HARUN</t>
  </si>
  <si>
    <t>HATTA WALY GHANI</t>
  </si>
  <si>
    <t>KARINDRA NADYA KHAIRUNNISA</t>
  </si>
  <si>
    <t>KARIN</t>
  </si>
  <si>
    <t>MUHAMMAD ABYAN SHAKIL</t>
  </si>
  <si>
    <t>BYAN</t>
  </si>
  <si>
    <t>MUHAMMAD AL FATIH CHOIRUL</t>
  </si>
  <si>
    <t>FATIH CHOIRUL</t>
  </si>
  <si>
    <t>MUHAMMAD LAKSAMANA RIZKI AKBAR</t>
  </si>
  <si>
    <t>AKBAR</t>
  </si>
  <si>
    <t>MUHAMMAD REYHAN FAHLEVI</t>
  </si>
  <si>
    <t>REVI</t>
  </si>
  <si>
    <t>NAOMI AZALEA ANARI</t>
  </si>
  <si>
    <t>NAOMI</t>
  </si>
  <si>
    <t>RAQEESHA NARINDHA AZKADINA</t>
  </si>
  <si>
    <t>QEESHA</t>
  </si>
  <si>
    <t>RAYVANGGA PUTRA HARDIAN</t>
  </si>
  <si>
    <t>RAY</t>
  </si>
  <si>
    <t>RHENA KHANZA NABILA MUSLIMAH</t>
  </si>
  <si>
    <t>RHENA</t>
  </si>
  <si>
    <t>ZAHRA RAZQA SABRINA DARUSMAN</t>
  </si>
  <si>
    <t>ZAKIAH KIREYNAHIKARI SETIOKO</t>
  </si>
  <si>
    <t>KIA</t>
  </si>
  <si>
    <t>ARINDA KHAIRA LUBNA.</t>
  </si>
  <si>
    <t>MYKAYLLA TAVISHA NAFIANA</t>
  </si>
  <si>
    <t>LINGGAR FAADHILLAH R</t>
  </si>
  <si>
    <t>KEENAN NOAH AL FATIH.</t>
  </si>
  <si>
    <t>NADIA SHAFIRA GUMAY..</t>
  </si>
  <si>
    <t>NEYSHA AULIA R</t>
  </si>
  <si>
    <t>Rania Ameera Althafunnisa</t>
  </si>
  <si>
    <t>AGHA FAEYZA ALFARIZI</t>
  </si>
  <si>
    <t>Rasya Surya Ramadhan</t>
  </si>
  <si>
    <t>AL FATIH RAMADHAN DEWANTORO</t>
  </si>
  <si>
    <t>Muhammad Naufal Alfarizi</t>
  </si>
  <si>
    <t>PUTRI FREDELLA ANANDA TUYANTO</t>
  </si>
  <si>
    <t>ADYATAMA SAFARAZ HAMIZAN.</t>
  </si>
  <si>
    <t>INDIRA ALLEASHA ELGANES</t>
  </si>
  <si>
    <t>RAFFA MULKA MUSHAFA</t>
  </si>
  <si>
    <t>FLORIA ANASTASYA MASQURI</t>
  </si>
  <si>
    <t>Nadeen Azzahrakidya Rahmat</t>
  </si>
  <si>
    <t>ZAHRA RAZQA SABRINA</t>
  </si>
  <si>
    <t>Muhammad Al Fatih Choirul</t>
  </si>
  <si>
    <t>Naomi Azalea Anari</t>
  </si>
  <si>
    <t>ALMEERA AZZAHRA</t>
  </si>
  <si>
    <t>RHEINA KHANZA N. M</t>
  </si>
  <si>
    <t>Queenisa Al Jannati</t>
  </si>
  <si>
    <t>ANANTA RIZKI GUNAWAN.</t>
  </si>
  <si>
    <t>KAI DEFA CAHYADI.</t>
  </si>
  <si>
    <t>AHMAD ARYA GHOFARANA</t>
  </si>
  <si>
    <t>Naifa Milena Alicia Ismail</t>
  </si>
  <si>
    <t>DIMAS SHAKA AL GHOZALI</t>
  </si>
  <si>
    <t>KAYLA NAFISHA R</t>
  </si>
  <si>
    <t>SYAMIKA HANUM ATTALAH ROZA</t>
  </si>
  <si>
    <t>KEMILAU BENING CAHAYA. I</t>
  </si>
  <si>
    <t>Zahira Kalilla Ashira</t>
  </si>
  <si>
    <t>SITI FATIMAH NURLIANA FITRI</t>
  </si>
  <si>
    <t>KAHFI AL FATTAH ABDURAHIM</t>
  </si>
  <si>
    <t>EBRAHAM OEMAR S</t>
  </si>
  <si>
    <t>RAFASHA FAEYZA HARIRI</t>
  </si>
  <si>
    <t>Amiera Gracelina Chandra</t>
  </si>
  <si>
    <t>SATRIA AKSA BIMASENA..</t>
  </si>
  <si>
    <t>MUHAMMAD ALDEBARAN AIDAN TSAQID</t>
  </si>
  <si>
    <t>KINANTI SASYA ADILA.</t>
  </si>
  <si>
    <t>ALTAN  FAEYZA SHAQEEL</t>
  </si>
  <si>
    <t>SYAMIL ABDURRAHMAN HUSAENI</t>
  </si>
  <si>
    <t>FARREL IVANDER</t>
  </si>
  <si>
    <t>M. LAKSAMANA RIZKI AKBAR</t>
  </si>
  <si>
    <t>KINARA QUEENARISA SHAREEN</t>
  </si>
  <si>
    <t>AMIRAH TSABITA AZ-ZAHRA</t>
  </si>
  <si>
    <t>JASMINE ALESHA P</t>
  </si>
  <si>
    <t>FATHIA FILZAH ROHMAN</t>
  </si>
  <si>
    <t>KARINDRA NADYA K</t>
  </si>
  <si>
    <t>NAZIRA NOVRAYOGI</t>
  </si>
  <si>
    <t>FAHRI EMYR AL HUSEIN</t>
  </si>
  <si>
    <t>FAISAL ALFERO</t>
  </si>
  <si>
    <t>FADHIL GENIO</t>
  </si>
  <si>
    <t>RAJA RAYYAN ABITSA SUYUDI</t>
  </si>
  <si>
    <t>KALYANI ANINDYA MAHARANI.</t>
  </si>
  <si>
    <t>Raina Alisha Maulana</t>
  </si>
  <si>
    <t>KHAYLA ALMIRA PRADITHA</t>
  </si>
  <si>
    <t>ARZAN MAULANA M</t>
  </si>
  <si>
    <t>KEVIN ABIYYU SAVERIO ALTHAAF..</t>
  </si>
  <si>
    <t>AL AFHAM MUFAZZAL JAELANI 3</t>
  </si>
  <si>
    <t>Muhammad Zain El Ghaly Jaelani</t>
  </si>
  <si>
    <t>Arnetta Hafhs Queen</t>
  </si>
  <si>
    <t>FAIZ ALVARO</t>
  </si>
  <si>
    <t>SULTAN ARSENIO R</t>
  </si>
  <si>
    <t>ATHARRAZKA RAVINDRA PERWIRA</t>
  </si>
  <si>
    <t>BINTANG KINANTI M</t>
  </si>
  <si>
    <t>ALTHAF KHAIRY AMAZLAH.</t>
  </si>
  <si>
    <t>Safaraz Fahmi Azzam</t>
  </si>
  <si>
    <t>SANIKA SHEVA ADARA.</t>
  </si>
  <si>
    <t>SYDNEY SYARIFAH PUTRI BUDYANTORO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</si>
</sst>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* #.##0_);_(* \(#.##0\);_(* &quot;-&quot;_);_(@_)"/>
    <numFmt numFmtId="166" formatCode="_(* #,##0_);_(* \(#,##0\);_(* &quot;-&quot;??_);_(@_)"/>
    <numFmt numFmtId="167" formatCode="_(* #,##0.00_);_(* \(#,##0.00\);_(* &quot;-&quot;??_);_(@_)"/>
    <numFmt numFmtId="168" formatCode="_-* #,##0_-;\-* #,##0_-;_-* &quot;-&quot;??_-;_-@_-"/>
  </numFmts>
  <fonts count="30">
    <font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name val="Calibri"/>
      <family val="2"/>
    </font>
    <font>
      <sz val="11"/>
      <name val="Calibri"/>
      <family val="2"/>
    </font>
    <font>
      <sz val="10"/>
      <color indexed="8"/>
      <name val="SansSerif"/>
    </font>
    <font>
      <b/>
      <sz val="11"/>
      <name val="Calibri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5">
    <xf numFmtId="0" fontId="0" fillId="0" borderId="0"/>
    <xf numFmtId="164" fontId="16" fillId="0" borderId="0" applyFont="0" applyFill="0" applyBorder="0" applyAlignment="0" applyProtection="0"/>
    <xf numFmtId="0" fontId="14" fillId="0" borderId="0"/>
    <xf numFmtId="165" fontId="14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4" fillId="0" borderId="0" applyFont="0" applyFill="0" applyBorder="0" applyAlignment="0" applyProtection="0"/>
    <xf numFmtId="0" fontId="14" fillId="0" borderId="0"/>
    <xf numFmtId="0" fontId="12" fillId="0" borderId="0"/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0" fontId="11" fillId="0" borderId="0"/>
    <xf numFmtId="41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0" fillId="0" borderId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9" fillId="0" borderId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8" fillId="0" borderId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7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6" fillId="0" borderId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5" fillId="0" borderId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4" fillId="0" borderId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2">
    <xf numFmtId="0" fontId="0" fillId="0" borderId="0" xfId="0"/>
    <xf numFmtId="0" fontId="0" fillId="0" borderId="0" xfId="0" applyAlignment="1">
      <alignment horizontal="left" vertical="center"/>
    </xf>
    <xf numFmtId="1" fontId="0" fillId="0" borderId="0" xfId="0" applyNumberFormat="1" applyAlignment="1">
      <alignment horizontal="left" vertical="center"/>
    </xf>
    <xf numFmtId="0" fontId="0" fillId="3" borderId="0" xfId="0" applyFill="1" applyAlignment="1">
      <alignment horizontal="left" vertical="center"/>
    </xf>
    <xf numFmtId="164" fontId="0" fillId="4" borderId="0" xfId="1" applyFont="1" applyFill="1" applyAlignment="1">
      <alignment horizontal="left" vertical="center"/>
    </xf>
    <xf numFmtId="0" fontId="15" fillId="5" borderId="0" xfId="0" applyFont="1" applyFill="1" applyAlignment="1">
      <alignment horizontal="center" vertical="center"/>
    </xf>
    <xf numFmtId="0" fontId="19" fillId="0" borderId="0" xfId="2" applyFont="1" applyAlignment="1">
      <alignment vertical="center"/>
    </xf>
    <xf numFmtId="0" fontId="20" fillId="0" borderId="0" xfId="2" applyFont="1" applyAlignment="1">
      <alignment vertical="center"/>
    </xf>
    <xf numFmtId="164" fontId="21" fillId="0" borderId="0" xfId="2" applyNumberFormat="1" applyFont="1" applyAlignment="1">
      <alignment vertical="center"/>
    </xf>
    <xf numFmtId="164" fontId="20" fillId="0" borderId="0" xfId="2" applyNumberFormat="1" applyFont="1" applyAlignment="1">
      <alignment vertical="center"/>
    </xf>
    <xf numFmtId="0" fontId="21" fillId="0" borderId="0" xfId="2" applyFont="1" applyAlignment="1">
      <alignment vertical="center"/>
    </xf>
    <xf numFmtId="0" fontId="0" fillId="5" borderId="0" xfId="0" applyFill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164" fontId="18" fillId="5" borderId="1" xfId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" fontId="0" fillId="0" borderId="1" xfId="0" applyNumberFormat="1" applyBorder="1" applyAlignment="1">
      <alignment horizontal="left" vertical="center"/>
    </xf>
    <xf numFmtId="0" fontId="17" fillId="3" borderId="1" xfId="0" applyFont="1" applyFill="1" applyBorder="1" applyAlignment="1">
      <alignment horizontal="left" vertical="center" wrapText="1"/>
    </xf>
    <xf numFmtId="164" fontId="0" fillId="4" borderId="1" xfId="1" applyFont="1" applyFill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17" fillId="3" borderId="2" xfId="0" applyFont="1" applyFill="1" applyBorder="1" applyAlignment="1">
      <alignment horizontal="left" vertical="center" wrapText="1"/>
    </xf>
    <xf numFmtId="164" fontId="0" fillId="4" borderId="2" xfId="1" applyFont="1" applyFill="1" applyBorder="1" applyAlignment="1">
      <alignment horizontal="left" vertical="center"/>
    </xf>
    <xf numFmtId="164" fontId="20" fillId="0" borderId="0" xfId="1" applyFont="1" applyAlignment="1">
      <alignment vertical="center"/>
    </xf>
    <xf numFmtId="164" fontId="21" fillId="0" borderId="0" xfId="1" applyFont="1" applyAlignment="1">
      <alignment vertical="center"/>
    </xf>
    <xf numFmtId="164" fontId="21" fillId="0" borderId="0" xfId="1" applyFont="1" applyFill="1" applyAlignment="1">
      <alignment vertical="center"/>
    </xf>
    <xf numFmtId="164" fontId="20" fillId="0" borderId="0" xfId="1" applyFont="1" applyFill="1" applyAlignment="1">
      <alignment vertical="center"/>
    </xf>
    <xf numFmtId="164" fontId="15" fillId="5" borderId="1" xfId="1" applyFont="1" applyFill="1" applyBorder="1" applyAlignment="1">
      <alignment horizontal="center" vertical="center"/>
    </xf>
    <xf numFmtId="164" fontId="0" fillId="0" borderId="0" xfId="1" applyFont="1" applyAlignment="1">
      <alignment horizontal="left" vertical="center"/>
    </xf>
    <xf numFmtId="164" fontId="0" fillId="3" borderId="0" xfId="1" applyFont="1" applyFill="1" applyAlignment="1">
      <alignment horizontal="right" vertical="center"/>
    </xf>
    <xf numFmtId="164" fontId="0" fillId="3" borderId="0" xfId="1" applyFont="1" applyFill="1" applyAlignment="1">
      <alignment horizontal="left" vertical="center"/>
    </xf>
    <xf numFmtId="164" fontId="0" fillId="3" borderId="0" xfId="1" applyFont="1" applyFill="1" applyAlignment="1">
      <alignment horizontal="center" vertical="center"/>
    </xf>
    <xf numFmtId="49" fontId="21" fillId="0" borderId="0" xfId="2" applyNumberFormat="1" applyFont="1" applyAlignment="1">
      <alignment vertical="center"/>
    </xf>
    <xf numFmtId="49" fontId="15" fillId="5" borderId="1" xfId="0" applyNumberFormat="1" applyFont="1" applyFill="1" applyBorder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164" fontId="0" fillId="0" borderId="1" xfId="1" applyFont="1" applyFill="1" applyBorder="1" applyAlignment="1">
      <alignment horizontal="left" vertical="center"/>
    </xf>
    <xf numFmtId="164" fontId="0" fillId="0" borderId="0" xfId="1" applyFont="1" applyFill="1" applyAlignment="1">
      <alignment horizontal="left" vertical="center"/>
    </xf>
    <xf numFmtId="164" fontId="15" fillId="2" borderId="1" xfId="1" applyFont="1" applyFill="1" applyBorder="1" applyAlignment="1">
      <alignment horizontal="center" vertical="center"/>
    </xf>
    <xf numFmtId="164" fontId="17" fillId="3" borderId="3" xfId="1" applyFont="1" applyFill="1" applyBorder="1" applyAlignment="1">
      <alignment horizontal="right" vertical="center" wrapText="1"/>
    </xf>
    <xf numFmtId="164" fontId="17" fillId="3" borderId="5" xfId="1" applyFont="1" applyFill="1" applyBorder="1" applyAlignment="1">
      <alignment horizontal="right" vertical="center" wrapText="1"/>
    </xf>
    <xf numFmtId="164" fontId="0" fillId="0" borderId="4" xfId="1" applyFont="1" applyBorder="1" applyAlignment="1">
      <alignment horizontal="left" vertical="center"/>
    </xf>
    <xf numFmtId="164" fontId="0" fillId="0" borderId="6" xfId="1" applyFont="1" applyBorder="1" applyAlignment="1">
      <alignment horizontal="left" vertical="center"/>
    </xf>
    <xf numFmtId="164" fontId="0" fillId="0" borderId="2" xfId="1" applyFont="1" applyFill="1" applyBorder="1" applyAlignment="1">
      <alignment horizontal="left" vertical="center"/>
    </xf>
    <xf numFmtId="164" fontId="15" fillId="0" borderId="1" xfId="1" applyFont="1" applyFill="1" applyBorder="1" applyAlignment="1">
      <alignment horizontal="center" vertical="center"/>
    </xf>
    <xf numFmtId="164" fontId="0" fillId="3" borderId="3" xfId="1" applyFont="1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 wrapText="1"/>
    </xf>
    <xf numFmtId="164" fontId="0" fillId="3" borderId="3" xfId="1" applyFont="1" applyFill="1" applyBorder="1" applyAlignment="1">
      <alignment horizontal="right" vertical="center" wrapText="1"/>
    </xf>
    <xf numFmtId="164" fontId="0" fillId="3" borderId="1" xfId="1" applyFont="1" applyFill="1" applyBorder="1" applyAlignment="1">
      <alignment horizontal="right" vertical="center" wrapText="1"/>
    </xf>
    <xf numFmtId="0" fontId="0" fillId="0" borderId="1" xfId="0" applyBorder="1" applyAlignment="1">
      <alignment horizontal="left" vertical="center" wrapText="1"/>
    </xf>
    <xf numFmtId="14" fontId="0" fillId="3" borderId="1" xfId="0" applyNumberFormat="1" applyFill="1" applyBorder="1" applyAlignment="1">
      <alignment horizontal="center" vertical="center"/>
    </xf>
    <xf numFmtId="21" fontId="0" fillId="3" borderId="1" xfId="0" applyNumberFormat="1" applyFill="1" applyBorder="1" applyAlignment="1">
      <alignment horizontal="center" vertical="center"/>
    </xf>
    <xf numFmtId="164" fontId="0" fillId="0" borderId="1" xfId="1" applyFont="1" applyBorder="1" applyAlignment="1">
      <alignment horizontal="left" vertical="center"/>
    </xf>
    <xf numFmtId="164" fontId="0" fillId="3" borderId="1" xfId="1" applyFont="1" applyFill="1" applyBorder="1" applyAlignment="1">
      <alignment horizontal="right" vertical="center"/>
    </xf>
    <xf numFmtId="0" fontId="24" fillId="7" borderId="1" xfId="8" applyFont="1" applyFill="1" applyBorder="1" applyAlignment="1">
      <alignment vertical="center"/>
    </xf>
    <xf numFmtId="0" fontId="24" fillId="0" borderId="1" xfId="8" applyFont="1" applyBorder="1" applyAlignment="1">
      <alignment vertical="center"/>
    </xf>
    <xf numFmtId="0" fontId="24" fillId="0" borderId="1" xfId="8" applyFont="1" applyBorder="1" applyAlignment="1">
      <alignment vertical="center" wrapText="1"/>
    </xf>
    <xf numFmtId="0" fontId="24" fillId="0" borderId="7" xfId="8" applyFont="1" applyBorder="1" applyAlignment="1">
      <alignment vertical="center" wrapText="1"/>
    </xf>
    <xf numFmtId="41" fontId="24" fillId="0" borderId="1" xfId="7" applyFont="1" applyBorder="1" applyAlignment="1">
      <alignment horizontal="right" vertical="center"/>
    </xf>
    <xf numFmtId="0" fontId="24" fillId="0" borderId="1" xfId="8" applyFont="1" applyBorder="1" applyAlignment="1">
      <alignment horizontal="left" vertical="center"/>
    </xf>
    <xf numFmtId="43" fontId="25" fillId="0" borderId="1" xfId="7" applyNumberFormat="1" applyFont="1" applyFill="1" applyBorder="1" applyAlignment="1">
      <alignment vertical="center"/>
    </xf>
    <xf numFmtId="166" fontId="25" fillId="0" borderId="1" xfId="7" applyNumberFormat="1" applyFont="1" applyFill="1" applyBorder="1" applyAlignment="1">
      <alignment vertical="center"/>
    </xf>
    <xf numFmtId="41" fontId="25" fillId="0" borderId="1" xfId="7" applyFont="1" applyFill="1" applyBorder="1" applyAlignment="1">
      <alignment vertical="center"/>
    </xf>
    <xf numFmtId="164" fontId="0" fillId="2" borderId="1" xfId="1" applyFont="1" applyFill="1" applyBorder="1" applyAlignment="1">
      <alignment horizontal="left" vertical="center"/>
    </xf>
    <xf numFmtId="164" fontId="0" fillId="2" borderId="2" xfId="1" applyFont="1" applyFill="1" applyBorder="1" applyAlignment="1">
      <alignment horizontal="left" vertical="center"/>
    </xf>
    <xf numFmtId="0" fontId="1" fillId="0" borderId="0" xfId="42"/>
    <xf numFmtId="14" fontId="1" fillId="0" borderId="0" xfId="42" applyNumberFormat="1"/>
    <xf numFmtId="21" fontId="1" fillId="0" borderId="0" xfId="42" applyNumberFormat="1"/>
    <xf numFmtId="14" fontId="22" fillId="0" borderId="0" xfId="42" applyNumberFormat="1" applyFont="1"/>
    <xf numFmtId="21" fontId="22" fillId="0" borderId="0" xfId="42" applyNumberFormat="1" applyFont="1"/>
    <xf numFmtId="0" fontId="22" fillId="0" borderId="0" xfId="42" applyFont="1"/>
    <xf numFmtId="14" fontId="26" fillId="0" borderId="0" xfId="42" applyNumberFormat="1" applyFont="1"/>
    <xf numFmtId="21" fontId="26" fillId="0" borderId="0" xfId="42" applyNumberFormat="1" applyFont="1"/>
    <xf numFmtId="0" fontId="26" fillId="0" borderId="0" xfId="42" applyFont="1"/>
    <xf numFmtId="41" fontId="26" fillId="0" borderId="0" xfId="43" applyFont="1" applyFill="1"/>
    <xf numFmtId="16" fontId="1" fillId="0" borderId="0" xfId="42" applyNumberFormat="1"/>
    <xf numFmtId="41" fontId="0" fillId="0" borderId="0" xfId="43" applyFont="1"/>
    <xf numFmtId="166" fontId="24" fillId="7" borderId="1" xfId="44" applyNumberFormat="1" applyFont="1" applyFill="1" applyBorder="1" applyAlignment="1">
      <alignment horizontal="right" vertical="center"/>
    </xf>
    <xf numFmtId="41" fontId="24" fillId="0" borderId="1" xfId="43" applyFont="1" applyFill="1" applyBorder="1" applyAlignment="1">
      <alignment horizontal="right" vertical="center"/>
    </xf>
    <xf numFmtId="41" fontId="23" fillId="0" borderId="0" xfId="43" applyFont="1"/>
    <xf numFmtId="167" fontId="25" fillId="0" borderId="1" xfId="43" applyNumberFormat="1" applyFont="1" applyBorder="1" applyAlignment="1">
      <alignment horizontal="right" vertical="center"/>
    </xf>
    <xf numFmtId="41" fontId="1" fillId="0" borderId="0" xfId="42" applyNumberFormat="1"/>
    <xf numFmtId="41" fontId="24" fillId="0" borderId="1" xfId="43" applyFont="1" applyBorder="1" applyAlignment="1">
      <alignment vertical="center"/>
    </xf>
    <xf numFmtId="41" fontId="24" fillId="0" borderId="7" xfId="43" applyFont="1" applyBorder="1" applyAlignment="1">
      <alignment vertical="center"/>
    </xf>
    <xf numFmtId="41" fontId="24" fillId="0" borderId="1" xfId="43" applyFont="1" applyFill="1" applyBorder="1" applyAlignment="1">
      <alignment horizontal="left" vertical="center"/>
    </xf>
    <xf numFmtId="168" fontId="25" fillId="0" borderId="1" xfId="43" applyNumberFormat="1" applyFont="1" applyBorder="1" applyAlignment="1">
      <alignment vertical="center"/>
    </xf>
    <xf numFmtId="43" fontId="25" fillId="0" borderId="1" xfId="43" applyNumberFormat="1" applyFont="1" applyFill="1" applyBorder="1" applyAlignment="1">
      <alignment horizontal="right" vertical="center"/>
    </xf>
    <xf numFmtId="166" fontId="25" fillId="0" borderId="1" xfId="43" applyNumberFormat="1" applyFont="1" applyBorder="1" applyAlignment="1">
      <alignment vertical="center"/>
    </xf>
    <xf numFmtId="166" fontId="24" fillId="7" borderId="1" xfId="43" applyNumberFormat="1" applyFont="1" applyFill="1" applyBorder="1" applyAlignment="1">
      <alignment horizontal="right" vertical="center"/>
    </xf>
    <xf numFmtId="41" fontId="25" fillId="0" borderId="1" xfId="43" applyFont="1" applyFill="1" applyBorder="1" applyAlignment="1">
      <alignment vertical="center"/>
    </xf>
    <xf numFmtId="14" fontId="26" fillId="3" borderId="1" xfId="30" applyNumberFormat="1" applyFont="1" applyFill="1" applyBorder="1" applyAlignment="1">
      <alignment horizontal="center" vertical="center"/>
    </xf>
    <xf numFmtId="21" fontId="26" fillId="3" borderId="1" xfId="30" applyNumberFormat="1" applyFont="1" applyFill="1" applyBorder="1" applyAlignment="1">
      <alignment horizontal="center" vertical="center"/>
    </xf>
    <xf numFmtId="14" fontId="16" fillId="3" borderId="1" xfId="0" applyNumberFormat="1" applyFont="1" applyFill="1" applyBorder="1" applyAlignment="1">
      <alignment horizontal="center" vertical="center"/>
    </xf>
    <xf numFmtId="21" fontId="16" fillId="3" borderId="1" xfId="0" applyNumberFormat="1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8" fillId="0" borderId="1" xfId="0" applyFont="1" applyBorder="1"/>
    <xf numFmtId="0" fontId="28" fillId="0" borderId="1" xfId="0" applyFont="1" applyBorder="1" applyAlignment="1">
      <alignment horizontal="center"/>
    </xf>
    <xf numFmtId="0" fontId="28" fillId="0" borderId="1" xfId="0" applyFont="1" applyBorder="1" applyAlignment="1">
      <alignment horizontal="left"/>
    </xf>
    <xf numFmtId="0" fontId="28" fillId="0" borderId="2" xfId="0" applyFont="1" applyBorder="1" applyAlignment="1">
      <alignment horizontal="center"/>
    </xf>
    <xf numFmtId="0" fontId="28" fillId="0" borderId="2" xfId="0" applyFont="1" applyBorder="1" applyAlignment="1">
      <alignment horizontal="left"/>
    </xf>
    <xf numFmtId="0" fontId="29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vertical="center"/>
    </xf>
    <xf numFmtId="0" fontId="28" fillId="0" borderId="4" xfId="0" applyFont="1" applyBorder="1" applyAlignment="1">
      <alignment horizontal="center"/>
    </xf>
    <xf numFmtId="0" fontId="28" fillId="0" borderId="7" xfId="0" applyFont="1" applyBorder="1" applyAlignment="1">
      <alignment horizontal="center"/>
    </xf>
    <xf numFmtId="0" fontId="28" fillId="0" borderId="7" xfId="0" applyFont="1" applyBorder="1" applyAlignment="1">
      <alignment horizontal="left"/>
    </xf>
    <xf numFmtId="0" fontId="28" fillId="2" borderId="1" xfId="0" applyFont="1" applyFill="1" applyBorder="1"/>
    <xf numFmtId="0" fontId="28" fillId="2" borderId="1" xfId="0" applyFont="1" applyFill="1" applyBorder="1" applyAlignment="1">
      <alignment horizontal="center"/>
    </xf>
    <xf numFmtId="0" fontId="28" fillId="2" borderId="1" xfId="0" applyFont="1" applyFill="1" applyBorder="1" applyAlignment="1">
      <alignment horizontal="left"/>
    </xf>
    <xf numFmtId="0" fontId="28" fillId="0" borderId="1" xfId="0" applyFont="1" applyBorder="1" applyAlignment="1">
      <alignment vertical="center"/>
    </xf>
    <xf numFmtId="0" fontId="28" fillId="0" borderId="1" xfId="0" applyFont="1" applyBorder="1" applyAlignment="1">
      <alignment horizontal="left" vertical="center"/>
    </xf>
    <xf numFmtId="0" fontId="28" fillId="2" borderId="1" xfId="0" applyFont="1" applyFill="1" applyBorder="1" applyAlignment="1">
      <alignment vertical="center"/>
    </xf>
    <xf numFmtId="0" fontId="24" fillId="6" borderId="3" xfId="8" applyFont="1" applyFill="1" applyBorder="1" applyAlignment="1">
      <alignment horizontal="center" vertical="center"/>
    </xf>
    <xf numFmtId="0" fontId="24" fillId="6" borderId="4" xfId="8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NumberFormat="1" applyBorder="1" applyAlignment="1">
      <alignment horizontal="left" vertical="center"/>
    </xf>
  </cellXfs>
  <cellStyles count="45">
    <cellStyle name="Comma [0]" xfId="1" builtinId="6"/>
    <cellStyle name="Comma [0] 10" xfId="28"/>
    <cellStyle name="Comma [0] 11" xfId="31"/>
    <cellStyle name="Comma [0] 12" xfId="34"/>
    <cellStyle name="Comma [0] 13" xfId="37"/>
    <cellStyle name="Comma [0] 14" xfId="40"/>
    <cellStyle name="Comma [0] 15" xfId="43"/>
    <cellStyle name="Comma [0] 2" xfId="6"/>
    <cellStyle name="Comma [0] 3" xfId="11"/>
    <cellStyle name="Comma [0] 4" xfId="13"/>
    <cellStyle name="Comma [0] 5" xfId="7"/>
    <cellStyle name="Comma [0] 5 2" xfId="3"/>
    <cellStyle name="Comma [0] 6" xfId="16"/>
    <cellStyle name="Comma [0] 7" xfId="19"/>
    <cellStyle name="Comma [0] 8" xfId="22"/>
    <cellStyle name="Comma [0] 9" xfId="25"/>
    <cellStyle name="Comma 10" xfId="32"/>
    <cellStyle name="Comma 11" xfId="35"/>
    <cellStyle name="Comma 12" xfId="38"/>
    <cellStyle name="Comma 13" xfId="41"/>
    <cellStyle name="Comma 14" xfId="44"/>
    <cellStyle name="Comma 2" xfId="5"/>
    <cellStyle name="Comma 3" xfId="10"/>
    <cellStyle name="Comma 4" xfId="14"/>
    <cellStyle name="Comma 5" xfId="17"/>
    <cellStyle name="Comma 6" xfId="20"/>
    <cellStyle name="Comma 7" xfId="23"/>
    <cellStyle name="Comma 8" xfId="26"/>
    <cellStyle name="Comma 9" xfId="29"/>
    <cellStyle name="Normal" xfId="0" builtinId="0"/>
    <cellStyle name="Normal 10" xfId="30"/>
    <cellStyle name="Normal 11" xfId="33"/>
    <cellStyle name="Normal 12" xfId="36"/>
    <cellStyle name="Normal 13" xfId="39"/>
    <cellStyle name="Normal 14" xfId="42"/>
    <cellStyle name="Normal 2" xfId="4"/>
    <cellStyle name="Normal 2 4 2" xfId="8"/>
    <cellStyle name="Normal 2 4 3" xfId="2"/>
    <cellStyle name="Normal 3" xfId="9"/>
    <cellStyle name="Normal 4" xfId="12"/>
    <cellStyle name="Normal 5" xfId="15"/>
    <cellStyle name="Normal 6" xfId="18"/>
    <cellStyle name="Normal 7" xfId="21"/>
    <cellStyle name="Normal 8" xfId="24"/>
    <cellStyle name="Normal 9" xfId="27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610</xdr:row>
      <xdr:rowOff>0</xdr:rowOff>
    </xdr:from>
    <xdr:ext cx="76200" cy="262843"/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xmlns="" id="{20BB3FA1-C2B5-450A-8349-10267E0B1990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628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53318"/>
    <xdr:sp macro="" textlink="">
      <xdr:nvSpPr>
        <xdr:cNvPr id="3" name="Text Box 1">
          <a:extLst>
            <a:ext uri="{FF2B5EF4-FFF2-40B4-BE49-F238E27FC236}">
              <a16:creationId xmlns:a16="http://schemas.microsoft.com/office/drawing/2014/main" xmlns="" id="{5ADD4710-91EF-40E0-B3F3-7A259142B988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533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53318"/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xmlns="" id="{CFA9479A-3F2B-4DBC-BD66-CF81C19FDD89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533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53318"/>
    <xdr:sp macro="" textlink="">
      <xdr:nvSpPr>
        <xdr:cNvPr id="5" name="Text Box 1">
          <a:extLst>
            <a:ext uri="{FF2B5EF4-FFF2-40B4-BE49-F238E27FC236}">
              <a16:creationId xmlns:a16="http://schemas.microsoft.com/office/drawing/2014/main" xmlns="" id="{781AC5B8-FD98-4F70-9081-405C080DB04A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533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53318"/>
    <xdr:sp macro="" textlink="">
      <xdr:nvSpPr>
        <xdr:cNvPr id="6" name="Text Box 1">
          <a:extLst>
            <a:ext uri="{FF2B5EF4-FFF2-40B4-BE49-F238E27FC236}">
              <a16:creationId xmlns:a16="http://schemas.microsoft.com/office/drawing/2014/main" xmlns="" id="{6BC83CC0-7026-44E5-BDC2-A886653F6D56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533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7" name="Text Box 1">
          <a:extLst>
            <a:ext uri="{FF2B5EF4-FFF2-40B4-BE49-F238E27FC236}">
              <a16:creationId xmlns:a16="http://schemas.microsoft.com/office/drawing/2014/main" xmlns="" id="{68C13F9A-23BC-4129-ACD6-B72371DA715A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8" name="Text Box 1">
          <a:extLst>
            <a:ext uri="{FF2B5EF4-FFF2-40B4-BE49-F238E27FC236}">
              <a16:creationId xmlns:a16="http://schemas.microsoft.com/office/drawing/2014/main" xmlns="" id="{2DE37752-15C3-4DE9-AC7C-4BA5DA76B6CE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9" name="Text Box 1">
          <a:extLst>
            <a:ext uri="{FF2B5EF4-FFF2-40B4-BE49-F238E27FC236}">
              <a16:creationId xmlns:a16="http://schemas.microsoft.com/office/drawing/2014/main" xmlns="" id="{5DC4ACE6-B2C9-4846-95CF-973157198FEE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10" name="Text Box 1">
          <a:extLst>
            <a:ext uri="{FF2B5EF4-FFF2-40B4-BE49-F238E27FC236}">
              <a16:creationId xmlns:a16="http://schemas.microsoft.com/office/drawing/2014/main" xmlns="" id="{6EEDACF6-80D7-491C-82C6-8FFD96F04E59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11" name="Text Box 1">
          <a:extLst>
            <a:ext uri="{FF2B5EF4-FFF2-40B4-BE49-F238E27FC236}">
              <a16:creationId xmlns:a16="http://schemas.microsoft.com/office/drawing/2014/main" xmlns="" id="{698A4718-1BB8-41F2-84AB-89FA6841D055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12" name="Text Box 1">
          <a:extLst>
            <a:ext uri="{FF2B5EF4-FFF2-40B4-BE49-F238E27FC236}">
              <a16:creationId xmlns:a16="http://schemas.microsoft.com/office/drawing/2014/main" xmlns="" id="{BBDE7F9A-0DCC-4CD6-B36D-415C64C7A9B0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13" name="Text Box 1">
          <a:extLst>
            <a:ext uri="{FF2B5EF4-FFF2-40B4-BE49-F238E27FC236}">
              <a16:creationId xmlns:a16="http://schemas.microsoft.com/office/drawing/2014/main" xmlns="" id="{73FB5E5F-0330-4FF2-A330-27E869110723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14" name="Text Box 1">
          <a:extLst>
            <a:ext uri="{FF2B5EF4-FFF2-40B4-BE49-F238E27FC236}">
              <a16:creationId xmlns:a16="http://schemas.microsoft.com/office/drawing/2014/main" xmlns="" id="{65D94BA5-DFBF-4C7E-AB0A-443B49D37087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15" name="Text Box 1">
          <a:extLst>
            <a:ext uri="{FF2B5EF4-FFF2-40B4-BE49-F238E27FC236}">
              <a16:creationId xmlns:a16="http://schemas.microsoft.com/office/drawing/2014/main" xmlns="" id="{5CB1AF4A-C17A-43A3-978E-4631E8464D78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16" name="Text Box 1">
          <a:extLst>
            <a:ext uri="{FF2B5EF4-FFF2-40B4-BE49-F238E27FC236}">
              <a16:creationId xmlns:a16="http://schemas.microsoft.com/office/drawing/2014/main" xmlns="" id="{51B6011D-64EB-49C5-BC96-85F5906CF16E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17" name="Text Box 1">
          <a:extLst>
            <a:ext uri="{FF2B5EF4-FFF2-40B4-BE49-F238E27FC236}">
              <a16:creationId xmlns:a16="http://schemas.microsoft.com/office/drawing/2014/main" xmlns="" id="{9FE00A32-C343-4774-860E-6123F475AC9D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18" name="Text Box 1">
          <a:extLst>
            <a:ext uri="{FF2B5EF4-FFF2-40B4-BE49-F238E27FC236}">
              <a16:creationId xmlns:a16="http://schemas.microsoft.com/office/drawing/2014/main" xmlns="" id="{075479A8-2059-4A02-8841-63C58D89C7FA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19" name="Text Box 1">
          <a:extLst>
            <a:ext uri="{FF2B5EF4-FFF2-40B4-BE49-F238E27FC236}">
              <a16:creationId xmlns:a16="http://schemas.microsoft.com/office/drawing/2014/main" xmlns="" id="{0898DE53-7E66-41C5-A0E7-1733C51A821D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20" name="Text Box 1">
          <a:extLst>
            <a:ext uri="{FF2B5EF4-FFF2-40B4-BE49-F238E27FC236}">
              <a16:creationId xmlns:a16="http://schemas.microsoft.com/office/drawing/2014/main" xmlns="" id="{CAFE70F0-C5AB-4B09-80F4-39157C803339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21" name="Text Box 1">
          <a:extLst>
            <a:ext uri="{FF2B5EF4-FFF2-40B4-BE49-F238E27FC236}">
              <a16:creationId xmlns:a16="http://schemas.microsoft.com/office/drawing/2014/main" xmlns="" id="{28858427-1740-430F-AF86-853231248A5D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22" name="Text Box 1">
          <a:extLst>
            <a:ext uri="{FF2B5EF4-FFF2-40B4-BE49-F238E27FC236}">
              <a16:creationId xmlns:a16="http://schemas.microsoft.com/office/drawing/2014/main" xmlns="" id="{D84BFEFD-9470-4504-8682-28F4CD5EB639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62843"/>
    <xdr:sp macro="" textlink="">
      <xdr:nvSpPr>
        <xdr:cNvPr id="23" name="Text Box 1">
          <a:extLst>
            <a:ext uri="{FF2B5EF4-FFF2-40B4-BE49-F238E27FC236}">
              <a16:creationId xmlns:a16="http://schemas.microsoft.com/office/drawing/2014/main" xmlns="" id="{7D3939D4-AE27-45C2-9380-FA2BFE2A0CC4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628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62843"/>
    <xdr:sp macro="" textlink="">
      <xdr:nvSpPr>
        <xdr:cNvPr id="24" name="Text Box 1">
          <a:extLst>
            <a:ext uri="{FF2B5EF4-FFF2-40B4-BE49-F238E27FC236}">
              <a16:creationId xmlns:a16="http://schemas.microsoft.com/office/drawing/2014/main" xmlns="" id="{932A5DB4-108C-46F3-8804-150944C13D1F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628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25" name="Text Box 1">
          <a:extLst>
            <a:ext uri="{FF2B5EF4-FFF2-40B4-BE49-F238E27FC236}">
              <a16:creationId xmlns:a16="http://schemas.microsoft.com/office/drawing/2014/main" xmlns="" id="{AD6D635F-63D4-453B-8C01-8790514299FD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26" name="Text Box 1">
          <a:extLst>
            <a:ext uri="{FF2B5EF4-FFF2-40B4-BE49-F238E27FC236}">
              <a16:creationId xmlns:a16="http://schemas.microsoft.com/office/drawing/2014/main" xmlns="" id="{B0E8680D-025B-4149-A375-0B198975A0F8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27" name="Text Box 1">
          <a:extLst>
            <a:ext uri="{FF2B5EF4-FFF2-40B4-BE49-F238E27FC236}">
              <a16:creationId xmlns:a16="http://schemas.microsoft.com/office/drawing/2014/main" xmlns="" id="{0ABDF213-C509-409F-85FE-5D15ECCD5E3C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28" name="Text Box 1">
          <a:extLst>
            <a:ext uri="{FF2B5EF4-FFF2-40B4-BE49-F238E27FC236}">
              <a16:creationId xmlns:a16="http://schemas.microsoft.com/office/drawing/2014/main" xmlns="" id="{D5111A62-39D6-41BC-AA78-C1E6B6A2FAAF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29" name="Text Box 1">
          <a:extLst>
            <a:ext uri="{FF2B5EF4-FFF2-40B4-BE49-F238E27FC236}">
              <a16:creationId xmlns:a16="http://schemas.microsoft.com/office/drawing/2014/main" xmlns="" id="{0F289A21-D9CB-4274-8B62-2949AC0F2C66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30" name="Text Box 1">
          <a:extLst>
            <a:ext uri="{FF2B5EF4-FFF2-40B4-BE49-F238E27FC236}">
              <a16:creationId xmlns:a16="http://schemas.microsoft.com/office/drawing/2014/main" xmlns="" id="{1631D050-08D6-4F12-B458-FE93E83936B6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31" name="Text Box 1">
          <a:extLst>
            <a:ext uri="{FF2B5EF4-FFF2-40B4-BE49-F238E27FC236}">
              <a16:creationId xmlns:a16="http://schemas.microsoft.com/office/drawing/2014/main" xmlns="" id="{B5B91AB3-B6DF-4E99-8204-03345CCEA237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32" name="Text Box 1">
          <a:extLst>
            <a:ext uri="{FF2B5EF4-FFF2-40B4-BE49-F238E27FC236}">
              <a16:creationId xmlns:a16="http://schemas.microsoft.com/office/drawing/2014/main" xmlns="" id="{E5BACB8C-102A-434E-91B8-8C551F28EA17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33" name="Text Box 1">
          <a:extLst>
            <a:ext uri="{FF2B5EF4-FFF2-40B4-BE49-F238E27FC236}">
              <a16:creationId xmlns:a16="http://schemas.microsoft.com/office/drawing/2014/main" xmlns="" id="{915DDD70-AE82-40A3-A0ED-FE7D2BCFA211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34" name="Text Box 1">
          <a:extLst>
            <a:ext uri="{FF2B5EF4-FFF2-40B4-BE49-F238E27FC236}">
              <a16:creationId xmlns:a16="http://schemas.microsoft.com/office/drawing/2014/main" xmlns="" id="{25149A45-05DE-4C79-8C85-4A41FBACD682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35" name="Text Box 1">
          <a:extLst>
            <a:ext uri="{FF2B5EF4-FFF2-40B4-BE49-F238E27FC236}">
              <a16:creationId xmlns:a16="http://schemas.microsoft.com/office/drawing/2014/main" xmlns="" id="{3C679726-B704-4162-A0BE-0183EF27DC9F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36" name="Text Box 1">
          <a:extLst>
            <a:ext uri="{FF2B5EF4-FFF2-40B4-BE49-F238E27FC236}">
              <a16:creationId xmlns:a16="http://schemas.microsoft.com/office/drawing/2014/main" xmlns="" id="{D5CA67E1-8599-4DBD-8529-3F069F0C7554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37" name="Text Box 1">
          <a:extLst>
            <a:ext uri="{FF2B5EF4-FFF2-40B4-BE49-F238E27FC236}">
              <a16:creationId xmlns:a16="http://schemas.microsoft.com/office/drawing/2014/main" xmlns="" id="{A312A67C-347E-45DE-A38B-730EC32E3F66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38" name="Text Box 1">
          <a:extLst>
            <a:ext uri="{FF2B5EF4-FFF2-40B4-BE49-F238E27FC236}">
              <a16:creationId xmlns:a16="http://schemas.microsoft.com/office/drawing/2014/main" xmlns="" id="{3F7810B6-2FAB-4454-9ACF-1E0CE83C2BBC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62843"/>
    <xdr:sp macro="" textlink="">
      <xdr:nvSpPr>
        <xdr:cNvPr id="39" name="Text Box 1">
          <a:extLst>
            <a:ext uri="{FF2B5EF4-FFF2-40B4-BE49-F238E27FC236}">
              <a16:creationId xmlns:a16="http://schemas.microsoft.com/office/drawing/2014/main" xmlns="" id="{0F913F41-CB35-448D-9F41-958460951272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628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62843"/>
    <xdr:sp macro="" textlink="">
      <xdr:nvSpPr>
        <xdr:cNvPr id="40" name="Text Box 1">
          <a:extLst>
            <a:ext uri="{FF2B5EF4-FFF2-40B4-BE49-F238E27FC236}">
              <a16:creationId xmlns:a16="http://schemas.microsoft.com/office/drawing/2014/main" xmlns="" id="{3109BE59-43FC-49D2-B219-79E23CC8AEA2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628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41" name="Text Box 1">
          <a:extLst>
            <a:ext uri="{FF2B5EF4-FFF2-40B4-BE49-F238E27FC236}">
              <a16:creationId xmlns:a16="http://schemas.microsoft.com/office/drawing/2014/main" xmlns="" id="{B01A48B8-8761-478C-93C5-ECCC83E1267B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42" name="Text Box 1">
          <a:extLst>
            <a:ext uri="{FF2B5EF4-FFF2-40B4-BE49-F238E27FC236}">
              <a16:creationId xmlns:a16="http://schemas.microsoft.com/office/drawing/2014/main" xmlns="" id="{20AD2948-7AEB-4E17-B40D-53E07F6F5797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43" name="Text Box 1">
          <a:extLst>
            <a:ext uri="{FF2B5EF4-FFF2-40B4-BE49-F238E27FC236}">
              <a16:creationId xmlns:a16="http://schemas.microsoft.com/office/drawing/2014/main" xmlns="" id="{608E49A0-E23B-4BE3-8D05-FDB41416354F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44" name="Text Box 1">
          <a:extLst>
            <a:ext uri="{FF2B5EF4-FFF2-40B4-BE49-F238E27FC236}">
              <a16:creationId xmlns:a16="http://schemas.microsoft.com/office/drawing/2014/main" xmlns="" id="{B69DCD5A-985D-48BA-AE47-307B544231A7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45" name="Text Box 1">
          <a:extLst>
            <a:ext uri="{FF2B5EF4-FFF2-40B4-BE49-F238E27FC236}">
              <a16:creationId xmlns:a16="http://schemas.microsoft.com/office/drawing/2014/main" xmlns="" id="{7E848395-D5D7-4350-9097-9A6E09B4DB7F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46" name="Text Box 1">
          <a:extLst>
            <a:ext uri="{FF2B5EF4-FFF2-40B4-BE49-F238E27FC236}">
              <a16:creationId xmlns:a16="http://schemas.microsoft.com/office/drawing/2014/main" xmlns="" id="{42E25758-FD5C-4A5C-8DC3-EA1962A89FE4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47" name="Text Box 1">
          <a:extLst>
            <a:ext uri="{FF2B5EF4-FFF2-40B4-BE49-F238E27FC236}">
              <a16:creationId xmlns:a16="http://schemas.microsoft.com/office/drawing/2014/main" xmlns="" id="{4356D32A-CE47-4BEC-8028-C19120B92195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48" name="Text Box 1">
          <a:extLst>
            <a:ext uri="{FF2B5EF4-FFF2-40B4-BE49-F238E27FC236}">
              <a16:creationId xmlns:a16="http://schemas.microsoft.com/office/drawing/2014/main" xmlns="" id="{BB5DE5DF-B8D2-4FD7-8C93-8B598652522F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49" name="Text Box 1">
          <a:extLst>
            <a:ext uri="{FF2B5EF4-FFF2-40B4-BE49-F238E27FC236}">
              <a16:creationId xmlns:a16="http://schemas.microsoft.com/office/drawing/2014/main" xmlns="" id="{A7B9FD5B-B74C-4836-B4D2-C73BB16DB275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50" name="Text Box 1">
          <a:extLst>
            <a:ext uri="{FF2B5EF4-FFF2-40B4-BE49-F238E27FC236}">
              <a16:creationId xmlns:a16="http://schemas.microsoft.com/office/drawing/2014/main" xmlns="" id="{F863A901-7034-47B5-B908-562E58AFF87A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51" name="Text Box 1">
          <a:extLst>
            <a:ext uri="{FF2B5EF4-FFF2-40B4-BE49-F238E27FC236}">
              <a16:creationId xmlns:a16="http://schemas.microsoft.com/office/drawing/2014/main" xmlns="" id="{A9907D33-DDFC-490E-AD8A-D5EB5A2BEB9E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52" name="Text Box 1">
          <a:extLst>
            <a:ext uri="{FF2B5EF4-FFF2-40B4-BE49-F238E27FC236}">
              <a16:creationId xmlns:a16="http://schemas.microsoft.com/office/drawing/2014/main" xmlns="" id="{534DD619-39A8-4FF9-879F-A4A2680E5A8B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53" name="Text Box 1">
          <a:extLst>
            <a:ext uri="{FF2B5EF4-FFF2-40B4-BE49-F238E27FC236}">
              <a16:creationId xmlns:a16="http://schemas.microsoft.com/office/drawing/2014/main" xmlns="" id="{BAF0B32F-1E4F-4631-8B81-BA8BFB3F6F46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54" name="Text Box 1">
          <a:extLst>
            <a:ext uri="{FF2B5EF4-FFF2-40B4-BE49-F238E27FC236}">
              <a16:creationId xmlns:a16="http://schemas.microsoft.com/office/drawing/2014/main" xmlns="" id="{4F5B05C6-39A0-4B2B-9EBB-9FBB2BFEFB5E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62843"/>
    <xdr:sp macro="" textlink="">
      <xdr:nvSpPr>
        <xdr:cNvPr id="55" name="Text Box 1">
          <a:extLst>
            <a:ext uri="{FF2B5EF4-FFF2-40B4-BE49-F238E27FC236}">
              <a16:creationId xmlns:a16="http://schemas.microsoft.com/office/drawing/2014/main" xmlns="" id="{C48A5890-9E4B-434B-9B28-E21558F06918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628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62843"/>
    <xdr:sp macro="" textlink="">
      <xdr:nvSpPr>
        <xdr:cNvPr id="56" name="Text Box 1">
          <a:extLst>
            <a:ext uri="{FF2B5EF4-FFF2-40B4-BE49-F238E27FC236}">
              <a16:creationId xmlns:a16="http://schemas.microsoft.com/office/drawing/2014/main" xmlns="" id="{4B9AD4E0-9393-4926-AFAD-CCCF255D4708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628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57" name="Text Box 1">
          <a:extLst>
            <a:ext uri="{FF2B5EF4-FFF2-40B4-BE49-F238E27FC236}">
              <a16:creationId xmlns:a16="http://schemas.microsoft.com/office/drawing/2014/main" xmlns="" id="{5DE5C736-B53D-4292-88D0-2C560B853847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58" name="Text Box 1">
          <a:extLst>
            <a:ext uri="{FF2B5EF4-FFF2-40B4-BE49-F238E27FC236}">
              <a16:creationId xmlns:a16="http://schemas.microsoft.com/office/drawing/2014/main" xmlns="" id="{334B4885-A200-4EE0-9DE6-C836A27996FD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59" name="Text Box 1">
          <a:extLst>
            <a:ext uri="{FF2B5EF4-FFF2-40B4-BE49-F238E27FC236}">
              <a16:creationId xmlns:a16="http://schemas.microsoft.com/office/drawing/2014/main" xmlns="" id="{27F44564-6A56-444E-B1BA-7D9D5F3F2CF0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60" name="Text Box 1">
          <a:extLst>
            <a:ext uri="{FF2B5EF4-FFF2-40B4-BE49-F238E27FC236}">
              <a16:creationId xmlns:a16="http://schemas.microsoft.com/office/drawing/2014/main" xmlns="" id="{40FDBD62-9711-4268-B5D7-6A0B1EF795C3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61" name="Text Box 1">
          <a:extLst>
            <a:ext uri="{FF2B5EF4-FFF2-40B4-BE49-F238E27FC236}">
              <a16:creationId xmlns:a16="http://schemas.microsoft.com/office/drawing/2014/main" xmlns="" id="{19BA8598-BE2A-4AD7-B51A-616F4A5A811A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62" name="Text Box 1">
          <a:extLst>
            <a:ext uri="{FF2B5EF4-FFF2-40B4-BE49-F238E27FC236}">
              <a16:creationId xmlns:a16="http://schemas.microsoft.com/office/drawing/2014/main" xmlns="" id="{005B6F30-9FD9-4E4E-9AA3-181E488B70EC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63" name="Text Box 1">
          <a:extLst>
            <a:ext uri="{FF2B5EF4-FFF2-40B4-BE49-F238E27FC236}">
              <a16:creationId xmlns:a16="http://schemas.microsoft.com/office/drawing/2014/main" xmlns="" id="{6CD09CA9-4A39-4E74-98A1-08548EDF7F59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64" name="Text Box 1">
          <a:extLst>
            <a:ext uri="{FF2B5EF4-FFF2-40B4-BE49-F238E27FC236}">
              <a16:creationId xmlns:a16="http://schemas.microsoft.com/office/drawing/2014/main" xmlns="" id="{61D0B6A8-E7D1-46D9-BE41-E4A78E348856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65" name="Text Box 1">
          <a:extLst>
            <a:ext uri="{FF2B5EF4-FFF2-40B4-BE49-F238E27FC236}">
              <a16:creationId xmlns:a16="http://schemas.microsoft.com/office/drawing/2014/main" xmlns="" id="{C468A717-2061-4918-AC12-EEBDE6F72329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66" name="Text Box 1">
          <a:extLst>
            <a:ext uri="{FF2B5EF4-FFF2-40B4-BE49-F238E27FC236}">
              <a16:creationId xmlns:a16="http://schemas.microsoft.com/office/drawing/2014/main" xmlns="" id="{28E84CF1-07BC-4AA5-88A7-7C65E0959EC5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67" name="Text Box 1">
          <a:extLst>
            <a:ext uri="{FF2B5EF4-FFF2-40B4-BE49-F238E27FC236}">
              <a16:creationId xmlns:a16="http://schemas.microsoft.com/office/drawing/2014/main" xmlns="" id="{F3D94EAA-1935-42D2-ADC3-A8506345190E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68" name="Text Box 1">
          <a:extLst>
            <a:ext uri="{FF2B5EF4-FFF2-40B4-BE49-F238E27FC236}">
              <a16:creationId xmlns:a16="http://schemas.microsoft.com/office/drawing/2014/main" xmlns="" id="{652F78FD-9E5D-49F4-9184-A911514158FB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69" name="Text Box 1">
          <a:extLst>
            <a:ext uri="{FF2B5EF4-FFF2-40B4-BE49-F238E27FC236}">
              <a16:creationId xmlns:a16="http://schemas.microsoft.com/office/drawing/2014/main" xmlns="" id="{0FA9FDAE-C351-4CB9-AEE0-8A1405C2F7B9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70" name="Text Box 1">
          <a:extLst>
            <a:ext uri="{FF2B5EF4-FFF2-40B4-BE49-F238E27FC236}">
              <a16:creationId xmlns:a16="http://schemas.microsoft.com/office/drawing/2014/main" xmlns="" id="{94E35E2E-2201-4D50-BB17-494239C3E449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62843"/>
    <xdr:sp macro="" textlink="">
      <xdr:nvSpPr>
        <xdr:cNvPr id="71" name="Text Box 1">
          <a:extLst>
            <a:ext uri="{FF2B5EF4-FFF2-40B4-BE49-F238E27FC236}">
              <a16:creationId xmlns:a16="http://schemas.microsoft.com/office/drawing/2014/main" xmlns="" id="{FB2AD337-645E-4CCE-8EB4-7B2A56CE0B1B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628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53318"/>
    <xdr:sp macro="" textlink="">
      <xdr:nvSpPr>
        <xdr:cNvPr id="72" name="Text Box 1">
          <a:extLst>
            <a:ext uri="{FF2B5EF4-FFF2-40B4-BE49-F238E27FC236}">
              <a16:creationId xmlns:a16="http://schemas.microsoft.com/office/drawing/2014/main" xmlns="" id="{02EAC85A-1208-48F2-973F-9F9E046E04EF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533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53318"/>
    <xdr:sp macro="" textlink="">
      <xdr:nvSpPr>
        <xdr:cNvPr id="73" name="Text Box 1">
          <a:extLst>
            <a:ext uri="{FF2B5EF4-FFF2-40B4-BE49-F238E27FC236}">
              <a16:creationId xmlns:a16="http://schemas.microsoft.com/office/drawing/2014/main" xmlns="" id="{ED1D5825-C507-4DD3-ADC4-CFB529A292A9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533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53318"/>
    <xdr:sp macro="" textlink="">
      <xdr:nvSpPr>
        <xdr:cNvPr id="74" name="Text Box 1">
          <a:extLst>
            <a:ext uri="{FF2B5EF4-FFF2-40B4-BE49-F238E27FC236}">
              <a16:creationId xmlns:a16="http://schemas.microsoft.com/office/drawing/2014/main" xmlns="" id="{47FCE0F7-3A0C-4B78-A30D-1C2A994130AC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533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53318"/>
    <xdr:sp macro="" textlink="">
      <xdr:nvSpPr>
        <xdr:cNvPr id="75" name="Text Box 1">
          <a:extLst>
            <a:ext uri="{FF2B5EF4-FFF2-40B4-BE49-F238E27FC236}">
              <a16:creationId xmlns:a16="http://schemas.microsoft.com/office/drawing/2014/main" xmlns="" id="{A23AE818-304D-4895-B9A6-E7FDB69897BE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533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76" name="Text Box 1">
          <a:extLst>
            <a:ext uri="{FF2B5EF4-FFF2-40B4-BE49-F238E27FC236}">
              <a16:creationId xmlns:a16="http://schemas.microsoft.com/office/drawing/2014/main" xmlns="" id="{75B59EEB-4BA4-4725-826D-54BE49468603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77" name="Text Box 1">
          <a:extLst>
            <a:ext uri="{FF2B5EF4-FFF2-40B4-BE49-F238E27FC236}">
              <a16:creationId xmlns:a16="http://schemas.microsoft.com/office/drawing/2014/main" xmlns="" id="{A6863A27-2CFC-44E7-9AD0-1F3F75504110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78" name="Text Box 1">
          <a:extLst>
            <a:ext uri="{FF2B5EF4-FFF2-40B4-BE49-F238E27FC236}">
              <a16:creationId xmlns:a16="http://schemas.microsoft.com/office/drawing/2014/main" xmlns="" id="{6ACEE812-34D2-4FAB-83DA-EBC2F5B3155A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79" name="Text Box 1">
          <a:extLst>
            <a:ext uri="{FF2B5EF4-FFF2-40B4-BE49-F238E27FC236}">
              <a16:creationId xmlns:a16="http://schemas.microsoft.com/office/drawing/2014/main" xmlns="" id="{D9E5893D-C3D0-4E04-B20C-B60120109857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80" name="Text Box 1">
          <a:extLst>
            <a:ext uri="{FF2B5EF4-FFF2-40B4-BE49-F238E27FC236}">
              <a16:creationId xmlns:a16="http://schemas.microsoft.com/office/drawing/2014/main" xmlns="" id="{2EBBF37A-0A17-4B2F-84B2-4D24249BD903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81" name="Text Box 1">
          <a:extLst>
            <a:ext uri="{FF2B5EF4-FFF2-40B4-BE49-F238E27FC236}">
              <a16:creationId xmlns:a16="http://schemas.microsoft.com/office/drawing/2014/main" xmlns="" id="{D97D22AE-C68E-49A6-BBF1-E25AD071AFE8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82" name="Text Box 1">
          <a:extLst>
            <a:ext uri="{FF2B5EF4-FFF2-40B4-BE49-F238E27FC236}">
              <a16:creationId xmlns:a16="http://schemas.microsoft.com/office/drawing/2014/main" xmlns="" id="{B8D243A4-AB46-4B63-B474-747D5A5C5388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83" name="Text Box 1">
          <a:extLst>
            <a:ext uri="{FF2B5EF4-FFF2-40B4-BE49-F238E27FC236}">
              <a16:creationId xmlns:a16="http://schemas.microsoft.com/office/drawing/2014/main" xmlns="" id="{5467D9CF-3084-4B83-AB0E-75F269333941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84" name="Text Box 1">
          <a:extLst>
            <a:ext uri="{FF2B5EF4-FFF2-40B4-BE49-F238E27FC236}">
              <a16:creationId xmlns:a16="http://schemas.microsoft.com/office/drawing/2014/main" xmlns="" id="{CC366F13-B90A-4487-A882-AD995CDEAB53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85" name="Text Box 1">
          <a:extLst>
            <a:ext uri="{FF2B5EF4-FFF2-40B4-BE49-F238E27FC236}">
              <a16:creationId xmlns:a16="http://schemas.microsoft.com/office/drawing/2014/main" xmlns="" id="{5F6DE50E-CC42-4A5F-9DB6-E8DCB3B7885D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86" name="Text Box 1">
          <a:extLst>
            <a:ext uri="{FF2B5EF4-FFF2-40B4-BE49-F238E27FC236}">
              <a16:creationId xmlns:a16="http://schemas.microsoft.com/office/drawing/2014/main" xmlns="" id="{80B0C7AC-A9ED-4C4B-92A5-A56E012B85A6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87" name="Text Box 1">
          <a:extLst>
            <a:ext uri="{FF2B5EF4-FFF2-40B4-BE49-F238E27FC236}">
              <a16:creationId xmlns:a16="http://schemas.microsoft.com/office/drawing/2014/main" xmlns="" id="{022E0F8B-7A3E-46AE-9C78-46FA19E53313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88" name="Text Box 1">
          <a:extLst>
            <a:ext uri="{FF2B5EF4-FFF2-40B4-BE49-F238E27FC236}">
              <a16:creationId xmlns:a16="http://schemas.microsoft.com/office/drawing/2014/main" xmlns="" id="{383F8C8A-1337-4EE7-9F6E-89B2474A363E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89" name="Text Box 1">
          <a:extLst>
            <a:ext uri="{FF2B5EF4-FFF2-40B4-BE49-F238E27FC236}">
              <a16:creationId xmlns:a16="http://schemas.microsoft.com/office/drawing/2014/main" xmlns="" id="{831E3725-668B-470A-AC9C-9726432C6C91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90" name="Text Box 1">
          <a:extLst>
            <a:ext uri="{FF2B5EF4-FFF2-40B4-BE49-F238E27FC236}">
              <a16:creationId xmlns:a16="http://schemas.microsoft.com/office/drawing/2014/main" xmlns="" id="{97653549-AF80-4EEE-981B-3A5D2362096C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91" name="Text Box 1">
          <a:extLst>
            <a:ext uri="{FF2B5EF4-FFF2-40B4-BE49-F238E27FC236}">
              <a16:creationId xmlns:a16="http://schemas.microsoft.com/office/drawing/2014/main" xmlns="" id="{1090B079-6BB9-479C-B5F5-B578C811351A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62843"/>
    <xdr:sp macro="" textlink="">
      <xdr:nvSpPr>
        <xdr:cNvPr id="92" name="Text Box 1">
          <a:extLst>
            <a:ext uri="{FF2B5EF4-FFF2-40B4-BE49-F238E27FC236}">
              <a16:creationId xmlns:a16="http://schemas.microsoft.com/office/drawing/2014/main" xmlns="" id="{689B0A98-7E6C-4ED2-8C29-4473287FA523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628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62843"/>
    <xdr:sp macro="" textlink="">
      <xdr:nvSpPr>
        <xdr:cNvPr id="93" name="Text Box 1">
          <a:extLst>
            <a:ext uri="{FF2B5EF4-FFF2-40B4-BE49-F238E27FC236}">
              <a16:creationId xmlns:a16="http://schemas.microsoft.com/office/drawing/2014/main" xmlns="" id="{E00B570A-CA9E-4CA5-928B-29FB9B8ABE93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628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94" name="Text Box 1">
          <a:extLst>
            <a:ext uri="{FF2B5EF4-FFF2-40B4-BE49-F238E27FC236}">
              <a16:creationId xmlns:a16="http://schemas.microsoft.com/office/drawing/2014/main" xmlns="" id="{D736F96A-88C5-4291-9124-4456959FB51E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95" name="Text Box 1">
          <a:extLst>
            <a:ext uri="{FF2B5EF4-FFF2-40B4-BE49-F238E27FC236}">
              <a16:creationId xmlns:a16="http://schemas.microsoft.com/office/drawing/2014/main" xmlns="" id="{661822BA-B1EC-4FA6-B530-C6C2F50689AA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96" name="Text Box 1">
          <a:extLst>
            <a:ext uri="{FF2B5EF4-FFF2-40B4-BE49-F238E27FC236}">
              <a16:creationId xmlns:a16="http://schemas.microsoft.com/office/drawing/2014/main" xmlns="" id="{78EECB62-8E3D-42B3-95B7-C8B22EECBD82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97" name="Text Box 1">
          <a:extLst>
            <a:ext uri="{FF2B5EF4-FFF2-40B4-BE49-F238E27FC236}">
              <a16:creationId xmlns:a16="http://schemas.microsoft.com/office/drawing/2014/main" xmlns="" id="{A57E9DA0-FB54-421F-BBB1-11D71681A65F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98" name="Text Box 1">
          <a:extLst>
            <a:ext uri="{FF2B5EF4-FFF2-40B4-BE49-F238E27FC236}">
              <a16:creationId xmlns:a16="http://schemas.microsoft.com/office/drawing/2014/main" xmlns="" id="{EC70AD10-CE5A-456E-819C-82CAC706925A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99" name="Text Box 1">
          <a:extLst>
            <a:ext uri="{FF2B5EF4-FFF2-40B4-BE49-F238E27FC236}">
              <a16:creationId xmlns:a16="http://schemas.microsoft.com/office/drawing/2014/main" xmlns="" id="{35A8F603-26C4-4A47-A282-EA233D566BEA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100" name="Text Box 1">
          <a:extLst>
            <a:ext uri="{FF2B5EF4-FFF2-40B4-BE49-F238E27FC236}">
              <a16:creationId xmlns:a16="http://schemas.microsoft.com/office/drawing/2014/main" xmlns="" id="{015B4AB4-4083-43AB-A201-41EFE8209CE2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101" name="Text Box 1">
          <a:extLst>
            <a:ext uri="{FF2B5EF4-FFF2-40B4-BE49-F238E27FC236}">
              <a16:creationId xmlns:a16="http://schemas.microsoft.com/office/drawing/2014/main" xmlns="" id="{A90FD17A-3298-405E-81A4-40B13FE5E3A9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102" name="Text Box 1">
          <a:extLst>
            <a:ext uri="{FF2B5EF4-FFF2-40B4-BE49-F238E27FC236}">
              <a16:creationId xmlns:a16="http://schemas.microsoft.com/office/drawing/2014/main" xmlns="" id="{05DE4986-6A60-4F61-9A63-459AFBE6158F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103" name="Text Box 1">
          <a:extLst>
            <a:ext uri="{FF2B5EF4-FFF2-40B4-BE49-F238E27FC236}">
              <a16:creationId xmlns:a16="http://schemas.microsoft.com/office/drawing/2014/main" xmlns="" id="{96B7F483-7905-4905-BE14-55F46FBEF355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104" name="Text Box 1">
          <a:extLst>
            <a:ext uri="{FF2B5EF4-FFF2-40B4-BE49-F238E27FC236}">
              <a16:creationId xmlns:a16="http://schemas.microsoft.com/office/drawing/2014/main" xmlns="" id="{E543AD42-6CC2-482B-9C28-C5179A232EEE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105" name="Text Box 1">
          <a:extLst>
            <a:ext uri="{FF2B5EF4-FFF2-40B4-BE49-F238E27FC236}">
              <a16:creationId xmlns:a16="http://schemas.microsoft.com/office/drawing/2014/main" xmlns="" id="{01392D4F-8B88-4D18-AC82-85AC4B3858EB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106" name="Text Box 1">
          <a:extLst>
            <a:ext uri="{FF2B5EF4-FFF2-40B4-BE49-F238E27FC236}">
              <a16:creationId xmlns:a16="http://schemas.microsoft.com/office/drawing/2014/main" xmlns="" id="{413721DA-CE14-4F80-9D7E-95DAE4282433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107" name="Text Box 1">
          <a:extLst>
            <a:ext uri="{FF2B5EF4-FFF2-40B4-BE49-F238E27FC236}">
              <a16:creationId xmlns:a16="http://schemas.microsoft.com/office/drawing/2014/main" xmlns="" id="{5492E6CE-07BF-484C-8A93-345C8884C3C7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62843"/>
    <xdr:sp macro="" textlink="">
      <xdr:nvSpPr>
        <xdr:cNvPr id="108" name="Text Box 1">
          <a:extLst>
            <a:ext uri="{FF2B5EF4-FFF2-40B4-BE49-F238E27FC236}">
              <a16:creationId xmlns:a16="http://schemas.microsoft.com/office/drawing/2014/main" xmlns="" id="{AA6BD476-B9C8-4189-9AB2-51B60083EA96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628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62843"/>
    <xdr:sp macro="" textlink="">
      <xdr:nvSpPr>
        <xdr:cNvPr id="109" name="Text Box 1">
          <a:extLst>
            <a:ext uri="{FF2B5EF4-FFF2-40B4-BE49-F238E27FC236}">
              <a16:creationId xmlns:a16="http://schemas.microsoft.com/office/drawing/2014/main" xmlns="" id="{DA14ADE3-3777-4665-95FF-3DA2E7963CEA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628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110" name="Text Box 1">
          <a:extLst>
            <a:ext uri="{FF2B5EF4-FFF2-40B4-BE49-F238E27FC236}">
              <a16:creationId xmlns:a16="http://schemas.microsoft.com/office/drawing/2014/main" xmlns="" id="{4E7F6049-1931-4C8B-A655-30B19CDA9107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111" name="Text Box 1">
          <a:extLst>
            <a:ext uri="{FF2B5EF4-FFF2-40B4-BE49-F238E27FC236}">
              <a16:creationId xmlns:a16="http://schemas.microsoft.com/office/drawing/2014/main" xmlns="" id="{E1800915-6CC2-4F4D-9C21-3DB16FDEB3BB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112" name="Text Box 1">
          <a:extLst>
            <a:ext uri="{FF2B5EF4-FFF2-40B4-BE49-F238E27FC236}">
              <a16:creationId xmlns:a16="http://schemas.microsoft.com/office/drawing/2014/main" xmlns="" id="{EEC5D40E-44CC-4B41-9569-24EA7F03D991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113" name="Text Box 1">
          <a:extLst>
            <a:ext uri="{FF2B5EF4-FFF2-40B4-BE49-F238E27FC236}">
              <a16:creationId xmlns:a16="http://schemas.microsoft.com/office/drawing/2014/main" xmlns="" id="{43354012-9BCF-4C23-A826-16591A86C200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114" name="Text Box 1">
          <a:extLst>
            <a:ext uri="{FF2B5EF4-FFF2-40B4-BE49-F238E27FC236}">
              <a16:creationId xmlns:a16="http://schemas.microsoft.com/office/drawing/2014/main" xmlns="" id="{41629C6F-6EE4-4480-9FDE-31F4BDDF1FF5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115" name="Text Box 1">
          <a:extLst>
            <a:ext uri="{FF2B5EF4-FFF2-40B4-BE49-F238E27FC236}">
              <a16:creationId xmlns:a16="http://schemas.microsoft.com/office/drawing/2014/main" xmlns="" id="{B4131740-8672-455D-969D-FBEF5986040F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116" name="Text Box 1">
          <a:extLst>
            <a:ext uri="{FF2B5EF4-FFF2-40B4-BE49-F238E27FC236}">
              <a16:creationId xmlns:a16="http://schemas.microsoft.com/office/drawing/2014/main" xmlns="" id="{4259B4A2-8528-4DBA-AF5D-FCD6882B0AA6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117" name="Text Box 1">
          <a:extLst>
            <a:ext uri="{FF2B5EF4-FFF2-40B4-BE49-F238E27FC236}">
              <a16:creationId xmlns:a16="http://schemas.microsoft.com/office/drawing/2014/main" xmlns="" id="{62B62E2D-7E9B-4E61-B6A2-B5008A62EBB9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118" name="Text Box 1">
          <a:extLst>
            <a:ext uri="{FF2B5EF4-FFF2-40B4-BE49-F238E27FC236}">
              <a16:creationId xmlns:a16="http://schemas.microsoft.com/office/drawing/2014/main" xmlns="" id="{6FC3863C-DF48-442A-8ED7-C85F746C5676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119" name="Text Box 1">
          <a:extLst>
            <a:ext uri="{FF2B5EF4-FFF2-40B4-BE49-F238E27FC236}">
              <a16:creationId xmlns:a16="http://schemas.microsoft.com/office/drawing/2014/main" xmlns="" id="{D6A84685-6203-4025-8911-10FE5CEC02D7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120" name="Text Box 1">
          <a:extLst>
            <a:ext uri="{FF2B5EF4-FFF2-40B4-BE49-F238E27FC236}">
              <a16:creationId xmlns:a16="http://schemas.microsoft.com/office/drawing/2014/main" xmlns="" id="{898EFBA0-2C0D-4633-8D32-890795750DF5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121" name="Text Box 1">
          <a:extLst>
            <a:ext uri="{FF2B5EF4-FFF2-40B4-BE49-F238E27FC236}">
              <a16:creationId xmlns:a16="http://schemas.microsoft.com/office/drawing/2014/main" xmlns="" id="{048E9E2F-7AF4-46C9-AFA0-7B8035DA4F69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122" name="Text Box 1">
          <a:extLst>
            <a:ext uri="{FF2B5EF4-FFF2-40B4-BE49-F238E27FC236}">
              <a16:creationId xmlns:a16="http://schemas.microsoft.com/office/drawing/2014/main" xmlns="" id="{715AC5C1-4F63-43C6-9741-B5B6E501E73B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123" name="Text Box 1">
          <a:extLst>
            <a:ext uri="{FF2B5EF4-FFF2-40B4-BE49-F238E27FC236}">
              <a16:creationId xmlns:a16="http://schemas.microsoft.com/office/drawing/2014/main" xmlns="" id="{DAEA30BC-902D-4701-9377-225EEBEAC1DC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62843"/>
    <xdr:sp macro="" textlink="">
      <xdr:nvSpPr>
        <xdr:cNvPr id="124" name="Text Box 1">
          <a:extLst>
            <a:ext uri="{FF2B5EF4-FFF2-40B4-BE49-F238E27FC236}">
              <a16:creationId xmlns:a16="http://schemas.microsoft.com/office/drawing/2014/main" xmlns="" id="{D44C7447-B6D7-46DC-A8B9-4566E7B25402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628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62843"/>
    <xdr:sp macro="" textlink="">
      <xdr:nvSpPr>
        <xdr:cNvPr id="125" name="Text Box 1">
          <a:extLst>
            <a:ext uri="{FF2B5EF4-FFF2-40B4-BE49-F238E27FC236}">
              <a16:creationId xmlns:a16="http://schemas.microsoft.com/office/drawing/2014/main" xmlns="" id="{A5F0FE3D-046B-4BD9-B898-D97B76431BA3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628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126" name="Text Box 1">
          <a:extLst>
            <a:ext uri="{FF2B5EF4-FFF2-40B4-BE49-F238E27FC236}">
              <a16:creationId xmlns:a16="http://schemas.microsoft.com/office/drawing/2014/main" xmlns="" id="{8FE4F427-F224-4765-B414-D451CF6940B9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127" name="Text Box 1">
          <a:extLst>
            <a:ext uri="{FF2B5EF4-FFF2-40B4-BE49-F238E27FC236}">
              <a16:creationId xmlns:a16="http://schemas.microsoft.com/office/drawing/2014/main" xmlns="" id="{CC06842B-D2EA-4CBD-8784-6922584CEA39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128" name="Text Box 1">
          <a:extLst>
            <a:ext uri="{FF2B5EF4-FFF2-40B4-BE49-F238E27FC236}">
              <a16:creationId xmlns:a16="http://schemas.microsoft.com/office/drawing/2014/main" xmlns="" id="{37FD7E50-DCBA-4CE4-8518-54DA2BCF603B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129" name="Text Box 1">
          <a:extLst>
            <a:ext uri="{FF2B5EF4-FFF2-40B4-BE49-F238E27FC236}">
              <a16:creationId xmlns:a16="http://schemas.microsoft.com/office/drawing/2014/main" xmlns="" id="{026993F5-7AF3-4ABF-A2C4-A7121D05F7D3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130" name="Text Box 1">
          <a:extLst>
            <a:ext uri="{FF2B5EF4-FFF2-40B4-BE49-F238E27FC236}">
              <a16:creationId xmlns:a16="http://schemas.microsoft.com/office/drawing/2014/main" xmlns="" id="{F6BE57D1-9A05-465C-B68E-115A5581D0F3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131" name="Text Box 1">
          <a:extLst>
            <a:ext uri="{FF2B5EF4-FFF2-40B4-BE49-F238E27FC236}">
              <a16:creationId xmlns:a16="http://schemas.microsoft.com/office/drawing/2014/main" xmlns="" id="{6205F607-E2E3-4DDF-9EBF-7703F0B7BFA2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132" name="Text Box 1">
          <a:extLst>
            <a:ext uri="{FF2B5EF4-FFF2-40B4-BE49-F238E27FC236}">
              <a16:creationId xmlns:a16="http://schemas.microsoft.com/office/drawing/2014/main" xmlns="" id="{FE8EDF09-5A4A-42FD-85F9-1F4AEB12CC42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133" name="Text Box 1">
          <a:extLst>
            <a:ext uri="{FF2B5EF4-FFF2-40B4-BE49-F238E27FC236}">
              <a16:creationId xmlns:a16="http://schemas.microsoft.com/office/drawing/2014/main" xmlns="" id="{DA8B19CC-3EA3-4C60-86C9-17523584BDA9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134" name="Text Box 1">
          <a:extLst>
            <a:ext uri="{FF2B5EF4-FFF2-40B4-BE49-F238E27FC236}">
              <a16:creationId xmlns:a16="http://schemas.microsoft.com/office/drawing/2014/main" xmlns="" id="{9AB5828F-7317-4CF3-B88C-3497122009E5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135" name="Text Box 1">
          <a:extLst>
            <a:ext uri="{FF2B5EF4-FFF2-40B4-BE49-F238E27FC236}">
              <a16:creationId xmlns:a16="http://schemas.microsoft.com/office/drawing/2014/main" xmlns="" id="{D8CC6D26-8223-4B95-ACDF-E92EF97A42C9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136" name="Text Box 1">
          <a:extLst>
            <a:ext uri="{FF2B5EF4-FFF2-40B4-BE49-F238E27FC236}">
              <a16:creationId xmlns:a16="http://schemas.microsoft.com/office/drawing/2014/main" xmlns="" id="{BBF9C1F1-B716-455A-938D-12AC86B986FA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137" name="Text Box 1">
          <a:extLst>
            <a:ext uri="{FF2B5EF4-FFF2-40B4-BE49-F238E27FC236}">
              <a16:creationId xmlns:a16="http://schemas.microsoft.com/office/drawing/2014/main" xmlns="" id="{33381BA0-677A-4739-BC1F-B98764B29538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138" name="Text Box 1">
          <a:extLst>
            <a:ext uri="{FF2B5EF4-FFF2-40B4-BE49-F238E27FC236}">
              <a16:creationId xmlns:a16="http://schemas.microsoft.com/office/drawing/2014/main" xmlns="" id="{DE761901-F439-4592-87C9-5248A3452FBF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139" name="Text Box 1">
          <a:extLst>
            <a:ext uri="{FF2B5EF4-FFF2-40B4-BE49-F238E27FC236}">
              <a16:creationId xmlns:a16="http://schemas.microsoft.com/office/drawing/2014/main" xmlns="" id="{62CF7C42-2BE9-4BE3-926E-9CCEB447A05A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62843"/>
    <xdr:sp macro="" textlink="">
      <xdr:nvSpPr>
        <xdr:cNvPr id="140" name="Text Box 1">
          <a:extLst>
            <a:ext uri="{FF2B5EF4-FFF2-40B4-BE49-F238E27FC236}">
              <a16:creationId xmlns:a16="http://schemas.microsoft.com/office/drawing/2014/main" xmlns="" id="{828B3248-E89D-4069-B7F8-07BDC795ACCF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628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53318"/>
    <xdr:sp macro="" textlink="">
      <xdr:nvSpPr>
        <xdr:cNvPr id="141" name="Text Box 1">
          <a:extLst>
            <a:ext uri="{FF2B5EF4-FFF2-40B4-BE49-F238E27FC236}">
              <a16:creationId xmlns:a16="http://schemas.microsoft.com/office/drawing/2014/main" xmlns="" id="{89BAEFBE-4581-410D-87AB-AAA537A6CC47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533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53318"/>
    <xdr:sp macro="" textlink="">
      <xdr:nvSpPr>
        <xdr:cNvPr id="142" name="Text Box 1">
          <a:extLst>
            <a:ext uri="{FF2B5EF4-FFF2-40B4-BE49-F238E27FC236}">
              <a16:creationId xmlns:a16="http://schemas.microsoft.com/office/drawing/2014/main" xmlns="" id="{39E145A2-236C-4468-9416-37A255449A11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533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53318"/>
    <xdr:sp macro="" textlink="">
      <xdr:nvSpPr>
        <xdr:cNvPr id="143" name="Text Box 1">
          <a:extLst>
            <a:ext uri="{FF2B5EF4-FFF2-40B4-BE49-F238E27FC236}">
              <a16:creationId xmlns:a16="http://schemas.microsoft.com/office/drawing/2014/main" xmlns="" id="{3A612676-E98B-4A08-AB99-D736C1C3EE07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533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53318"/>
    <xdr:sp macro="" textlink="">
      <xdr:nvSpPr>
        <xdr:cNvPr id="144" name="Text Box 1">
          <a:extLst>
            <a:ext uri="{FF2B5EF4-FFF2-40B4-BE49-F238E27FC236}">
              <a16:creationId xmlns:a16="http://schemas.microsoft.com/office/drawing/2014/main" xmlns="" id="{4374A66C-CCA9-4EB2-A30A-30363761FF03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533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145" name="Text Box 1">
          <a:extLst>
            <a:ext uri="{FF2B5EF4-FFF2-40B4-BE49-F238E27FC236}">
              <a16:creationId xmlns:a16="http://schemas.microsoft.com/office/drawing/2014/main" xmlns="" id="{23A3BBC6-AC4C-4A33-81FD-8162EE07CAE6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146" name="Text Box 1">
          <a:extLst>
            <a:ext uri="{FF2B5EF4-FFF2-40B4-BE49-F238E27FC236}">
              <a16:creationId xmlns:a16="http://schemas.microsoft.com/office/drawing/2014/main" xmlns="" id="{041F1661-8CFE-4A9F-9097-EEBA7D6EE97F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147" name="Text Box 1">
          <a:extLst>
            <a:ext uri="{FF2B5EF4-FFF2-40B4-BE49-F238E27FC236}">
              <a16:creationId xmlns:a16="http://schemas.microsoft.com/office/drawing/2014/main" xmlns="" id="{E117204A-60D3-401D-847F-A996C8304705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148" name="Text Box 1">
          <a:extLst>
            <a:ext uri="{FF2B5EF4-FFF2-40B4-BE49-F238E27FC236}">
              <a16:creationId xmlns:a16="http://schemas.microsoft.com/office/drawing/2014/main" xmlns="" id="{89BBED34-935F-4948-8DCC-887360C34387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149" name="Text Box 1">
          <a:extLst>
            <a:ext uri="{FF2B5EF4-FFF2-40B4-BE49-F238E27FC236}">
              <a16:creationId xmlns:a16="http://schemas.microsoft.com/office/drawing/2014/main" xmlns="" id="{721B2531-1D69-4C3D-B123-011578BA2DE6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150" name="Text Box 1">
          <a:extLst>
            <a:ext uri="{FF2B5EF4-FFF2-40B4-BE49-F238E27FC236}">
              <a16:creationId xmlns:a16="http://schemas.microsoft.com/office/drawing/2014/main" xmlns="" id="{1627A5F9-0B7F-4169-88DC-199CE20B3758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151" name="Text Box 1">
          <a:extLst>
            <a:ext uri="{FF2B5EF4-FFF2-40B4-BE49-F238E27FC236}">
              <a16:creationId xmlns:a16="http://schemas.microsoft.com/office/drawing/2014/main" xmlns="" id="{6284E284-1ACC-42BE-BAD8-299AE55A54A0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152" name="Text Box 1">
          <a:extLst>
            <a:ext uri="{FF2B5EF4-FFF2-40B4-BE49-F238E27FC236}">
              <a16:creationId xmlns:a16="http://schemas.microsoft.com/office/drawing/2014/main" xmlns="" id="{F6F7E6B3-79A8-49BA-A141-7E49547A8D04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153" name="Text Box 1">
          <a:extLst>
            <a:ext uri="{FF2B5EF4-FFF2-40B4-BE49-F238E27FC236}">
              <a16:creationId xmlns:a16="http://schemas.microsoft.com/office/drawing/2014/main" xmlns="" id="{60BADF76-16C6-4B23-AD26-9EB77D4B15C6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154" name="Text Box 1">
          <a:extLst>
            <a:ext uri="{FF2B5EF4-FFF2-40B4-BE49-F238E27FC236}">
              <a16:creationId xmlns:a16="http://schemas.microsoft.com/office/drawing/2014/main" xmlns="" id="{DB13E1E8-48E7-499E-AACB-E4086B8B5B8D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155" name="Text Box 1">
          <a:extLst>
            <a:ext uri="{FF2B5EF4-FFF2-40B4-BE49-F238E27FC236}">
              <a16:creationId xmlns:a16="http://schemas.microsoft.com/office/drawing/2014/main" xmlns="" id="{73B72915-EE7E-4037-815A-211199FB91F3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156" name="Text Box 1">
          <a:extLst>
            <a:ext uri="{FF2B5EF4-FFF2-40B4-BE49-F238E27FC236}">
              <a16:creationId xmlns:a16="http://schemas.microsoft.com/office/drawing/2014/main" xmlns="" id="{73BB3B40-B899-4845-BA7F-05BEFFCFA857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157" name="Text Box 1">
          <a:extLst>
            <a:ext uri="{FF2B5EF4-FFF2-40B4-BE49-F238E27FC236}">
              <a16:creationId xmlns:a16="http://schemas.microsoft.com/office/drawing/2014/main" xmlns="" id="{75876838-B5FC-4493-A24A-C49F46A1482C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158" name="Text Box 1">
          <a:extLst>
            <a:ext uri="{FF2B5EF4-FFF2-40B4-BE49-F238E27FC236}">
              <a16:creationId xmlns:a16="http://schemas.microsoft.com/office/drawing/2014/main" xmlns="" id="{5CA0107E-1547-49BF-9125-F30B488A2F72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159" name="Text Box 1">
          <a:extLst>
            <a:ext uri="{FF2B5EF4-FFF2-40B4-BE49-F238E27FC236}">
              <a16:creationId xmlns:a16="http://schemas.microsoft.com/office/drawing/2014/main" xmlns="" id="{52E89C43-B549-4AA4-BE3E-2273F09385E3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160" name="Text Box 1">
          <a:extLst>
            <a:ext uri="{FF2B5EF4-FFF2-40B4-BE49-F238E27FC236}">
              <a16:creationId xmlns:a16="http://schemas.microsoft.com/office/drawing/2014/main" xmlns="" id="{3939592B-73C9-45EE-962F-498409404AB9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62843"/>
    <xdr:sp macro="" textlink="">
      <xdr:nvSpPr>
        <xdr:cNvPr id="161" name="Text Box 1">
          <a:extLst>
            <a:ext uri="{FF2B5EF4-FFF2-40B4-BE49-F238E27FC236}">
              <a16:creationId xmlns:a16="http://schemas.microsoft.com/office/drawing/2014/main" xmlns="" id="{C795BCA4-BFBD-4F51-B13A-89D59CC1FA96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628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62843"/>
    <xdr:sp macro="" textlink="">
      <xdr:nvSpPr>
        <xdr:cNvPr id="162" name="Text Box 1">
          <a:extLst>
            <a:ext uri="{FF2B5EF4-FFF2-40B4-BE49-F238E27FC236}">
              <a16:creationId xmlns:a16="http://schemas.microsoft.com/office/drawing/2014/main" xmlns="" id="{F113CD91-A9CA-4CDE-85BA-F312967CAAFE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628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163" name="Text Box 1">
          <a:extLst>
            <a:ext uri="{FF2B5EF4-FFF2-40B4-BE49-F238E27FC236}">
              <a16:creationId xmlns:a16="http://schemas.microsoft.com/office/drawing/2014/main" xmlns="" id="{C6B8EA98-287A-4051-A47B-12DDABAA00BD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164" name="Text Box 1">
          <a:extLst>
            <a:ext uri="{FF2B5EF4-FFF2-40B4-BE49-F238E27FC236}">
              <a16:creationId xmlns:a16="http://schemas.microsoft.com/office/drawing/2014/main" xmlns="" id="{9D25B67E-72A5-403D-843E-F1138C820A19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165" name="Text Box 1">
          <a:extLst>
            <a:ext uri="{FF2B5EF4-FFF2-40B4-BE49-F238E27FC236}">
              <a16:creationId xmlns:a16="http://schemas.microsoft.com/office/drawing/2014/main" xmlns="" id="{94E6026F-6330-49A3-B19A-7841F5C36FE0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166" name="Text Box 1">
          <a:extLst>
            <a:ext uri="{FF2B5EF4-FFF2-40B4-BE49-F238E27FC236}">
              <a16:creationId xmlns:a16="http://schemas.microsoft.com/office/drawing/2014/main" xmlns="" id="{7D1FF0D2-FBFA-4156-868B-D42F72DF2471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167" name="Text Box 1">
          <a:extLst>
            <a:ext uri="{FF2B5EF4-FFF2-40B4-BE49-F238E27FC236}">
              <a16:creationId xmlns:a16="http://schemas.microsoft.com/office/drawing/2014/main" xmlns="" id="{10FD2150-1137-4121-A02C-211F09E2C4C0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168" name="Text Box 1">
          <a:extLst>
            <a:ext uri="{FF2B5EF4-FFF2-40B4-BE49-F238E27FC236}">
              <a16:creationId xmlns:a16="http://schemas.microsoft.com/office/drawing/2014/main" xmlns="" id="{09200AD3-5C8E-4E55-8DAF-42DC713CAB95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169" name="Text Box 1">
          <a:extLst>
            <a:ext uri="{FF2B5EF4-FFF2-40B4-BE49-F238E27FC236}">
              <a16:creationId xmlns:a16="http://schemas.microsoft.com/office/drawing/2014/main" xmlns="" id="{B2431A2B-3832-4569-800B-58846A04854B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170" name="Text Box 1">
          <a:extLst>
            <a:ext uri="{FF2B5EF4-FFF2-40B4-BE49-F238E27FC236}">
              <a16:creationId xmlns:a16="http://schemas.microsoft.com/office/drawing/2014/main" xmlns="" id="{30E8FE4D-AFAE-4474-AA53-841834562E09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171" name="Text Box 1">
          <a:extLst>
            <a:ext uri="{FF2B5EF4-FFF2-40B4-BE49-F238E27FC236}">
              <a16:creationId xmlns:a16="http://schemas.microsoft.com/office/drawing/2014/main" xmlns="" id="{8456C1C7-68E6-46F3-A790-DE928496121F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172" name="Text Box 1">
          <a:extLst>
            <a:ext uri="{FF2B5EF4-FFF2-40B4-BE49-F238E27FC236}">
              <a16:creationId xmlns:a16="http://schemas.microsoft.com/office/drawing/2014/main" xmlns="" id="{16B0DAF9-252C-43C3-8751-6C0201F7FA09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173" name="Text Box 1">
          <a:extLst>
            <a:ext uri="{FF2B5EF4-FFF2-40B4-BE49-F238E27FC236}">
              <a16:creationId xmlns:a16="http://schemas.microsoft.com/office/drawing/2014/main" xmlns="" id="{7D11C4E1-780E-4E1D-BB29-EC709D9EA0EA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174" name="Text Box 1">
          <a:extLst>
            <a:ext uri="{FF2B5EF4-FFF2-40B4-BE49-F238E27FC236}">
              <a16:creationId xmlns:a16="http://schemas.microsoft.com/office/drawing/2014/main" xmlns="" id="{4962EC27-07B3-42D9-AC50-F1D99D359ED9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175" name="Text Box 1">
          <a:extLst>
            <a:ext uri="{FF2B5EF4-FFF2-40B4-BE49-F238E27FC236}">
              <a16:creationId xmlns:a16="http://schemas.microsoft.com/office/drawing/2014/main" xmlns="" id="{495FC252-7027-4A97-A095-A282EBCA725E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176" name="Text Box 1">
          <a:extLst>
            <a:ext uri="{FF2B5EF4-FFF2-40B4-BE49-F238E27FC236}">
              <a16:creationId xmlns:a16="http://schemas.microsoft.com/office/drawing/2014/main" xmlns="" id="{0A1700F6-C27A-4AC5-91BF-EA3500EAC834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62843"/>
    <xdr:sp macro="" textlink="">
      <xdr:nvSpPr>
        <xdr:cNvPr id="177" name="Text Box 1">
          <a:extLst>
            <a:ext uri="{FF2B5EF4-FFF2-40B4-BE49-F238E27FC236}">
              <a16:creationId xmlns:a16="http://schemas.microsoft.com/office/drawing/2014/main" xmlns="" id="{DC06681C-7D14-42E0-A040-C16017DEF3FD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628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62843"/>
    <xdr:sp macro="" textlink="">
      <xdr:nvSpPr>
        <xdr:cNvPr id="178" name="Text Box 1">
          <a:extLst>
            <a:ext uri="{FF2B5EF4-FFF2-40B4-BE49-F238E27FC236}">
              <a16:creationId xmlns:a16="http://schemas.microsoft.com/office/drawing/2014/main" xmlns="" id="{FE421038-4AE7-4C5B-ADB5-D3E97CE61E16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628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179" name="Text Box 1">
          <a:extLst>
            <a:ext uri="{FF2B5EF4-FFF2-40B4-BE49-F238E27FC236}">
              <a16:creationId xmlns:a16="http://schemas.microsoft.com/office/drawing/2014/main" xmlns="" id="{F45D76AA-007A-4E4E-87A3-ADEEC616EFED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180" name="Text Box 1">
          <a:extLst>
            <a:ext uri="{FF2B5EF4-FFF2-40B4-BE49-F238E27FC236}">
              <a16:creationId xmlns:a16="http://schemas.microsoft.com/office/drawing/2014/main" xmlns="" id="{E0CDB576-682C-4BC0-802F-9566C4EE0236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181" name="Text Box 1">
          <a:extLst>
            <a:ext uri="{FF2B5EF4-FFF2-40B4-BE49-F238E27FC236}">
              <a16:creationId xmlns:a16="http://schemas.microsoft.com/office/drawing/2014/main" xmlns="" id="{526173AD-73E0-4FB3-917B-0968619C875C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182" name="Text Box 1">
          <a:extLst>
            <a:ext uri="{FF2B5EF4-FFF2-40B4-BE49-F238E27FC236}">
              <a16:creationId xmlns:a16="http://schemas.microsoft.com/office/drawing/2014/main" xmlns="" id="{B0D8F961-AC9A-4378-A1F5-77AD58BBF849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183" name="Text Box 1">
          <a:extLst>
            <a:ext uri="{FF2B5EF4-FFF2-40B4-BE49-F238E27FC236}">
              <a16:creationId xmlns:a16="http://schemas.microsoft.com/office/drawing/2014/main" xmlns="" id="{6D7C72DE-9022-4D2C-AC1F-F59B03D0B117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184" name="Text Box 1">
          <a:extLst>
            <a:ext uri="{FF2B5EF4-FFF2-40B4-BE49-F238E27FC236}">
              <a16:creationId xmlns:a16="http://schemas.microsoft.com/office/drawing/2014/main" xmlns="" id="{4F7162F0-B37D-4E8D-937C-A45F75CB9D28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185" name="Text Box 1">
          <a:extLst>
            <a:ext uri="{FF2B5EF4-FFF2-40B4-BE49-F238E27FC236}">
              <a16:creationId xmlns:a16="http://schemas.microsoft.com/office/drawing/2014/main" xmlns="" id="{F55E228B-CE01-484E-A146-663C2218E397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186" name="Text Box 1">
          <a:extLst>
            <a:ext uri="{FF2B5EF4-FFF2-40B4-BE49-F238E27FC236}">
              <a16:creationId xmlns:a16="http://schemas.microsoft.com/office/drawing/2014/main" xmlns="" id="{194C4374-D334-452E-ABC3-6696DC195C2E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187" name="Text Box 1">
          <a:extLst>
            <a:ext uri="{FF2B5EF4-FFF2-40B4-BE49-F238E27FC236}">
              <a16:creationId xmlns:a16="http://schemas.microsoft.com/office/drawing/2014/main" xmlns="" id="{D6E408FA-DC33-4A5A-A73F-07E9C49CE1AA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188" name="Text Box 1">
          <a:extLst>
            <a:ext uri="{FF2B5EF4-FFF2-40B4-BE49-F238E27FC236}">
              <a16:creationId xmlns:a16="http://schemas.microsoft.com/office/drawing/2014/main" xmlns="" id="{B3A55867-39CE-44BA-B515-089D103D4674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189" name="Text Box 1">
          <a:extLst>
            <a:ext uri="{FF2B5EF4-FFF2-40B4-BE49-F238E27FC236}">
              <a16:creationId xmlns:a16="http://schemas.microsoft.com/office/drawing/2014/main" xmlns="" id="{B6B91979-990E-4B5E-9825-6F77E27A3A74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190" name="Text Box 1">
          <a:extLst>
            <a:ext uri="{FF2B5EF4-FFF2-40B4-BE49-F238E27FC236}">
              <a16:creationId xmlns:a16="http://schemas.microsoft.com/office/drawing/2014/main" xmlns="" id="{063659EF-60DA-4A48-94F4-1D0344FBDD07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191" name="Text Box 1">
          <a:extLst>
            <a:ext uri="{FF2B5EF4-FFF2-40B4-BE49-F238E27FC236}">
              <a16:creationId xmlns:a16="http://schemas.microsoft.com/office/drawing/2014/main" xmlns="" id="{0DC7A04D-CDAA-4E88-BBB3-9280342AC091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192" name="Text Box 1">
          <a:extLst>
            <a:ext uri="{FF2B5EF4-FFF2-40B4-BE49-F238E27FC236}">
              <a16:creationId xmlns:a16="http://schemas.microsoft.com/office/drawing/2014/main" xmlns="" id="{4626CF14-7F26-438D-AEFB-90D0A2F92937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62843"/>
    <xdr:sp macro="" textlink="">
      <xdr:nvSpPr>
        <xdr:cNvPr id="193" name="Text Box 1">
          <a:extLst>
            <a:ext uri="{FF2B5EF4-FFF2-40B4-BE49-F238E27FC236}">
              <a16:creationId xmlns:a16="http://schemas.microsoft.com/office/drawing/2014/main" xmlns="" id="{C01FE5FC-3AB7-4797-8048-7D271CC74AED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628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62843"/>
    <xdr:sp macro="" textlink="">
      <xdr:nvSpPr>
        <xdr:cNvPr id="194" name="Text Box 1">
          <a:extLst>
            <a:ext uri="{FF2B5EF4-FFF2-40B4-BE49-F238E27FC236}">
              <a16:creationId xmlns:a16="http://schemas.microsoft.com/office/drawing/2014/main" xmlns="" id="{CEAC3D74-5F66-4962-983E-BA46860E3050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628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195" name="Text Box 1">
          <a:extLst>
            <a:ext uri="{FF2B5EF4-FFF2-40B4-BE49-F238E27FC236}">
              <a16:creationId xmlns:a16="http://schemas.microsoft.com/office/drawing/2014/main" xmlns="" id="{F1599918-914A-49D3-901B-350BBC31D8E8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196" name="Text Box 1">
          <a:extLst>
            <a:ext uri="{FF2B5EF4-FFF2-40B4-BE49-F238E27FC236}">
              <a16:creationId xmlns:a16="http://schemas.microsoft.com/office/drawing/2014/main" xmlns="" id="{942FB529-D11D-467E-AF43-E510BAA11C02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197" name="Text Box 1">
          <a:extLst>
            <a:ext uri="{FF2B5EF4-FFF2-40B4-BE49-F238E27FC236}">
              <a16:creationId xmlns:a16="http://schemas.microsoft.com/office/drawing/2014/main" xmlns="" id="{51850550-E612-42DA-BFB3-C4EFFD0489F0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198" name="Text Box 1">
          <a:extLst>
            <a:ext uri="{FF2B5EF4-FFF2-40B4-BE49-F238E27FC236}">
              <a16:creationId xmlns:a16="http://schemas.microsoft.com/office/drawing/2014/main" xmlns="" id="{5ADEE50B-B031-4A3D-9FDC-E895B3F529CB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199" name="Text Box 1">
          <a:extLst>
            <a:ext uri="{FF2B5EF4-FFF2-40B4-BE49-F238E27FC236}">
              <a16:creationId xmlns:a16="http://schemas.microsoft.com/office/drawing/2014/main" xmlns="" id="{F1BCD3DA-4880-46BB-9945-F139077B227E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200" name="Text Box 1">
          <a:extLst>
            <a:ext uri="{FF2B5EF4-FFF2-40B4-BE49-F238E27FC236}">
              <a16:creationId xmlns:a16="http://schemas.microsoft.com/office/drawing/2014/main" xmlns="" id="{071221F7-D9C9-42DC-8C2B-076D94AFAD96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201" name="Text Box 1">
          <a:extLst>
            <a:ext uri="{FF2B5EF4-FFF2-40B4-BE49-F238E27FC236}">
              <a16:creationId xmlns:a16="http://schemas.microsoft.com/office/drawing/2014/main" xmlns="" id="{E9A729BE-054C-4BC9-8B39-38BCA8BDBCCB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202" name="Text Box 1">
          <a:extLst>
            <a:ext uri="{FF2B5EF4-FFF2-40B4-BE49-F238E27FC236}">
              <a16:creationId xmlns:a16="http://schemas.microsoft.com/office/drawing/2014/main" xmlns="" id="{A19515DA-6675-47B5-A239-CC060728B78E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203" name="Text Box 1">
          <a:extLst>
            <a:ext uri="{FF2B5EF4-FFF2-40B4-BE49-F238E27FC236}">
              <a16:creationId xmlns:a16="http://schemas.microsoft.com/office/drawing/2014/main" xmlns="" id="{C3508ED7-68C0-4EB9-ABE4-9EF04F9B60ED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204" name="Text Box 1">
          <a:extLst>
            <a:ext uri="{FF2B5EF4-FFF2-40B4-BE49-F238E27FC236}">
              <a16:creationId xmlns:a16="http://schemas.microsoft.com/office/drawing/2014/main" xmlns="" id="{E09EDD8A-6C06-4100-9AF9-087640D3A553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205" name="Text Box 1">
          <a:extLst>
            <a:ext uri="{FF2B5EF4-FFF2-40B4-BE49-F238E27FC236}">
              <a16:creationId xmlns:a16="http://schemas.microsoft.com/office/drawing/2014/main" xmlns="" id="{D77F6855-B2C8-45B9-AA11-FA1D204E94C2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206" name="Text Box 1">
          <a:extLst>
            <a:ext uri="{FF2B5EF4-FFF2-40B4-BE49-F238E27FC236}">
              <a16:creationId xmlns:a16="http://schemas.microsoft.com/office/drawing/2014/main" xmlns="" id="{25C2B6FA-245F-4960-91AC-36C60953B7C0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207" name="Text Box 1">
          <a:extLst>
            <a:ext uri="{FF2B5EF4-FFF2-40B4-BE49-F238E27FC236}">
              <a16:creationId xmlns:a16="http://schemas.microsoft.com/office/drawing/2014/main" xmlns="" id="{81026941-96CE-4E1D-9A0A-43CAD26B5820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208" name="Text Box 1">
          <a:extLst>
            <a:ext uri="{FF2B5EF4-FFF2-40B4-BE49-F238E27FC236}">
              <a16:creationId xmlns:a16="http://schemas.microsoft.com/office/drawing/2014/main" xmlns="" id="{5E4981AB-C31B-4036-B71A-BB7D61B6EC31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62843"/>
    <xdr:sp macro="" textlink="">
      <xdr:nvSpPr>
        <xdr:cNvPr id="209" name="Text Box 1">
          <a:extLst>
            <a:ext uri="{FF2B5EF4-FFF2-40B4-BE49-F238E27FC236}">
              <a16:creationId xmlns:a16="http://schemas.microsoft.com/office/drawing/2014/main" xmlns="" id="{B540FCB3-5803-40D7-94A0-DEF21ECECF5B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628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53318"/>
    <xdr:sp macro="" textlink="">
      <xdr:nvSpPr>
        <xdr:cNvPr id="210" name="Text Box 1">
          <a:extLst>
            <a:ext uri="{FF2B5EF4-FFF2-40B4-BE49-F238E27FC236}">
              <a16:creationId xmlns:a16="http://schemas.microsoft.com/office/drawing/2014/main" xmlns="" id="{0C492E23-9F8A-4745-9A95-F7E571FA6995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533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53318"/>
    <xdr:sp macro="" textlink="">
      <xdr:nvSpPr>
        <xdr:cNvPr id="211" name="Text Box 1">
          <a:extLst>
            <a:ext uri="{FF2B5EF4-FFF2-40B4-BE49-F238E27FC236}">
              <a16:creationId xmlns:a16="http://schemas.microsoft.com/office/drawing/2014/main" xmlns="" id="{5180A89C-1425-4B01-A4A7-72FEACE84A5F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533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53318"/>
    <xdr:sp macro="" textlink="">
      <xdr:nvSpPr>
        <xdr:cNvPr id="212" name="Text Box 1">
          <a:extLst>
            <a:ext uri="{FF2B5EF4-FFF2-40B4-BE49-F238E27FC236}">
              <a16:creationId xmlns:a16="http://schemas.microsoft.com/office/drawing/2014/main" xmlns="" id="{C63B084A-1EF2-4981-8576-A0F47F4214C1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533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53318"/>
    <xdr:sp macro="" textlink="">
      <xdr:nvSpPr>
        <xdr:cNvPr id="213" name="Text Box 1">
          <a:extLst>
            <a:ext uri="{FF2B5EF4-FFF2-40B4-BE49-F238E27FC236}">
              <a16:creationId xmlns:a16="http://schemas.microsoft.com/office/drawing/2014/main" xmlns="" id="{F15FE28C-BF92-44B6-8AFB-9A25181934A9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533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214" name="Text Box 1">
          <a:extLst>
            <a:ext uri="{FF2B5EF4-FFF2-40B4-BE49-F238E27FC236}">
              <a16:creationId xmlns:a16="http://schemas.microsoft.com/office/drawing/2014/main" xmlns="" id="{358554D8-55F0-48C2-9901-B39267EABE74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215" name="Text Box 1">
          <a:extLst>
            <a:ext uri="{FF2B5EF4-FFF2-40B4-BE49-F238E27FC236}">
              <a16:creationId xmlns:a16="http://schemas.microsoft.com/office/drawing/2014/main" xmlns="" id="{CC073DAB-F459-455F-BA24-1672FD5D0ABF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216" name="Text Box 1">
          <a:extLst>
            <a:ext uri="{FF2B5EF4-FFF2-40B4-BE49-F238E27FC236}">
              <a16:creationId xmlns:a16="http://schemas.microsoft.com/office/drawing/2014/main" xmlns="" id="{056181A7-5565-4107-80BC-A04007EC6CD0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217" name="Text Box 1">
          <a:extLst>
            <a:ext uri="{FF2B5EF4-FFF2-40B4-BE49-F238E27FC236}">
              <a16:creationId xmlns:a16="http://schemas.microsoft.com/office/drawing/2014/main" xmlns="" id="{7AA2C305-8DF0-4839-8033-88D3EB5F0D6E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218" name="Text Box 1">
          <a:extLst>
            <a:ext uri="{FF2B5EF4-FFF2-40B4-BE49-F238E27FC236}">
              <a16:creationId xmlns:a16="http://schemas.microsoft.com/office/drawing/2014/main" xmlns="" id="{539F914B-64E9-4281-94B0-CC08FF115834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219" name="Text Box 1">
          <a:extLst>
            <a:ext uri="{FF2B5EF4-FFF2-40B4-BE49-F238E27FC236}">
              <a16:creationId xmlns:a16="http://schemas.microsoft.com/office/drawing/2014/main" xmlns="" id="{26FE606B-7AAE-42AE-80FA-4D7B2C515597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220" name="Text Box 1">
          <a:extLst>
            <a:ext uri="{FF2B5EF4-FFF2-40B4-BE49-F238E27FC236}">
              <a16:creationId xmlns:a16="http://schemas.microsoft.com/office/drawing/2014/main" xmlns="" id="{0842B6B9-6A9F-494F-8795-279E0A89EEE1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221" name="Text Box 1">
          <a:extLst>
            <a:ext uri="{FF2B5EF4-FFF2-40B4-BE49-F238E27FC236}">
              <a16:creationId xmlns:a16="http://schemas.microsoft.com/office/drawing/2014/main" xmlns="" id="{52AB7BD0-6485-4DF5-9230-AE2EA97FECB2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222" name="Text Box 1">
          <a:extLst>
            <a:ext uri="{FF2B5EF4-FFF2-40B4-BE49-F238E27FC236}">
              <a16:creationId xmlns:a16="http://schemas.microsoft.com/office/drawing/2014/main" xmlns="" id="{EDDF6EA4-60DD-46E7-8235-20CB78383227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223" name="Text Box 1">
          <a:extLst>
            <a:ext uri="{FF2B5EF4-FFF2-40B4-BE49-F238E27FC236}">
              <a16:creationId xmlns:a16="http://schemas.microsoft.com/office/drawing/2014/main" xmlns="" id="{F75AB8FB-805D-468D-A40A-7FAAF3A4590B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224" name="Text Box 1">
          <a:extLst>
            <a:ext uri="{FF2B5EF4-FFF2-40B4-BE49-F238E27FC236}">
              <a16:creationId xmlns:a16="http://schemas.microsoft.com/office/drawing/2014/main" xmlns="" id="{93801397-632F-409D-8FD1-91C2D314B231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225" name="Text Box 1">
          <a:extLst>
            <a:ext uri="{FF2B5EF4-FFF2-40B4-BE49-F238E27FC236}">
              <a16:creationId xmlns:a16="http://schemas.microsoft.com/office/drawing/2014/main" xmlns="" id="{5ED35F00-4C2C-4C2B-BD20-8BD151B05AA0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226" name="Text Box 1">
          <a:extLst>
            <a:ext uri="{FF2B5EF4-FFF2-40B4-BE49-F238E27FC236}">
              <a16:creationId xmlns:a16="http://schemas.microsoft.com/office/drawing/2014/main" xmlns="" id="{3937543B-DB0C-4000-A79E-996BFFC3985B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227" name="Text Box 1">
          <a:extLst>
            <a:ext uri="{FF2B5EF4-FFF2-40B4-BE49-F238E27FC236}">
              <a16:creationId xmlns:a16="http://schemas.microsoft.com/office/drawing/2014/main" xmlns="" id="{5DBC1B4F-66B6-4A1A-BCF9-3BA997DF9881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228" name="Text Box 1">
          <a:extLst>
            <a:ext uri="{FF2B5EF4-FFF2-40B4-BE49-F238E27FC236}">
              <a16:creationId xmlns:a16="http://schemas.microsoft.com/office/drawing/2014/main" xmlns="" id="{C5627448-623E-4232-B74B-D96A44F5DC6D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229" name="Text Box 1">
          <a:extLst>
            <a:ext uri="{FF2B5EF4-FFF2-40B4-BE49-F238E27FC236}">
              <a16:creationId xmlns:a16="http://schemas.microsoft.com/office/drawing/2014/main" xmlns="" id="{30851C1B-9A71-469F-A04A-B8610C6AD086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62843"/>
    <xdr:sp macro="" textlink="">
      <xdr:nvSpPr>
        <xdr:cNvPr id="230" name="Text Box 1">
          <a:extLst>
            <a:ext uri="{FF2B5EF4-FFF2-40B4-BE49-F238E27FC236}">
              <a16:creationId xmlns:a16="http://schemas.microsoft.com/office/drawing/2014/main" xmlns="" id="{338718ED-633F-48F0-87CD-1477D59C54E1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628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62843"/>
    <xdr:sp macro="" textlink="">
      <xdr:nvSpPr>
        <xdr:cNvPr id="231" name="Text Box 1">
          <a:extLst>
            <a:ext uri="{FF2B5EF4-FFF2-40B4-BE49-F238E27FC236}">
              <a16:creationId xmlns:a16="http://schemas.microsoft.com/office/drawing/2014/main" xmlns="" id="{1D60E5D4-7EB7-41A0-BA64-84F91603BE36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628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232" name="Text Box 1">
          <a:extLst>
            <a:ext uri="{FF2B5EF4-FFF2-40B4-BE49-F238E27FC236}">
              <a16:creationId xmlns:a16="http://schemas.microsoft.com/office/drawing/2014/main" xmlns="" id="{AA6ED78D-2D70-4AB2-9B2A-A8601F605199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233" name="Text Box 1">
          <a:extLst>
            <a:ext uri="{FF2B5EF4-FFF2-40B4-BE49-F238E27FC236}">
              <a16:creationId xmlns:a16="http://schemas.microsoft.com/office/drawing/2014/main" xmlns="" id="{68939A5C-B967-4361-85A1-0A034DECDC83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234" name="Text Box 1">
          <a:extLst>
            <a:ext uri="{FF2B5EF4-FFF2-40B4-BE49-F238E27FC236}">
              <a16:creationId xmlns:a16="http://schemas.microsoft.com/office/drawing/2014/main" xmlns="" id="{6BF19A6F-225D-4E2F-B68C-DBF85E8480A5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235" name="Text Box 1">
          <a:extLst>
            <a:ext uri="{FF2B5EF4-FFF2-40B4-BE49-F238E27FC236}">
              <a16:creationId xmlns:a16="http://schemas.microsoft.com/office/drawing/2014/main" xmlns="" id="{DAB3108F-D840-4FA8-8796-F5D714814888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236" name="Text Box 1">
          <a:extLst>
            <a:ext uri="{FF2B5EF4-FFF2-40B4-BE49-F238E27FC236}">
              <a16:creationId xmlns:a16="http://schemas.microsoft.com/office/drawing/2014/main" xmlns="" id="{EFADB188-5424-4644-9E56-FC3871F591E7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237" name="Text Box 1">
          <a:extLst>
            <a:ext uri="{FF2B5EF4-FFF2-40B4-BE49-F238E27FC236}">
              <a16:creationId xmlns:a16="http://schemas.microsoft.com/office/drawing/2014/main" xmlns="" id="{0364FB01-99C3-45B7-88BB-4E4022C66F8C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238" name="Text Box 1">
          <a:extLst>
            <a:ext uri="{FF2B5EF4-FFF2-40B4-BE49-F238E27FC236}">
              <a16:creationId xmlns:a16="http://schemas.microsoft.com/office/drawing/2014/main" xmlns="" id="{6F60CC7A-561D-4560-AE5C-B2E5783B5260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239" name="Text Box 1">
          <a:extLst>
            <a:ext uri="{FF2B5EF4-FFF2-40B4-BE49-F238E27FC236}">
              <a16:creationId xmlns:a16="http://schemas.microsoft.com/office/drawing/2014/main" xmlns="" id="{39A3925B-3ED7-40B7-9DBD-141C13803F77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240" name="Text Box 1">
          <a:extLst>
            <a:ext uri="{FF2B5EF4-FFF2-40B4-BE49-F238E27FC236}">
              <a16:creationId xmlns:a16="http://schemas.microsoft.com/office/drawing/2014/main" xmlns="" id="{1072D480-EB83-4C0D-A10C-08E0457F988C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241" name="Text Box 1">
          <a:extLst>
            <a:ext uri="{FF2B5EF4-FFF2-40B4-BE49-F238E27FC236}">
              <a16:creationId xmlns:a16="http://schemas.microsoft.com/office/drawing/2014/main" xmlns="" id="{6B10FBD5-4143-4DB8-9A41-CB6B81FBC1E5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242" name="Text Box 1">
          <a:extLst>
            <a:ext uri="{FF2B5EF4-FFF2-40B4-BE49-F238E27FC236}">
              <a16:creationId xmlns:a16="http://schemas.microsoft.com/office/drawing/2014/main" xmlns="" id="{4E000329-43D8-4B1C-9FF4-9E311B90B67E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243" name="Text Box 1">
          <a:extLst>
            <a:ext uri="{FF2B5EF4-FFF2-40B4-BE49-F238E27FC236}">
              <a16:creationId xmlns:a16="http://schemas.microsoft.com/office/drawing/2014/main" xmlns="" id="{CD44CDBE-33FA-401C-9378-36E5D927F53B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244" name="Text Box 1">
          <a:extLst>
            <a:ext uri="{FF2B5EF4-FFF2-40B4-BE49-F238E27FC236}">
              <a16:creationId xmlns:a16="http://schemas.microsoft.com/office/drawing/2014/main" xmlns="" id="{4AE60866-239D-4982-9C5F-0D6133085D38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245" name="Text Box 1">
          <a:extLst>
            <a:ext uri="{FF2B5EF4-FFF2-40B4-BE49-F238E27FC236}">
              <a16:creationId xmlns:a16="http://schemas.microsoft.com/office/drawing/2014/main" xmlns="" id="{F76F8CDD-8287-4237-BFF9-FAE91CA95223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62843"/>
    <xdr:sp macro="" textlink="">
      <xdr:nvSpPr>
        <xdr:cNvPr id="246" name="Text Box 1">
          <a:extLst>
            <a:ext uri="{FF2B5EF4-FFF2-40B4-BE49-F238E27FC236}">
              <a16:creationId xmlns:a16="http://schemas.microsoft.com/office/drawing/2014/main" xmlns="" id="{C636CAA0-F6AA-4EA4-BC27-A61123D6F8BF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628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62843"/>
    <xdr:sp macro="" textlink="">
      <xdr:nvSpPr>
        <xdr:cNvPr id="247" name="Text Box 1">
          <a:extLst>
            <a:ext uri="{FF2B5EF4-FFF2-40B4-BE49-F238E27FC236}">
              <a16:creationId xmlns:a16="http://schemas.microsoft.com/office/drawing/2014/main" xmlns="" id="{1A28E598-8428-4703-8627-14CD70236C0A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628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248" name="Text Box 1">
          <a:extLst>
            <a:ext uri="{FF2B5EF4-FFF2-40B4-BE49-F238E27FC236}">
              <a16:creationId xmlns:a16="http://schemas.microsoft.com/office/drawing/2014/main" xmlns="" id="{4B93AE9F-FA02-4149-95AE-B50605F9F24B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249" name="Text Box 1">
          <a:extLst>
            <a:ext uri="{FF2B5EF4-FFF2-40B4-BE49-F238E27FC236}">
              <a16:creationId xmlns:a16="http://schemas.microsoft.com/office/drawing/2014/main" xmlns="" id="{BC97DDFA-9487-4632-BAFA-F9AF922D704F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250" name="Text Box 1">
          <a:extLst>
            <a:ext uri="{FF2B5EF4-FFF2-40B4-BE49-F238E27FC236}">
              <a16:creationId xmlns:a16="http://schemas.microsoft.com/office/drawing/2014/main" xmlns="" id="{ADAEA02D-FD72-4C31-B1D8-25ED60EA880C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251" name="Text Box 1">
          <a:extLst>
            <a:ext uri="{FF2B5EF4-FFF2-40B4-BE49-F238E27FC236}">
              <a16:creationId xmlns:a16="http://schemas.microsoft.com/office/drawing/2014/main" xmlns="" id="{1B30436D-AD60-4711-92F4-6DF20FE0531F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252" name="Text Box 1">
          <a:extLst>
            <a:ext uri="{FF2B5EF4-FFF2-40B4-BE49-F238E27FC236}">
              <a16:creationId xmlns:a16="http://schemas.microsoft.com/office/drawing/2014/main" xmlns="" id="{8EBACFF1-7D21-4415-9EAA-F78912556905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253" name="Text Box 1">
          <a:extLst>
            <a:ext uri="{FF2B5EF4-FFF2-40B4-BE49-F238E27FC236}">
              <a16:creationId xmlns:a16="http://schemas.microsoft.com/office/drawing/2014/main" xmlns="" id="{43DD4ABB-EA3A-4A50-9D94-CE1FE2DA8ED0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254" name="Text Box 1">
          <a:extLst>
            <a:ext uri="{FF2B5EF4-FFF2-40B4-BE49-F238E27FC236}">
              <a16:creationId xmlns:a16="http://schemas.microsoft.com/office/drawing/2014/main" xmlns="" id="{49AC7E65-0329-4CB7-9380-DCF7875548E3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255" name="Text Box 1">
          <a:extLst>
            <a:ext uri="{FF2B5EF4-FFF2-40B4-BE49-F238E27FC236}">
              <a16:creationId xmlns:a16="http://schemas.microsoft.com/office/drawing/2014/main" xmlns="" id="{CB377C43-C314-42AE-8A82-887C7F691D9C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256" name="Text Box 1">
          <a:extLst>
            <a:ext uri="{FF2B5EF4-FFF2-40B4-BE49-F238E27FC236}">
              <a16:creationId xmlns:a16="http://schemas.microsoft.com/office/drawing/2014/main" xmlns="" id="{F26FEA9D-3A46-451A-B436-B38979B2562F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257" name="Text Box 1">
          <a:extLst>
            <a:ext uri="{FF2B5EF4-FFF2-40B4-BE49-F238E27FC236}">
              <a16:creationId xmlns:a16="http://schemas.microsoft.com/office/drawing/2014/main" xmlns="" id="{97276114-769B-4D85-BD60-76E0AA725C02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258" name="Text Box 1">
          <a:extLst>
            <a:ext uri="{FF2B5EF4-FFF2-40B4-BE49-F238E27FC236}">
              <a16:creationId xmlns:a16="http://schemas.microsoft.com/office/drawing/2014/main" xmlns="" id="{31594181-51FA-4A12-A7B2-E56E21B0A120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259" name="Text Box 1">
          <a:extLst>
            <a:ext uri="{FF2B5EF4-FFF2-40B4-BE49-F238E27FC236}">
              <a16:creationId xmlns:a16="http://schemas.microsoft.com/office/drawing/2014/main" xmlns="" id="{D6A2CA2F-CBAF-461D-B012-D3C3E292BF94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260" name="Text Box 1">
          <a:extLst>
            <a:ext uri="{FF2B5EF4-FFF2-40B4-BE49-F238E27FC236}">
              <a16:creationId xmlns:a16="http://schemas.microsoft.com/office/drawing/2014/main" xmlns="" id="{51BE2C64-7E4C-48B1-A33A-964AAB5A9F73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261" name="Text Box 1">
          <a:extLst>
            <a:ext uri="{FF2B5EF4-FFF2-40B4-BE49-F238E27FC236}">
              <a16:creationId xmlns:a16="http://schemas.microsoft.com/office/drawing/2014/main" xmlns="" id="{618D43E8-470A-4F43-B672-743EAD6C8BC5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62843"/>
    <xdr:sp macro="" textlink="">
      <xdr:nvSpPr>
        <xdr:cNvPr id="262" name="Text Box 1">
          <a:extLst>
            <a:ext uri="{FF2B5EF4-FFF2-40B4-BE49-F238E27FC236}">
              <a16:creationId xmlns:a16="http://schemas.microsoft.com/office/drawing/2014/main" xmlns="" id="{28833CB5-EE0B-4C4D-B745-3439538FF947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628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62843"/>
    <xdr:sp macro="" textlink="">
      <xdr:nvSpPr>
        <xdr:cNvPr id="263" name="Text Box 1">
          <a:extLst>
            <a:ext uri="{FF2B5EF4-FFF2-40B4-BE49-F238E27FC236}">
              <a16:creationId xmlns:a16="http://schemas.microsoft.com/office/drawing/2014/main" xmlns="" id="{807B0F61-7293-4CA9-948D-13F4ABA9B46C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628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264" name="Text Box 1">
          <a:extLst>
            <a:ext uri="{FF2B5EF4-FFF2-40B4-BE49-F238E27FC236}">
              <a16:creationId xmlns:a16="http://schemas.microsoft.com/office/drawing/2014/main" xmlns="" id="{B9A8C02E-9DDE-4214-B308-230D2B00800E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265" name="Text Box 1">
          <a:extLst>
            <a:ext uri="{FF2B5EF4-FFF2-40B4-BE49-F238E27FC236}">
              <a16:creationId xmlns:a16="http://schemas.microsoft.com/office/drawing/2014/main" xmlns="" id="{771D44EB-6178-4E5F-A715-35AD674E0851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266" name="Text Box 1">
          <a:extLst>
            <a:ext uri="{FF2B5EF4-FFF2-40B4-BE49-F238E27FC236}">
              <a16:creationId xmlns:a16="http://schemas.microsoft.com/office/drawing/2014/main" xmlns="" id="{20B7F819-B9F3-4663-AA02-18C36657B846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267" name="Text Box 1">
          <a:extLst>
            <a:ext uri="{FF2B5EF4-FFF2-40B4-BE49-F238E27FC236}">
              <a16:creationId xmlns:a16="http://schemas.microsoft.com/office/drawing/2014/main" xmlns="" id="{188C4C64-2B96-45BE-979C-131299EE2F19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268" name="Text Box 1">
          <a:extLst>
            <a:ext uri="{FF2B5EF4-FFF2-40B4-BE49-F238E27FC236}">
              <a16:creationId xmlns:a16="http://schemas.microsoft.com/office/drawing/2014/main" xmlns="" id="{29F04708-1AF5-4E80-814D-18EEBCD2B080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269" name="Text Box 1">
          <a:extLst>
            <a:ext uri="{FF2B5EF4-FFF2-40B4-BE49-F238E27FC236}">
              <a16:creationId xmlns:a16="http://schemas.microsoft.com/office/drawing/2014/main" xmlns="" id="{2055C474-4C25-4A34-8D29-15B6E2AA95C1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270" name="Text Box 1">
          <a:extLst>
            <a:ext uri="{FF2B5EF4-FFF2-40B4-BE49-F238E27FC236}">
              <a16:creationId xmlns:a16="http://schemas.microsoft.com/office/drawing/2014/main" xmlns="" id="{8B33B01B-BA76-4268-9F7B-9DB2B05AE177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271" name="Text Box 1">
          <a:extLst>
            <a:ext uri="{FF2B5EF4-FFF2-40B4-BE49-F238E27FC236}">
              <a16:creationId xmlns:a16="http://schemas.microsoft.com/office/drawing/2014/main" xmlns="" id="{0168FE2B-95B2-46B0-87D6-31A3716C433F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272" name="Text Box 1">
          <a:extLst>
            <a:ext uri="{FF2B5EF4-FFF2-40B4-BE49-F238E27FC236}">
              <a16:creationId xmlns:a16="http://schemas.microsoft.com/office/drawing/2014/main" xmlns="" id="{1414CCB1-4ABD-4F6F-BCF4-3EBDF6ACB0A2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273" name="Text Box 1">
          <a:extLst>
            <a:ext uri="{FF2B5EF4-FFF2-40B4-BE49-F238E27FC236}">
              <a16:creationId xmlns:a16="http://schemas.microsoft.com/office/drawing/2014/main" xmlns="" id="{AE0832C4-27A4-4B0A-B885-6F6CAC87E920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274" name="Text Box 1">
          <a:extLst>
            <a:ext uri="{FF2B5EF4-FFF2-40B4-BE49-F238E27FC236}">
              <a16:creationId xmlns:a16="http://schemas.microsoft.com/office/drawing/2014/main" xmlns="" id="{C5142F39-C4C2-4F73-97EC-F36CEA05E5B5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275" name="Text Box 1">
          <a:extLst>
            <a:ext uri="{FF2B5EF4-FFF2-40B4-BE49-F238E27FC236}">
              <a16:creationId xmlns:a16="http://schemas.microsoft.com/office/drawing/2014/main" xmlns="" id="{5C5EC732-9B24-4610-A085-95A865259079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276" name="Text Box 1">
          <a:extLst>
            <a:ext uri="{FF2B5EF4-FFF2-40B4-BE49-F238E27FC236}">
              <a16:creationId xmlns:a16="http://schemas.microsoft.com/office/drawing/2014/main" xmlns="" id="{CF92AE0D-01FE-4319-8159-BFBCCD337708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610</xdr:row>
      <xdr:rowOff>0</xdr:rowOff>
    </xdr:from>
    <xdr:ext cx="76200" cy="272368"/>
    <xdr:sp macro="" textlink="">
      <xdr:nvSpPr>
        <xdr:cNvPr id="277" name="Text Box 1">
          <a:extLst>
            <a:ext uri="{FF2B5EF4-FFF2-40B4-BE49-F238E27FC236}">
              <a16:creationId xmlns:a16="http://schemas.microsoft.com/office/drawing/2014/main" xmlns="" id="{330537F1-D990-4EE2-9FA8-29FD1097FD29}"/>
            </a:ext>
          </a:extLst>
        </xdr:cNvPr>
        <xdr:cNvSpPr txBox="1">
          <a:spLocks noChangeArrowheads="1"/>
        </xdr:cNvSpPr>
      </xdr:nvSpPr>
      <xdr:spPr>
        <a:xfrm>
          <a:off x="0" y="12221527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278" name="Text Box 1">
          <a:extLst>
            <a:ext uri="{FF2B5EF4-FFF2-40B4-BE49-F238E27FC236}">
              <a16:creationId xmlns:a16="http://schemas.microsoft.com/office/drawing/2014/main" xmlns="" id="{D24A7AA8-8F49-45C2-B362-C2A32C13430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279" name="Text Box 1">
          <a:extLst>
            <a:ext uri="{FF2B5EF4-FFF2-40B4-BE49-F238E27FC236}">
              <a16:creationId xmlns:a16="http://schemas.microsoft.com/office/drawing/2014/main" xmlns="" id="{53C6F1A5-97B9-4617-ABDA-347F789ECDD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280" name="Text Box 1">
          <a:extLst>
            <a:ext uri="{FF2B5EF4-FFF2-40B4-BE49-F238E27FC236}">
              <a16:creationId xmlns:a16="http://schemas.microsoft.com/office/drawing/2014/main" xmlns="" id="{9C9901D3-D4BB-49CE-A77B-345945DA592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81" name="Text Box 1">
          <a:extLst>
            <a:ext uri="{FF2B5EF4-FFF2-40B4-BE49-F238E27FC236}">
              <a16:creationId xmlns:a16="http://schemas.microsoft.com/office/drawing/2014/main" xmlns="" id="{82FD4917-8CD0-47D8-8478-336FE460A9D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82" name="Text Box 1">
          <a:extLst>
            <a:ext uri="{FF2B5EF4-FFF2-40B4-BE49-F238E27FC236}">
              <a16:creationId xmlns:a16="http://schemas.microsoft.com/office/drawing/2014/main" xmlns="" id="{5C81E3E8-1E5C-41DC-BDCF-2874F64997D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83" name="Text Box 1">
          <a:extLst>
            <a:ext uri="{FF2B5EF4-FFF2-40B4-BE49-F238E27FC236}">
              <a16:creationId xmlns:a16="http://schemas.microsoft.com/office/drawing/2014/main" xmlns="" id="{7ABC0A70-6036-4E9E-97D5-97B457F88B0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84" name="Text Box 1">
          <a:extLst>
            <a:ext uri="{FF2B5EF4-FFF2-40B4-BE49-F238E27FC236}">
              <a16:creationId xmlns:a16="http://schemas.microsoft.com/office/drawing/2014/main" xmlns="" id="{901FAD41-B5AA-4E99-B63A-A289CAB61DD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85" name="Text Box 1">
          <a:extLst>
            <a:ext uri="{FF2B5EF4-FFF2-40B4-BE49-F238E27FC236}">
              <a16:creationId xmlns:a16="http://schemas.microsoft.com/office/drawing/2014/main" xmlns="" id="{6A09E237-3C45-4CB8-B19D-D4A24BC1748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86" name="Text Box 1">
          <a:extLst>
            <a:ext uri="{FF2B5EF4-FFF2-40B4-BE49-F238E27FC236}">
              <a16:creationId xmlns:a16="http://schemas.microsoft.com/office/drawing/2014/main" xmlns="" id="{426AB958-43F0-471E-AAE9-475A06F1776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87" name="Text Box 1">
          <a:extLst>
            <a:ext uri="{FF2B5EF4-FFF2-40B4-BE49-F238E27FC236}">
              <a16:creationId xmlns:a16="http://schemas.microsoft.com/office/drawing/2014/main" xmlns="" id="{59D97A7A-712F-4AC1-9F74-5DA568597E6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88" name="Text Box 1">
          <a:extLst>
            <a:ext uri="{FF2B5EF4-FFF2-40B4-BE49-F238E27FC236}">
              <a16:creationId xmlns:a16="http://schemas.microsoft.com/office/drawing/2014/main" xmlns="" id="{9113ECD4-655B-4CBC-8847-9FC93C4D8C8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89" name="Text Box 1">
          <a:extLst>
            <a:ext uri="{FF2B5EF4-FFF2-40B4-BE49-F238E27FC236}">
              <a16:creationId xmlns:a16="http://schemas.microsoft.com/office/drawing/2014/main" xmlns="" id="{07B19FF8-28BB-4271-9EC1-71AF0C92261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90" name="Text Box 1">
          <a:extLst>
            <a:ext uri="{FF2B5EF4-FFF2-40B4-BE49-F238E27FC236}">
              <a16:creationId xmlns:a16="http://schemas.microsoft.com/office/drawing/2014/main" xmlns="" id="{6B6241F8-4ECA-41F5-96AC-B6854B3F4231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91" name="Text Box 1">
          <a:extLst>
            <a:ext uri="{FF2B5EF4-FFF2-40B4-BE49-F238E27FC236}">
              <a16:creationId xmlns:a16="http://schemas.microsoft.com/office/drawing/2014/main" xmlns="" id="{2BE54F1F-DB97-42D0-9DB1-12367688CAC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92" name="Text Box 1">
          <a:extLst>
            <a:ext uri="{FF2B5EF4-FFF2-40B4-BE49-F238E27FC236}">
              <a16:creationId xmlns:a16="http://schemas.microsoft.com/office/drawing/2014/main" xmlns="" id="{38E1C952-FE8C-49AE-BF4B-9D117A31D36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93" name="Text Box 1">
          <a:extLst>
            <a:ext uri="{FF2B5EF4-FFF2-40B4-BE49-F238E27FC236}">
              <a16:creationId xmlns:a16="http://schemas.microsoft.com/office/drawing/2014/main" xmlns="" id="{70ACDB16-8618-4F4D-8DD3-366A796C65E1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94" name="Text Box 1">
          <a:extLst>
            <a:ext uri="{FF2B5EF4-FFF2-40B4-BE49-F238E27FC236}">
              <a16:creationId xmlns:a16="http://schemas.microsoft.com/office/drawing/2014/main" xmlns="" id="{ADB6C286-0A13-4544-BE18-A5CD60A4E93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295" name="Text Box 1">
          <a:extLst>
            <a:ext uri="{FF2B5EF4-FFF2-40B4-BE49-F238E27FC236}">
              <a16:creationId xmlns:a16="http://schemas.microsoft.com/office/drawing/2014/main" xmlns="" id="{C22F6B98-2256-481D-9703-9B9C91A75DC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296" name="Text Box 1">
          <a:extLst>
            <a:ext uri="{FF2B5EF4-FFF2-40B4-BE49-F238E27FC236}">
              <a16:creationId xmlns:a16="http://schemas.microsoft.com/office/drawing/2014/main" xmlns="" id="{C51F1006-7011-4096-84D6-FA91B5BB35B1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297" name="Text Box 1">
          <a:extLst>
            <a:ext uri="{FF2B5EF4-FFF2-40B4-BE49-F238E27FC236}">
              <a16:creationId xmlns:a16="http://schemas.microsoft.com/office/drawing/2014/main" xmlns="" id="{53577449-6A84-40D4-BFDB-CD049AE0CDF1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298" name="Text Box 1">
          <a:extLst>
            <a:ext uri="{FF2B5EF4-FFF2-40B4-BE49-F238E27FC236}">
              <a16:creationId xmlns:a16="http://schemas.microsoft.com/office/drawing/2014/main" xmlns="" id="{84C21E8A-7966-4D0E-968A-B61B795FB57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99" name="Text Box 1">
          <a:extLst>
            <a:ext uri="{FF2B5EF4-FFF2-40B4-BE49-F238E27FC236}">
              <a16:creationId xmlns:a16="http://schemas.microsoft.com/office/drawing/2014/main" xmlns="" id="{1431AF10-8FAF-4C7F-B8EA-D370EA86D85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300" name="Text Box 1">
          <a:extLst>
            <a:ext uri="{FF2B5EF4-FFF2-40B4-BE49-F238E27FC236}">
              <a16:creationId xmlns:a16="http://schemas.microsoft.com/office/drawing/2014/main" xmlns="" id="{E2A5C045-D877-4C3B-A57B-0E4DFF17867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301" name="Text Box 1">
          <a:extLst>
            <a:ext uri="{FF2B5EF4-FFF2-40B4-BE49-F238E27FC236}">
              <a16:creationId xmlns:a16="http://schemas.microsoft.com/office/drawing/2014/main" xmlns="" id="{A7BFB7A2-3964-474C-A020-B67F12FBBFF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302" name="Text Box 1">
          <a:extLst>
            <a:ext uri="{FF2B5EF4-FFF2-40B4-BE49-F238E27FC236}">
              <a16:creationId xmlns:a16="http://schemas.microsoft.com/office/drawing/2014/main" xmlns="" id="{5A571B9A-324D-4E76-95DC-06D8932E75B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303" name="Text Box 1">
          <a:extLst>
            <a:ext uri="{FF2B5EF4-FFF2-40B4-BE49-F238E27FC236}">
              <a16:creationId xmlns:a16="http://schemas.microsoft.com/office/drawing/2014/main" xmlns="" id="{3B9D4219-335B-44C3-A4A3-998E5103CC1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304" name="Text Box 1">
          <a:extLst>
            <a:ext uri="{FF2B5EF4-FFF2-40B4-BE49-F238E27FC236}">
              <a16:creationId xmlns:a16="http://schemas.microsoft.com/office/drawing/2014/main" xmlns="" id="{5A95D12E-88AC-4F0E-B0D3-8C6B28979E3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305" name="Text Box 1">
          <a:extLst>
            <a:ext uri="{FF2B5EF4-FFF2-40B4-BE49-F238E27FC236}">
              <a16:creationId xmlns:a16="http://schemas.microsoft.com/office/drawing/2014/main" xmlns="" id="{8466B34E-EEE9-4E52-8E0C-BD00C72D25D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306" name="Text Box 1">
          <a:extLst>
            <a:ext uri="{FF2B5EF4-FFF2-40B4-BE49-F238E27FC236}">
              <a16:creationId xmlns:a16="http://schemas.microsoft.com/office/drawing/2014/main" xmlns="" id="{56E18358-42A7-4E8A-882A-86FA2DF83E3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307" name="Text Box 1">
          <a:extLst>
            <a:ext uri="{FF2B5EF4-FFF2-40B4-BE49-F238E27FC236}">
              <a16:creationId xmlns:a16="http://schemas.microsoft.com/office/drawing/2014/main" xmlns="" id="{A38AF01B-7E57-4402-800D-E849CDDDDD6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308" name="Text Box 1">
          <a:extLst>
            <a:ext uri="{FF2B5EF4-FFF2-40B4-BE49-F238E27FC236}">
              <a16:creationId xmlns:a16="http://schemas.microsoft.com/office/drawing/2014/main" xmlns="" id="{08DA6010-AEFB-4696-A9E6-DD9E3A212B61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309" name="Text Box 1">
          <a:extLst>
            <a:ext uri="{FF2B5EF4-FFF2-40B4-BE49-F238E27FC236}">
              <a16:creationId xmlns:a16="http://schemas.microsoft.com/office/drawing/2014/main" xmlns="" id="{04E20769-D59C-4DD2-8B8E-BAF6E959EE4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310" name="Text Box 1">
          <a:extLst>
            <a:ext uri="{FF2B5EF4-FFF2-40B4-BE49-F238E27FC236}">
              <a16:creationId xmlns:a16="http://schemas.microsoft.com/office/drawing/2014/main" xmlns="" id="{DD3883EE-F642-4200-BD49-A74C66F080C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311" name="Text Box 1">
          <a:extLst>
            <a:ext uri="{FF2B5EF4-FFF2-40B4-BE49-F238E27FC236}">
              <a16:creationId xmlns:a16="http://schemas.microsoft.com/office/drawing/2014/main" xmlns="" id="{CD04452E-BA57-470F-A60F-3C122A507CF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312" name="Text Box 1">
          <a:extLst>
            <a:ext uri="{FF2B5EF4-FFF2-40B4-BE49-F238E27FC236}">
              <a16:creationId xmlns:a16="http://schemas.microsoft.com/office/drawing/2014/main" xmlns="" id="{1542A517-6FC1-4D44-8105-4A340334504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313" name="Text Box 1">
          <a:extLst>
            <a:ext uri="{FF2B5EF4-FFF2-40B4-BE49-F238E27FC236}">
              <a16:creationId xmlns:a16="http://schemas.microsoft.com/office/drawing/2014/main" xmlns="" id="{8A011DBB-18AC-45FF-8F6A-87EC6243ED7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314" name="Text Box 1">
          <a:extLst>
            <a:ext uri="{FF2B5EF4-FFF2-40B4-BE49-F238E27FC236}">
              <a16:creationId xmlns:a16="http://schemas.microsoft.com/office/drawing/2014/main" xmlns="" id="{742F926D-315A-4E8A-9DA8-1BC5B0FFA09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315" name="Text Box 1">
          <a:extLst>
            <a:ext uri="{FF2B5EF4-FFF2-40B4-BE49-F238E27FC236}">
              <a16:creationId xmlns:a16="http://schemas.microsoft.com/office/drawing/2014/main" xmlns="" id="{DE82B1FD-A76A-483C-895D-1A053B28F26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316" name="Text Box 1">
          <a:extLst>
            <a:ext uri="{FF2B5EF4-FFF2-40B4-BE49-F238E27FC236}">
              <a16:creationId xmlns:a16="http://schemas.microsoft.com/office/drawing/2014/main" xmlns="" id="{474E9BE1-4475-469B-83E1-9D50B91FDEB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317" name="Text Box 1">
          <a:extLst>
            <a:ext uri="{FF2B5EF4-FFF2-40B4-BE49-F238E27FC236}">
              <a16:creationId xmlns:a16="http://schemas.microsoft.com/office/drawing/2014/main" xmlns="" id="{DBC02563-CFD8-43FD-ACBD-E470E626EB2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318" name="Text Box 1">
          <a:extLst>
            <a:ext uri="{FF2B5EF4-FFF2-40B4-BE49-F238E27FC236}">
              <a16:creationId xmlns:a16="http://schemas.microsoft.com/office/drawing/2014/main" xmlns="" id="{AEFAA87D-38DB-4C81-9FFA-C2056868A44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319" name="Text Box 1">
          <a:extLst>
            <a:ext uri="{FF2B5EF4-FFF2-40B4-BE49-F238E27FC236}">
              <a16:creationId xmlns:a16="http://schemas.microsoft.com/office/drawing/2014/main" xmlns="" id="{36286317-FA97-4E4D-8655-89E08F078C61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320" name="Text Box 1">
          <a:extLst>
            <a:ext uri="{FF2B5EF4-FFF2-40B4-BE49-F238E27FC236}">
              <a16:creationId xmlns:a16="http://schemas.microsoft.com/office/drawing/2014/main" xmlns="" id="{F871D247-71E7-42F6-BFAE-9B11428C6E2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321" name="Text Box 1">
          <a:extLst>
            <a:ext uri="{FF2B5EF4-FFF2-40B4-BE49-F238E27FC236}">
              <a16:creationId xmlns:a16="http://schemas.microsoft.com/office/drawing/2014/main" xmlns="" id="{C9494688-2BBD-44BC-B4C5-CF5C25E3227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322" name="Text Box 1">
          <a:extLst>
            <a:ext uri="{FF2B5EF4-FFF2-40B4-BE49-F238E27FC236}">
              <a16:creationId xmlns:a16="http://schemas.microsoft.com/office/drawing/2014/main" xmlns="" id="{562669CF-8DC8-4AF9-B436-3A004788443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323" name="Text Box 1">
          <a:extLst>
            <a:ext uri="{FF2B5EF4-FFF2-40B4-BE49-F238E27FC236}">
              <a16:creationId xmlns:a16="http://schemas.microsoft.com/office/drawing/2014/main" xmlns="" id="{D9E37A37-2674-4765-A8B0-A2DFDA5892F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324" name="Text Box 1">
          <a:extLst>
            <a:ext uri="{FF2B5EF4-FFF2-40B4-BE49-F238E27FC236}">
              <a16:creationId xmlns:a16="http://schemas.microsoft.com/office/drawing/2014/main" xmlns="" id="{8203CAC2-5AFB-434D-857D-15956D1A7DF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325" name="Text Box 1">
          <a:extLst>
            <a:ext uri="{FF2B5EF4-FFF2-40B4-BE49-F238E27FC236}">
              <a16:creationId xmlns:a16="http://schemas.microsoft.com/office/drawing/2014/main" xmlns="" id="{A2B8F5E7-D0FD-4989-88F9-7766EF6CC39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326" name="Text Box 1">
          <a:extLst>
            <a:ext uri="{FF2B5EF4-FFF2-40B4-BE49-F238E27FC236}">
              <a16:creationId xmlns:a16="http://schemas.microsoft.com/office/drawing/2014/main" xmlns="" id="{79FA9FFA-D49E-4B60-BF72-104EB7860C8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327" name="Text Box 1">
          <a:extLst>
            <a:ext uri="{FF2B5EF4-FFF2-40B4-BE49-F238E27FC236}">
              <a16:creationId xmlns:a16="http://schemas.microsoft.com/office/drawing/2014/main" xmlns="" id="{30F7F194-B5FC-4B5F-943E-93A6E5953CC1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328" name="Text Box 1">
          <a:extLst>
            <a:ext uri="{FF2B5EF4-FFF2-40B4-BE49-F238E27FC236}">
              <a16:creationId xmlns:a16="http://schemas.microsoft.com/office/drawing/2014/main" xmlns="" id="{50EFE41C-DD54-4A53-ABD0-DC9A09CC80E1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329" name="Text Box 1">
          <a:extLst>
            <a:ext uri="{FF2B5EF4-FFF2-40B4-BE49-F238E27FC236}">
              <a16:creationId xmlns:a16="http://schemas.microsoft.com/office/drawing/2014/main" xmlns="" id="{73DBBD75-BD5F-480E-BDF2-B8B04745E60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330" name="Text Box 1">
          <a:extLst>
            <a:ext uri="{FF2B5EF4-FFF2-40B4-BE49-F238E27FC236}">
              <a16:creationId xmlns:a16="http://schemas.microsoft.com/office/drawing/2014/main" xmlns="" id="{4109362C-3E41-43ED-983D-A9F36BFBB6B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331" name="Text Box 1">
          <a:extLst>
            <a:ext uri="{FF2B5EF4-FFF2-40B4-BE49-F238E27FC236}">
              <a16:creationId xmlns:a16="http://schemas.microsoft.com/office/drawing/2014/main" xmlns="" id="{F5A9B474-2773-4760-9CBA-DD71627E1B0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332" name="Text Box 1">
          <a:extLst>
            <a:ext uri="{FF2B5EF4-FFF2-40B4-BE49-F238E27FC236}">
              <a16:creationId xmlns:a16="http://schemas.microsoft.com/office/drawing/2014/main" xmlns="" id="{A0A24292-59DF-4B9E-8EBC-FD852009BF9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333" name="Text Box 1">
          <a:extLst>
            <a:ext uri="{FF2B5EF4-FFF2-40B4-BE49-F238E27FC236}">
              <a16:creationId xmlns:a16="http://schemas.microsoft.com/office/drawing/2014/main" xmlns="" id="{002CF9B2-BF23-4CE4-B741-A3DC3FF3003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334" name="Text Box 1">
          <a:extLst>
            <a:ext uri="{FF2B5EF4-FFF2-40B4-BE49-F238E27FC236}">
              <a16:creationId xmlns:a16="http://schemas.microsoft.com/office/drawing/2014/main" xmlns="" id="{6B9E79EE-752E-4334-A04F-6AC4B31F6E5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335" name="Text Box 1">
          <a:extLst>
            <a:ext uri="{FF2B5EF4-FFF2-40B4-BE49-F238E27FC236}">
              <a16:creationId xmlns:a16="http://schemas.microsoft.com/office/drawing/2014/main" xmlns="" id="{3D8F660E-7707-48C2-B4E0-BA219B7DACC1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336" name="Text Box 1">
          <a:extLst>
            <a:ext uri="{FF2B5EF4-FFF2-40B4-BE49-F238E27FC236}">
              <a16:creationId xmlns:a16="http://schemas.microsoft.com/office/drawing/2014/main" xmlns="" id="{46B4DD9B-BC48-4FB0-93E9-52C9317C292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337" name="Text Box 1">
          <a:extLst>
            <a:ext uri="{FF2B5EF4-FFF2-40B4-BE49-F238E27FC236}">
              <a16:creationId xmlns:a16="http://schemas.microsoft.com/office/drawing/2014/main" xmlns="" id="{3053B65F-8B13-4D96-8209-526C268E921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338" name="Text Box 1">
          <a:extLst>
            <a:ext uri="{FF2B5EF4-FFF2-40B4-BE49-F238E27FC236}">
              <a16:creationId xmlns:a16="http://schemas.microsoft.com/office/drawing/2014/main" xmlns="" id="{AA08736A-9CAD-40A6-9CBA-4154413A3C3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339" name="Text Box 1">
          <a:extLst>
            <a:ext uri="{FF2B5EF4-FFF2-40B4-BE49-F238E27FC236}">
              <a16:creationId xmlns:a16="http://schemas.microsoft.com/office/drawing/2014/main" xmlns="" id="{F2CBDB32-99CC-454A-98F1-08F1009BC53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340" name="Text Box 1">
          <a:extLst>
            <a:ext uri="{FF2B5EF4-FFF2-40B4-BE49-F238E27FC236}">
              <a16:creationId xmlns:a16="http://schemas.microsoft.com/office/drawing/2014/main" xmlns="" id="{DD903645-41C7-4067-B344-5AC5F42A965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341" name="Text Box 1">
          <a:extLst>
            <a:ext uri="{FF2B5EF4-FFF2-40B4-BE49-F238E27FC236}">
              <a16:creationId xmlns:a16="http://schemas.microsoft.com/office/drawing/2014/main" xmlns="" id="{489154C2-BAAA-49C7-96DA-54ABB86E59D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342" name="Text Box 1">
          <a:extLst>
            <a:ext uri="{FF2B5EF4-FFF2-40B4-BE49-F238E27FC236}">
              <a16:creationId xmlns:a16="http://schemas.microsoft.com/office/drawing/2014/main" xmlns="" id="{3E5ACBBE-14B7-4A7F-993B-5D9C7229EA3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343" name="Text Box 1">
          <a:extLst>
            <a:ext uri="{FF2B5EF4-FFF2-40B4-BE49-F238E27FC236}">
              <a16:creationId xmlns:a16="http://schemas.microsoft.com/office/drawing/2014/main" xmlns="" id="{15D31A9B-A6CB-49DB-9AB3-F1DA3F78771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344" name="Text Box 1">
          <a:extLst>
            <a:ext uri="{FF2B5EF4-FFF2-40B4-BE49-F238E27FC236}">
              <a16:creationId xmlns:a16="http://schemas.microsoft.com/office/drawing/2014/main" xmlns="" id="{87265B69-7463-4DAD-BC91-88E4B8BE6C6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345" name="Text Box 1">
          <a:extLst>
            <a:ext uri="{FF2B5EF4-FFF2-40B4-BE49-F238E27FC236}">
              <a16:creationId xmlns:a16="http://schemas.microsoft.com/office/drawing/2014/main" xmlns="" id="{F6BF9A76-E31F-40A0-AE39-7DCBA091B87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346" name="Text Box 1">
          <a:extLst>
            <a:ext uri="{FF2B5EF4-FFF2-40B4-BE49-F238E27FC236}">
              <a16:creationId xmlns:a16="http://schemas.microsoft.com/office/drawing/2014/main" xmlns="" id="{69397549-EFED-4A07-9771-1F2A1636C78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347" name="Text Box 1">
          <a:extLst>
            <a:ext uri="{FF2B5EF4-FFF2-40B4-BE49-F238E27FC236}">
              <a16:creationId xmlns:a16="http://schemas.microsoft.com/office/drawing/2014/main" xmlns="" id="{42003575-E4C5-4452-8282-3ADF861DBF1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348" name="Text Box 1">
          <a:extLst>
            <a:ext uri="{FF2B5EF4-FFF2-40B4-BE49-F238E27FC236}">
              <a16:creationId xmlns:a16="http://schemas.microsoft.com/office/drawing/2014/main" xmlns="" id="{D721DEB2-45C1-4A54-B531-F6E505AAF151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349" name="Text Box 1">
          <a:extLst>
            <a:ext uri="{FF2B5EF4-FFF2-40B4-BE49-F238E27FC236}">
              <a16:creationId xmlns:a16="http://schemas.microsoft.com/office/drawing/2014/main" xmlns="" id="{F56DEA8D-92AC-4910-B4E9-71997DE051F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350" name="Text Box 1">
          <a:extLst>
            <a:ext uri="{FF2B5EF4-FFF2-40B4-BE49-F238E27FC236}">
              <a16:creationId xmlns:a16="http://schemas.microsoft.com/office/drawing/2014/main" xmlns="" id="{1657C8EC-2F1B-452D-9177-0A369F91EEF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351" name="Text Box 1">
          <a:extLst>
            <a:ext uri="{FF2B5EF4-FFF2-40B4-BE49-F238E27FC236}">
              <a16:creationId xmlns:a16="http://schemas.microsoft.com/office/drawing/2014/main" xmlns="" id="{12C76B16-BC41-4048-B60B-3A13881AC8E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352" name="Text Box 1">
          <a:extLst>
            <a:ext uri="{FF2B5EF4-FFF2-40B4-BE49-F238E27FC236}">
              <a16:creationId xmlns:a16="http://schemas.microsoft.com/office/drawing/2014/main" xmlns="" id="{898C55FE-A2D2-441A-9AE0-59BB3B39076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353" name="Text Box 1">
          <a:extLst>
            <a:ext uri="{FF2B5EF4-FFF2-40B4-BE49-F238E27FC236}">
              <a16:creationId xmlns:a16="http://schemas.microsoft.com/office/drawing/2014/main" xmlns="" id="{01647195-8459-4401-9225-0157A691C9A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354" name="Text Box 1">
          <a:extLst>
            <a:ext uri="{FF2B5EF4-FFF2-40B4-BE49-F238E27FC236}">
              <a16:creationId xmlns:a16="http://schemas.microsoft.com/office/drawing/2014/main" xmlns="" id="{D4176EEE-1EC9-4D44-8270-7FE142C698F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355" name="Text Box 1">
          <a:extLst>
            <a:ext uri="{FF2B5EF4-FFF2-40B4-BE49-F238E27FC236}">
              <a16:creationId xmlns:a16="http://schemas.microsoft.com/office/drawing/2014/main" xmlns="" id="{3CEB4E11-2459-42A5-9422-247D6A0A9FD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356" name="Text Box 1">
          <a:extLst>
            <a:ext uri="{FF2B5EF4-FFF2-40B4-BE49-F238E27FC236}">
              <a16:creationId xmlns:a16="http://schemas.microsoft.com/office/drawing/2014/main" xmlns="" id="{969CA7A8-9FCA-4FC7-BBEA-64611DA09F5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357" name="Text Box 1">
          <a:extLst>
            <a:ext uri="{FF2B5EF4-FFF2-40B4-BE49-F238E27FC236}">
              <a16:creationId xmlns:a16="http://schemas.microsoft.com/office/drawing/2014/main" xmlns="" id="{4098EB7E-1F63-48BE-8BF2-26C16EE50E1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358" name="Text Box 1">
          <a:extLst>
            <a:ext uri="{FF2B5EF4-FFF2-40B4-BE49-F238E27FC236}">
              <a16:creationId xmlns:a16="http://schemas.microsoft.com/office/drawing/2014/main" xmlns="" id="{D628DC30-E48C-4CAD-A70A-6A7F72D2D05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359" name="Text Box 1">
          <a:extLst>
            <a:ext uri="{FF2B5EF4-FFF2-40B4-BE49-F238E27FC236}">
              <a16:creationId xmlns:a16="http://schemas.microsoft.com/office/drawing/2014/main" xmlns="" id="{2525C024-71E1-47C8-8D89-97A64CC2983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360" name="Text Box 1">
          <a:extLst>
            <a:ext uri="{FF2B5EF4-FFF2-40B4-BE49-F238E27FC236}">
              <a16:creationId xmlns:a16="http://schemas.microsoft.com/office/drawing/2014/main" xmlns="" id="{721BA89F-22D7-4212-AEB4-46DFB3E417F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361" name="Text Box 1">
          <a:extLst>
            <a:ext uri="{FF2B5EF4-FFF2-40B4-BE49-F238E27FC236}">
              <a16:creationId xmlns:a16="http://schemas.microsoft.com/office/drawing/2014/main" xmlns="" id="{184A6B4F-CF81-4F56-B66E-3FE0E778CBA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362" name="Text Box 1">
          <a:extLst>
            <a:ext uri="{FF2B5EF4-FFF2-40B4-BE49-F238E27FC236}">
              <a16:creationId xmlns:a16="http://schemas.microsoft.com/office/drawing/2014/main" xmlns="" id="{C37FB620-85A7-4BCE-B398-57175B5BC4A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363" name="Text Box 1">
          <a:extLst>
            <a:ext uri="{FF2B5EF4-FFF2-40B4-BE49-F238E27FC236}">
              <a16:creationId xmlns:a16="http://schemas.microsoft.com/office/drawing/2014/main" xmlns="" id="{1CC3D654-4241-4CAB-96FF-820FAAF8138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364" name="Text Box 1">
          <a:extLst>
            <a:ext uri="{FF2B5EF4-FFF2-40B4-BE49-F238E27FC236}">
              <a16:creationId xmlns:a16="http://schemas.microsoft.com/office/drawing/2014/main" xmlns="" id="{668C0207-C4D2-4CCC-B282-04120C31896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365" name="Text Box 1">
          <a:extLst>
            <a:ext uri="{FF2B5EF4-FFF2-40B4-BE49-F238E27FC236}">
              <a16:creationId xmlns:a16="http://schemas.microsoft.com/office/drawing/2014/main" xmlns="" id="{669C963A-6401-4E52-9F0C-4668F110A10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366" name="Text Box 1">
          <a:extLst>
            <a:ext uri="{FF2B5EF4-FFF2-40B4-BE49-F238E27FC236}">
              <a16:creationId xmlns:a16="http://schemas.microsoft.com/office/drawing/2014/main" xmlns="" id="{AB60A031-2B5E-4AB2-BA18-4287BA162E31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367" name="Text Box 1">
          <a:extLst>
            <a:ext uri="{FF2B5EF4-FFF2-40B4-BE49-F238E27FC236}">
              <a16:creationId xmlns:a16="http://schemas.microsoft.com/office/drawing/2014/main" xmlns="" id="{79F192EA-C9D6-429A-B158-F7CDF5339A3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368" name="Text Box 1">
          <a:extLst>
            <a:ext uri="{FF2B5EF4-FFF2-40B4-BE49-F238E27FC236}">
              <a16:creationId xmlns:a16="http://schemas.microsoft.com/office/drawing/2014/main" xmlns="" id="{E06F2C48-FE87-46E8-BC53-3DF6D862ED7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369" name="Text Box 1">
          <a:extLst>
            <a:ext uri="{FF2B5EF4-FFF2-40B4-BE49-F238E27FC236}">
              <a16:creationId xmlns:a16="http://schemas.microsoft.com/office/drawing/2014/main" xmlns="" id="{C3B37D39-6EE4-4DB1-9D3D-8A53B9A29FB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370" name="Text Box 1">
          <a:extLst>
            <a:ext uri="{FF2B5EF4-FFF2-40B4-BE49-F238E27FC236}">
              <a16:creationId xmlns:a16="http://schemas.microsoft.com/office/drawing/2014/main" xmlns="" id="{85F3BD11-D75D-4329-8F07-3583F8C4EF6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371" name="Text Box 1">
          <a:extLst>
            <a:ext uri="{FF2B5EF4-FFF2-40B4-BE49-F238E27FC236}">
              <a16:creationId xmlns:a16="http://schemas.microsoft.com/office/drawing/2014/main" xmlns="" id="{8B5C71B8-E051-415B-BB5C-C78FD2DF1E6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372" name="Text Box 1">
          <a:extLst>
            <a:ext uri="{FF2B5EF4-FFF2-40B4-BE49-F238E27FC236}">
              <a16:creationId xmlns:a16="http://schemas.microsoft.com/office/drawing/2014/main" xmlns="" id="{D1011207-B414-4AFC-83E9-E27041C7623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373" name="Text Box 1">
          <a:extLst>
            <a:ext uri="{FF2B5EF4-FFF2-40B4-BE49-F238E27FC236}">
              <a16:creationId xmlns:a16="http://schemas.microsoft.com/office/drawing/2014/main" xmlns="" id="{7D16AE0C-35A1-4D19-8107-D959956E4EF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374" name="Text Box 1">
          <a:extLst>
            <a:ext uri="{FF2B5EF4-FFF2-40B4-BE49-F238E27FC236}">
              <a16:creationId xmlns:a16="http://schemas.microsoft.com/office/drawing/2014/main" xmlns="" id="{55A9A5DC-827A-4E02-BA21-9F062CA1807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375" name="Text Box 1">
          <a:extLst>
            <a:ext uri="{FF2B5EF4-FFF2-40B4-BE49-F238E27FC236}">
              <a16:creationId xmlns:a16="http://schemas.microsoft.com/office/drawing/2014/main" xmlns="" id="{9D132EF3-E8FE-4C48-84F3-68EC6652907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376" name="Text Box 1">
          <a:extLst>
            <a:ext uri="{FF2B5EF4-FFF2-40B4-BE49-F238E27FC236}">
              <a16:creationId xmlns:a16="http://schemas.microsoft.com/office/drawing/2014/main" xmlns="" id="{194B4FA9-E238-4753-BCF5-2D8387B8D56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377" name="Text Box 1">
          <a:extLst>
            <a:ext uri="{FF2B5EF4-FFF2-40B4-BE49-F238E27FC236}">
              <a16:creationId xmlns:a16="http://schemas.microsoft.com/office/drawing/2014/main" xmlns="" id="{693B32BE-5CDC-482C-AD2D-4712A2BCFA9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378" name="Text Box 1">
          <a:extLst>
            <a:ext uri="{FF2B5EF4-FFF2-40B4-BE49-F238E27FC236}">
              <a16:creationId xmlns:a16="http://schemas.microsoft.com/office/drawing/2014/main" xmlns="" id="{70A5177A-FD4B-4FE9-9E18-9673BF56D1A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379" name="Text Box 1">
          <a:extLst>
            <a:ext uri="{FF2B5EF4-FFF2-40B4-BE49-F238E27FC236}">
              <a16:creationId xmlns:a16="http://schemas.microsoft.com/office/drawing/2014/main" xmlns="" id="{2BDF4914-882E-4FDC-A2D0-B14E988A767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380" name="Text Box 1">
          <a:extLst>
            <a:ext uri="{FF2B5EF4-FFF2-40B4-BE49-F238E27FC236}">
              <a16:creationId xmlns:a16="http://schemas.microsoft.com/office/drawing/2014/main" xmlns="" id="{30C359AA-3E52-4A04-8301-803951E2CD1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381" name="Text Box 1">
          <a:extLst>
            <a:ext uri="{FF2B5EF4-FFF2-40B4-BE49-F238E27FC236}">
              <a16:creationId xmlns:a16="http://schemas.microsoft.com/office/drawing/2014/main" xmlns="" id="{6828EF9C-14E0-46F5-BA0B-B44DFDC764D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382" name="Text Box 1">
          <a:extLst>
            <a:ext uri="{FF2B5EF4-FFF2-40B4-BE49-F238E27FC236}">
              <a16:creationId xmlns:a16="http://schemas.microsoft.com/office/drawing/2014/main" xmlns="" id="{C6D6BF08-D941-4C1A-86E7-1D5FC5E905A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383" name="Text Box 1">
          <a:extLst>
            <a:ext uri="{FF2B5EF4-FFF2-40B4-BE49-F238E27FC236}">
              <a16:creationId xmlns:a16="http://schemas.microsoft.com/office/drawing/2014/main" xmlns="" id="{983F5928-D1CD-48B4-94C6-32586F70FD5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384" name="Text Box 1">
          <a:extLst>
            <a:ext uri="{FF2B5EF4-FFF2-40B4-BE49-F238E27FC236}">
              <a16:creationId xmlns:a16="http://schemas.microsoft.com/office/drawing/2014/main" xmlns="" id="{474547DF-D4A5-4A17-80E4-7D8B312732F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385" name="Text Box 1">
          <a:extLst>
            <a:ext uri="{FF2B5EF4-FFF2-40B4-BE49-F238E27FC236}">
              <a16:creationId xmlns:a16="http://schemas.microsoft.com/office/drawing/2014/main" xmlns="" id="{34DB5F37-3219-4784-9A0D-D5AED9CDC37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386" name="Text Box 1">
          <a:extLst>
            <a:ext uri="{FF2B5EF4-FFF2-40B4-BE49-F238E27FC236}">
              <a16:creationId xmlns:a16="http://schemas.microsoft.com/office/drawing/2014/main" xmlns="" id="{E0ABCFF7-1B92-4EBD-8EB0-FC2FA5F8932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387" name="Text Box 1">
          <a:extLst>
            <a:ext uri="{FF2B5EF4-FFF2-40B4-BE49-F238E27FC236}">
              <a16:creationId xmlns:a16="http://schemas.microsoft.com/office/drawing/2014/main" xmlns="" id="{844847A6-D99C-42CB-BAFF-3CA58869C3F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388" name="Text Box 1">
          <a:extLst>
            <a:ext uri="{FF2B5EF4-FFF2-40B4-BE49-F238E27FC236}">
              <a16:creationId xmlns:a16="http://schemas.microsoft.com/office/drawing/2014/main" xmlns="" id="{BE9292BC-F13E-4665-B6F5-BBE31C7317A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389" name="Text Box 1">
          <a:extLst>
            <a:ext uri="{FF2B5EF4-FFF2-40B4-BE49-F238E27FC236}">
              <a16:creationId xmlns:a16="http://schemas.microsoft.com/office/drawing/2014/main" xmlns="" id="{6A37678E-47D1-421A-A655-C38186029AC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390" name="Text Box 1">
          <a:extLst>
            <a:ext uri="{FF2B5EF4-FFF2-40B4-BE49-F238E27FC236}">
              <a16:creationId xmlns:a16="http://schemas.microsoft.com/office/drawing/2014/main" xmlns="" id="{2888964B-C50C-434A-8CE4-288A262D3C6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391" name="Text Box 1">
          <a:extLst>
            <a:ext uri="{FF2B5EF4-FFF2-40B4-BE49-F238E27FC236}">
              <a16:creationId xmlns:a16="http://schemas.microsoft.com/office/drawing/2014/main" xmlns="" id="{F162A1DD-4715-4314-8FFD-BF7BA0B74B5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392" name="Text Box 1">
          <a:extLst>
            <a:ext uri="{FF2B5EF4-FFF2-40B4-BE49-F238E27FC236}">
              <a16:creationId xmlns:a16="http://schemas.microsoft.com/office/drawing/2014/main" xmlns="" id="{70A0A9C5-85E0-4176-9F61-D945A5CCE5A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393" name="Text Box 1">
          <a:extLst>
            <a:ext uri="{FF2B5EF4-FFF2-40B4-BE49-F238E27FC236}">
              <a16:creationId xmlns:a16="http://schemas.microsoft.com/office/drawing/2014/main" xmlns="" id="{A339672D-44C8-474C-A2EA-29A3B9208C5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394" name="Text Box 1">
          <a:extLst>
            <a:ext uri="{FF2B5EF4-FFF2-40B4-BE49-F238E27FC236}">
              <a16:creationId xmlns:a16="http://schemas.microsoft.com/office/drawing/2014/main" xmlns="" id="{2D4C84BD-6B14-421A-8F0C-F5A34B9DC08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395" name="Text Box 1">
          <a:extLst>
            <a:ext uri="{FF2B5EF4-FFF2-40B4-BE49-F238E27FC236}">
              <a16:creationId xmlns:a16="http://schemas.microsoft.com/office/drawing/2014/main" xmlns="" id="{C3723E99-70F0-4C11-895E-F498254EDA4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396" name="Text Box 1">
          <a:extLst>
            <a:ext uri="{FF2B5EF4-FFF2-40B4-BE49-F238E27FC236}">
              <a16:creationId xmlns:a16="http://schemas.microsoft.com/office/drawing/2014/main" xmlns="" id="{11A05380-EAB4-416F-8C20-5EBCDC458361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397" name="Text Box 1">
          <a:extLst>
            <a:ext uri="{FF2B5EF4-FFF2-40B4-BE49-F238E27FC236}">
              <a16:creationId xmlns:a16="http://schemas.microsoft.com/office/drawing/2014/main" xmlns="" id="{84227F39-37A7-4A87-BD52-23A37EC831D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398" name="Text Box 1">
          <a:extLst>
            <a:ext uri="{FF2B5EF4-FFF2-40B4-BE49-F238E27FC236}">
              <a16:creationId xmlns:a16="http://schemas.microsoft.com/office/drawing/2014/main" xmlns="" id="{1505EC88-692D-4765-BFFE-1F7AEBD1E5D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399" name="Text Box 1">
          <a:extLst>
            <a:ext uri="{FF2B5EF4-FFF2-40B4-BE49-F238E27FC236}">
              <a16:creationId xmlns:a16="http://schemas.microsoft.com/office/drawing/2014/main" xmlns="" id="{1F8850B4-F3A7-42CB-8D52-6EBF5828512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400" name="Text Box 1">
          <a:extLst>
            <a:ext uri="{FF2B5EF4-FFF2-40B4-BE49-F238E27FC236}">
              <a16:creationId xmlns:a16="http://schemas.microsoft.com/office/drawing/2014/main" xmlns="" id="{3631B4F3-5E31-463C-A523-003FFB3AEA3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401" name="Text Box 1">
          <a:extLst>
            <a:ext uri="{FF2B5EF4-FFF2-40B4-BE49-F238E27FC236}">
              <a16:creationId xmlns:a16="http://schemas.microsoft.com/office/drawing/2014/main" xmlns="" id="{E2DCD85F-5678-4275-86F8-58D8602B8DA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402" name="Text Box 1">
          <a:extLst>
            <a:ext uri="{FF2B5EF4-FFF2-40B4-BE49-F238E27FC236}">
              <a16:creationId xmlns:a16="http://schemas.microsoft.com/office/drawing/2014/main" xmlns="" id="{C5AAFA1D-1B5A-49DC-9958-93743203F5F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403" name="Text Box 1">
          <a:extLst>
            <a:ext uri="{FF2B5EF4-FFF2-40B4-BE49-F238E27FC236}">
              <a16:creationId xmlns:a16="http://schemas.microsoft.com/office/drawing/2014/main" xmlns="" id="{67592904-3FB6-4037-9E9E-1A89F9ACBC2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404" name="Text Box 1">
          <a:extLst>
            <a:ext uri="{FF2B5EF4-FFF2-40B4-BE49-F238E27FC236}">
              <a16:creationId xmlns:a16="http://schemas.microsoft.com/office/drawing/2014/main" xmlns="" id="{61A554E6-4009-46E3-AECB-B1B2AFBCE01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405" name="Text Box 1">
          <a:extLst>
            <a:ext uri="{FF2B5EF4-FFF2-40B4-BE49-F238E27FC236}">
              <a16:creationId xmlns:a16="http://schemas.microsoft.com/office/drawing/2014/main" xmlns="" id="{1FE6E782-92A2-4B2D-9ABB-3C527744412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406" name="Text Box 1">
          <a:extLst>
            <a:ext uri="{FF2B5EF4-FFF2-40B4-BE49-F238E27FC236}">
              <a16:creationId xmlns:a16="http://schemas.microsoft.com/office/drawing/2014/main" xmlns="" id="{B5A59276-90F5-4344-B100-3F94E723DFE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407" name="Text Box 1">
          <a:extLst>
            <a:ext uri="{FF2B5EF4-FFF2-40B4-BE49-F238E27FC236}">
              <a16:creationId xmlns:a16="http://schemas.microsoft.com/office/drawing/2014/main" xmlns="" id="{22F4D275-438A-4760-B345-44CA8A533AB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408" name="Text Box 1">
          <a:extLst>
            <a:ext uri="{FF2B5EF4-FFF2-40B4-BE49-F238E27FC236}">
              <a16:creationId xmlns:a16="http://schemas.microsoft.com/office/drawing/2014/main" xmlns="" id="{9E6C6688-A069-4867-80FD-BB8472836A3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409" name="Text Box 1">
          <a:extLst>
            <a:ext uri="{FF2B5EF4-FFF2-40B4-BE49-F238E27FC236}">
              <a16:creationId xmlns:a16="http://schemas.microsoft.com/office/drawing/2014/main" xmlns="" id="{C2344BB4-38E7-40DC-BD1A-4F0512AAA7B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410" name="Text Box 1">
          <a:extLst>
            <a:ext uri="{FF2B5EF4-FFF2-40B4-BE49-F238E27FC236}">
              <a16:creationId xmlns:a16="http://schemas.microsoft.com/office/drawing/2014/main" xmlns="" id="{79EB9B47-4F27-42F3-A922-99AC8EAD3D3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62843"/>
    <xdr:sp macro="" textlink="">
      <xdr:nvSpPr>
        <xdr:cNvPr id="411" name="Text Box 1">
          <a:extLst>
            <a:ext uri="{FF2B5EF4-FFF2-40B4-BE49-F238E27FC236}">
              <a16:creationId xmlns:a16="http://schemas.microsoft.com/office/drawing/2014/main" xmlns="" id="{82925F85-6A44-422E-B682-58432D1A050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628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53318"/>
    <xdr:sp macro="" textlink="">
      <xdr:nvSpPr>
        <xdr:cNvPr id="412" name="Text Box 1">
          <a:extLst>
            <a:ext uri="{FF2B5EF4-FFF2-40B4-BE49-F238E27FC236}">
              <a16:creationId xmlns:a16="http://schemas.microsoft.com/office/drawing/2014/main" xmlns="" id="{B2CB3D3F-F8D8-4A47-946B-64FA238DE32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533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53318"/>
    <xdr:sp macro="" textlink="">
      <xdr:nvSpPr>
        <xdr:cNvPr id="413" name="Text Box 1">
          <a:extLst>
            <a:ext uri="{FF2B5EF4-FFF2-40B4-BE49-F238E27FC236}">
              <a16:creationId xmlns:a16="http://schemas.microsoft.com/office/drawing/2014/main" xmlns="" id="{EBC3CE15-5BF3-4658-BFC6-7B45A1DF8CD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533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53318"/>
    <xdr:sp macro="" textlink="">
      <xdr:nvSpPr>
        <xdr:cNvPr id="414" name="Text Box 1">
          <a:extLst>
            <a:ext uri="{FF2B5EF4-FFF2-40B4-BE49-F238E27FC236}">
              <a16:creationId xmlns:a16="http://schemas.microsoft.com/office/drawing/2014/main" xmlns="" id="{1F7D18DF-CA77-4EA2-91DC-F378C32CE25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533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53318"/>
    <xdr:sp macro="" textlink="">
      <xdr:nvSpPr>
        <xdr:cNvPr id="415" name="Text Box 1">
          <a:extLst>
            <a:ext uri="{FF2B5EF4-FFF2-40B4-BE49-F238E27FC236}">
              <a16:creationId xmlns:a16="http://schemas.microsoft.com/office/drawing/2014/main" xmlns="" id="{FF085B18-C7B1-4164-A36C-CABCD811FF01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533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416" name="Text Box 1">
          <a:extLst>
            <a:ext uri="{FF2B5EF4-FFF2-40B4-BE49-F238E27FC236}">
              <a16:creationId xmlns:a16="http://schemas.microsoft.com/office/drawing/2014/main" xmlns="" id="{697E28E6-854A-433C-8B98-EC6964E7470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417" name="Text Box 1">
          <a:extLst>
            <a:ext uri="{FF2B5EF4-FFF2-40B4-BE49-F238E27FC236}">
              <a16:creationId xmlns:a16="http://schemas.microsoft.com/office/drawing/2014/main" xmlns="" id="{09E1A7EA-A5C9-40CA-BE94-084E13B70BF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418" name="Text Box 1">
          <a:extLst>
            <a:ext uri="{FF2B5EF4-FFF2-40B4-BE49-F238E27FC236}">
              <a16:creationId xmlns:a16="http://schemas.microsoft.com/office/drawing/2014/main" xmlns="" id="{4C0B45F0-13D1-41C1-B9E8-8B6FA8FFED1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419" name="Text Box 1">
          <a:extLst>
            <a:ext uri="{FF2B5EF4-FFF2-40B4-BE49-F238E27FC236}">
              <a16:creationId xmlns:a16="http://schemas.microsoft.com/office/drawing/2014/main" xmlns="" id="{E78654ED-4209-41D4-9979-C8CB3A40A24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420" name="Text Box 1">
          <a:extLst>
            <a:ext uri="{FF2B5EF4-FFF2-40B4-BE49-F238E27FC236}">
              <a16:creationId xmlns:a16="http://schemas.microsoft.com/office/drawing/2014/main" xmlns="" id="{5158423E-5C52-4AAB-866F-C5700E551A9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421" name="Text Box 1">
          <a:extLst>
            <a:ext uri="{FF2B5EF4-FFF2-40B4-BE49-F238E27FC236}">
              <a16:creationId xmlns:a16="http://schemas.microsoft.com/office/drawing/2014/main" xmlns="" id="{468735DA-722A-4708-B67C-1AA08249FD0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422" name="Text Box 1">
          <a:extLst>
            <a:ext uri="{FF2B5EF4-FFF2-40B4-BE49-F238E27FC236}">
              <a16:creationId xmlns:a16="http://schemas.microsoft.com/office/drawing/2014/main" xmlns="" id="{DACB6F1B-0CDC-4DE2-A443-77B6A53AA60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423" name="Text Box 1">
          <a:extLst>
            <a:ext uri="{FF2B5EF4-FFF2-40B4-BE49-F238E27FC236}">
              <a16:creationId xmlns:a16="http://schemas.microsoft.com/office/drawing/2014/main" xmlns="" id="{3AE265F5-29D6-426F-A6A7-AB4F47CE79B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424" name="Text Box 1">
          <a:extLst>
            <a:ext uri="{FF2B5EF4-FFF2-40B4-BE49-F238E27FC236}">
              <a16:creationId xmlns:a16="http://schemas.microsoft.com/office/drawing/2014/main" xmlns="" id="{B665E76C-F2C4-4BC4-A1D9-6460F3CFAFD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425" name="Text Box 1">
          <a:extLst>
            <a:ext uri="{FF2B5EF4-FFF2-40B4-BE49-F238E27FC236}">
              <a16:creationId xmlns:a16="http://schemas.microsoft.com/office/drawing/2014/main" xmlns="" id="{C0106B86-E200-4AB2-BE26-51EDFCEE839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426" name="Text Box 1">
          <a:extLst>
            <a:ext uri="{FF2B5EF4-FFF2-40B4-BE49-F238E27FC236}">
              <a16:creationId xmlns:a16="http://schemas.microsoft.com/office/drawing/2014/main" xmlns="" id="{962124DA-F413-40AE-BF78-700B204B101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427" name="Text Box 1">
          <a:extLst>
            <a:ext uri="{FF2B5EF4-FFF2-40B4-BE49-F238E27FC236}">
              <a16:creationId xmlns:a16="http://schemas.microsoft.com/office/drawing/2014/main" xmlns="" id="{4B3810EF-6BA2-4891-9F6A-56283DA2A0E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428" name="Text Box 1">
          <a:extLst>
            <a:ext uri="{FF2B5EF4-FFF2-40B4-BE49-F238E27FC236}">
              <a16:creationId xmlns:a16="http://schemas.microsoft.com/office/drawing/2014/main" xmlns="" id="{08DABBAE-00DC-4D3D-8A07-A6E834469F2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429" name="Text Box 1">
          <a:extLst>
            <a:ext uri="{FF2B5EF4-FFF2-40B4-BE49-F238E27FC236}">
              <a16:creationId xmlns:a16="http://schemas.microsoft.com/office/drawing/2014/main" xmlns="" id="{1BCB7366-E8E8-4F58-9C06-8DD41514DF5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430" name="Text Box 1">
          <a:extLst>
            <a:ext uri="{FF2B5EF4-FFF2-40B4-BE49-F238E27FC236}">
              <a16:creationId xmlns:a16="http://schemas.microsoft.com/office/drawing/2014/main" xmlns="" id="{1D2ED519-DCAF-49CE-AA06-CBA1B01AF7C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431" name="Text Box 1">
          <a:extLst>
            <a:ext uri="{FF2B5EF4-FFF2-40B4-BE49-F238E27FC236}">
              <a16:creationId xmlns:a16="http://schemas.microsoft.com/office/drawing/2014/main" xmlns="" id="{230B305B-59E5-45C8-8F75-D8F90EA5D6A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62843"/>
    <xdr:sp macro="" textlink="">
      <xdr:nvSpPr>
        <xdr:cNvPr id="432" name="Text Box 1">
          <a:extLst>
            <a:ext uri="{FF2B5EF4-FFF2-40B4-BE49-F238E27FC236}">
              <a16:creationId xmlns:a16="http://schemas.microsoft.com/office/drawing/2014/main" xmlns="" id="{181D6961-9C3D-46CA-A9BA-D725EEECF5F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628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62843"/>
    <xdr:sp macro="" textlink="">
      <xdr:nvSpPr>
        <xdr:cNvPr id="433" name="Text Box 1">
          <a:extLst>
            <a:ext uri="{FF2B5EF4-FFF2-40B4-BE49-F238E27FC236}">
              <a16:creationId xmlns:a16="http://schemas.microsoft.com/office/drawing/2014/main" xmlns="" id="{2DA5931F-732E-4172-AB93-B4A97499EA6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628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434" name="Text Box 1">
          <a:extLst>
            <a:ext uri="{FF2B5EF4-FFF2-40B4-BE49-F238E27FC236}">
              <a16:creationId xmlns:a16="http://schemas.microsoft.com/office/drawing/2014/main" xmlns="" id="{00185318-505C-4DD4-9A24-A3B3E3F9F9D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435" name="Text Box 1">
          <a:extLst>
            <a:ext uri="{FF2B5EF4-FFF2-40B4-BE49-F238E27FC236}">
              <a16:creationId xmlns:a16="http://schemas.microsoft.com/office/drawing/2014/main" xmlns="" id="{E4863520-6D26-4FCC-ABB8-BD8365B8D3D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436" name="Text Box 1">
          <a:extLst>
            <a:ext uri="{FF2B5EF4-FFF2-40B4-BE49-F238E27FC236}">
              <a16:creationId xmlns:a16="http://schemas.microsoft.com/office/drawing/2014/main" xmlns="" id="{1E0ECF42-D44F-449C-89B9-A9542A028AA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437" name="Text Box 1">
          <a:extLst>
            <a:ext uri="{FF2B5EF4-FFF2-40B4-BE49-F238E27FC236}">
              <a16:creationId xmlns:a16="http://schemas.microsoft.com/office/drawing/2014/main" xmlns="" id="{59FCE798-492C-465B-BC62-30F93F59236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438" name="Text Box 1">
          <a:extLst>
            <a:ext uri="{FF2B5EF4-FFF2-40B4-BE49-F238E27FC236}">
              <a16:creationId xmlns:a16="http://schemas.microsoft.com/office/drawing/2014/main" xmlns="" id="{30875936-8855-4502-8A4C-DD746899D17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439" name="Text Box 1">
          <a:extLst>
            <a:ext uri="{FF2B5EF4-FFF2-40B4-BE49-F238E27FC236}">
              <a16:creationId xmlns:a16="http://schemas.microsoft.com/office/drawing/2014/main" xmlns="" id="{ADB3B9CC-A5DB-4287-9BDF-5EF5DB853C4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440" name="Text Box 1">
          <a:extLst>
            <a:ext uri="{FF2B5EF4-FFF2-40B4-BE49-F238E27FC236}">
              <a16:creationId xmlns:a16="http://schemas.microsoft.com/office/drawing/2014/main" xmlns="" id="{06D7CD24-BAE1-4E06-9CA0-F21A1D3CD4A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441" name="Text Box 1">
          <a:extLst>
            <a:ext uri="{FF2B5EF4-FFF2-40B4-BE49-F238E27FC236}">
              <a16:creationId xmlns:a16="http://schemas.microsoft.com/office/drawing/2014/main" xmlns="" id="{81EC7370-46A9-4B95-9E41-B562291D748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442" name="Text Box 1">
          <a:extLst>
            <a:ext uri="{FF2B5EF4-FFF2-40B4-BE49-F238E27FC236}">
              <a16:creationId xmlns:a16="http://schemas.microsoft.com/office/drawing/2014/main" xmlns="" id="{132837A8-9AB9-4F14-A7AE-1B9A5CD60E6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443" name="Text Box 1">
          <a:extLst>
            <a:ext uri="{FF2B5EF4-FFF2-40B4-BE49-F238E27FC236}">
              <a16:creationId xmlns:a16="http://schemas.microsoft.com/office/drawing/2014/main" xmlns="" id="{B9707D1D-BD6E-45AF-BC0D-07370085C19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444" name="Text Box 1">
          <a:extLst>
            <a:ext uri="{FF2B5EF4-FFF2-40B4-BE49-F238E27FC236}">
              <a16:creationId xmlns:a16="http://schemas.microsoft.com/office/drawing/2014/main" xmlns="" id="{77ABD958-FB5B-401C-8CEF-6FAC19C6151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445" name="Text Box 1">
          <a:extLst>
            <a:ext uri="{FF2B5EF4-FFF2-40B4-BE49-F238E27FC236}">
              <a16:creationId xmlns:a16="http://schemas.microsoft.com/office/drawing/2014/main" xmlns="" id="{9D990977-892F-4030-8F10-7DAB8A075C5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446" name="Text Box 1">
          <a:extLst>
            <a:ext uri="{FF2B5EF4-FFF2-40B4-BE49-F238E27FC236}">
              <a16:creationId xmlns:a16="http://schemas.microsoft.com/office/drawing/2014/main" xmlns="" id="{5057F7E5-5FD1-4D0E-B312-7D02B09B835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447" name="Text Box 1">
          <a:extLst>
            <a:ext uri="{FF2B5EF4-FFF2-40B4-BE49-F238E27FC236}">
              <a16:creationId xmlns:a16="http://schemas.microsoft.com/office/drawing/2014/main" xmlns="" id="{6BA804D4-5EAA-47C9-A075-6972F5887F3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62843"/>
    <xdr:sp macro="" textlink="">
      <xdr:nvSpPr>
        <xdr:cNvPr id="448" name="Text Box 1">
          <a:extLst>
            <a:ext uri="{FF2B5EF4-FFF2-40B4-BE49-F238E27FC236}">
              <a16:creationId xmlns:a16="http://schemas.microsoft.com/office/drawing/2014/main" xmlns="" id="{ADBF8BAC-0977-420F-9063-43C1B2C0889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628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62843"/>
    <xdr:sp macro="" textlink="">
      <xdr:nvSpPr>
        <xdr:cNvPr id="449" name="Text Box 1">
          <a:extLst>
            <a:ext uri="{FF2B5EF4-FFF2-40B4-BE49-F238E27FC236}">
              <a16:creationId xmlns:a16="http://schemas.microsoft.com/office/drawing/2014/main" xmlns="" id="{4682B5C4-94FE-4ABE-807B-7FA3B70A314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628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450" name="Text Box 1">
          <a:extLst>
            <a:ext uri="{FF2B5EF4-FFF2-40B4-BE49-F238E27FC236}">
              <a16:creationId xmlns:a16="http://schemas.microsoft.com/office/drawing/2014/main" xmlns="" id="{B463169D-607A-4B71-AB02-BD524072C8F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451" name="Text Box 1">
          <a:extLst>
            <a:ext uri="{FF2B5EF4-FFF2-40B4-BE49-F238E27FC236}">
              <a16:creationId xmlns:a16="http://schemas.microsoft.com/office/drawing/2014/main" xmlns="" id="{E877AEBC-7770-4E8C-A9C4-E57EB82A87A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452" name="Text Box 1">
          <a:extLst>
            <a:ext uri="{FF2B5EF4-FFF2-40B4-BE49-F238E27FC236}">
              <a16:creationId xmlns:a16="http://schemas.microsoft.com/office/drawing/2014/main" xmlns="" id="{ABCDDFD8-E059-49C4-860B-68635A64226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453" name="Text Box 1">
          <a:extLst>
            <a:ext uri="{FF2B5EF4-FFF2-40B4-BE49-F238E27FC236}">
              <a16:creationId xmlns:a16="http://schemas.microsoft.com/office/drawing/2014/main" xmlns="" id="{23B355F1-7E68-4ECB-A3B2-EE1AF4C27C6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454" name="Text Box 1">
          <a:extLst>
            <a:ext uri="{FF2B5EF4-FFF2-40B4-BE49-F238E27FC236}">
              <a16:creationId xmlns:a16="http://schemas.microsoft.com/office/drawing/2014/main" xmlns="" id="{42934815-E0B7-4D00-B281-9D58F1033CA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455" name="Text Box 1">
          <a:extLst>
            <a:ext uri="{FF2B5EF4-FFF2-40B4-BE49-F238E27FC236}">
              <a16:creationId xmlns:a16="http://schemas.microsoft.com/office/drawing/2014/main" xmlns="" id="{16879E7D-1152-4D87-AF86-BFB86AB6EDF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456" name="Text Box 1">
          <a:extLst>
            <a:ext uri="{FF2B5EF4-FFF2-40B4-BE49-F238E27FC236}">
              <a16:creationId xmlns:a16="http://schemas.microsoft.com/office/drawing/2014/main" xmlns="" id="{55DEBF19-C364-4A96-BF6B-8EECE933257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457" name="Text Box 1">
          <a:extLst>
            <a:ext uri="{FF2B5EF4-FFF2-40B4-BE49-F238E27FC236}">
              <a16:creationId xmlns:a16="http://schemas.microsoft.com/office/drawing/2014/main" xmlns="" id="{043A328D-5B7E-468F-BA74-4AE3922E4D1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458" name="Text Box 1">
          <a:extLst>
            <a:ext uri="{FF2B5EF4-FFF2-40B4-BE49-F238E27FC236}">
              <a16:creationId xmlns:a16="http://schemas.microsoft.com/office/drawing/2014/main" xmlns="" id="{AF2E0FB6-4C76-4598-8E79-22365F66D9D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459" name="Text Box 1">
          <a:extLst>
            <a:ext uri="{FF2B5EF4-FFF2-40B4-BE49-F238E27FC236}">
              <a16:creationId xmlns:a16="http://schemas.microsoft.com/office/drawing/2014/main" xmlns="" id="{44DF62F2-3876-436E-8CF7-FDEB113DD05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460" name="Text Box 1">
          <a:extLst>
            <a:ext uri="{FF2B5EF4-FFF2-40B4-BE49-F238E27FC236}">
              <a16:creationId xmlns:a16="http://schemas.microsoft.com/office/drawing/2014/main" xmlns="" id="{0A0A657C-05A7-4AB2-B9A0-35315E7C03A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461" name="Text Box 1">
          <a:extLst>
            <a:ext uri="{FF2B5EF4-FFF2-40B4-BE49-F238E27FC236}">
              <a16:creationId xmlns:a16="http://schemas.microsoft.com/office/drawing/2014/main" xmlns="" id="{0D586BC3-FFC8-4642-9502-269C6174390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462" name="Text Box 1">
          <a:extLst>
            <a:ext uri="{FF2B5EF4-FFF2-40B4-BE49-F238E27FC236}">
              <a16:creationId xmlns:a16="http://schemas.microsoft.com/office/drawing/2014/main" xmlns="" id="{890E2B99-078D-49C1-90D5-18915BAC5D01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463" name="Text Box 1">
          <a:extLst>
            <a:ext uri="{FF2B5EF4-FFF2-40B4-BE49-F238E27FC236}">
              <a16:creationId xmlns:a16="http://schemas.microsoft.com/office/drawing/2014/main" xmlns="" id="{E9F88E10-8614-4A5E-950C-F8ACB83BF88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62843"/>
    <xdr:sp macro="" textlink="">
      <xdr:nvSpPr>
        <xdr:cNvPr id="464" name="Text Box 1">
          <a:extLst>
            <a:ext uri="{FF2B5EF4-FFF2-40B4-BE49-F238E27FC236}">
              <a16:creationId xmlns:a16="http://schemas.microsoft.com/office/drawing/2014/main" xmlns="" id="{72EA84A2-91E1-45B2-80BB-87BD514E978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628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62843"/>
    <xdr:sp macro="" textlink="">
      <xdr:nvSpPr>
        <xdr:cNvPr id="465" name="Text Box 1">
          <a:extLst>
            <a:ext uri="{FF2B5EF4-FFF2-40B4-BE49-F238E27FC236}">
              <a16:creationId xmlns:a16="http://schemas.microsoft.com/office/drawing/2014/main" xmlns="" id="{C4B6EA3F-4F28-4518-B301-F79E94871D0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628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466" name="Text Box 1">
          <a:extLst>
            <a:ext uri="{FF2B5EF4-FFF2-40B4-BE49-F238E27FC236}">
              <a16:creationId xmlns:a16="http://schemas.microsoft.com/office/drawing/2014/main" xmlns="" id="{21FA9A4B-D082-4FA6-85A2-A3C5843A2FA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467" name="Text Box 1">
          <a:extLst>
            <a:ext uri="{FF2B5EF4-FFF2-40B4-BE49-F238E27FC236}">
              <a16:creationId xmlns:a16="http://schemas.microsoft.com/office/drawing/2014/main" xmlns="" id="{A7222304-5AB2-41DB-BC15-3B7DCA12045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468" name="Text Box 1">
          <a:extLst>
            <a:ext uri="{FF2B5EF4-FFF2-40B4-BE49-F238E27FC236}">
              <a16:creationId xmlns:a16="http://schemas.microsoft.com/office/drawing/2014/main" xmlns="" id="{2F07FAA4-C291-4B91-A7D5-BDE1B0C7E4E1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469" name="Text Box 1">
          <a:extLst>
            <a:ext uri="{FF2B5EF4-FFF2-40B4-BE49-F238E27FC236}">
              <a16:creationId xmlns:a16="http://schemas.microsoft.com/office/drawing/2014/main" xmlns="" id="{C7E11C83-ADD4-4959-873E-3467B3B0EBD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470" name="Text Box 1">
          <a:extLst>
            <a:ext uri="{FF2B5EF4-FFF2-40B4-BE49-F238E27FC236}">
              <a16:creationId xmlns:a16="http://schemas.microsoft.com/office/drawing/2014/main" xmlns="" id="{9FBCE2D9-2F27-4925-AA28-D882A218169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471" name="Text Box 1">
          <a:extLst>
            <a:ext uri="{FF2B5EF4-FFF2-40B4-BE49-F238E27FC236}">
              <a16:creationId xmlns:a16="http://schemas.microsoft.com/office/drawing/2014/main" xmlns="" id="{73C51901-8E77-4D5C-A0D0-812D2FAB897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472" name="Text Box 1">
          <a:extLst>
            <a:ext uri="{FF2B5EF4-FFF2-40B4-BE49-F238E27FC236}">
              <a16:creationId xmlns:a16="http://schemas.microsoft.com/office/drawing/2014/main" xmlns="" id="{E11A27E7-EEA1-42C3-8379-BDB56D2943B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473" name="Text Box 1">
          <a:extLst>
            <a:ext uri="{FF2B5EF4-FFF2-40B4-BE49-F238E27FC236}">
              <a16:creationId xmlns:a16="http://schemas.microsoft.com/office/drawing/2014/main" xmlns="" id="{FDB47D13-DC8A-45CD-AE27-2E80132B0DB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474" name="Text Box 1">
          <a:extLst>
            <a:ext uri="{FF2B5EF4-FFF2-40B4-BE49-F238E27FC236}">
              <a16:creationId xmlns:a16="http://schemas.microsoft.com/office/drawing/2014/main" xmlns="" id="{CDC40538-381D-4ED8-B7F5-5636E867FDC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475" name="Text Box 1">
          <a:extLst>
            <a:ext uri="{FF2B5EF4-FFF2-40B4-BE49-F238E27FC236}">
              <a16:creationId xmlns:a16="http://schemas.microsoft.com/office/drawing/2014/main" xmlns="" id="{4E2650D7-76BB-4C58-A11B-0198A097F5A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476" name="Text Box 1">
          <a:extLst>
            <a:ext uri="{FF2B5EF4-FFF2-40B4-BE49-F238E27FC236}">
              <a16:creationId xmlns:a16="http://schemas.microsoft.com/office/drawing/2014/main" xmlns="" id="{451C23F5-6F20-421D-80F6-32C6390CAA3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477" name="Text Box 1">
          <a:extLst>
            <a:ext uri="{FF2B5EF4-FFF2-40B4-BE49-F238E27FC236}">
              <a16:creationId xmlns:a16="http://schemas.microsoft.com/office/drawing/2014/main" xmlns="" id="{84BBFB4C-E8ED-44DF-921A-83C620D86EF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478" name="Text Box 1">
          <a:extLst>
            <a:ext uri="{FF2B5EF4-FFF2-40B4-BE49-F238E27FC236}">
              <a16:creationId xmlns:a16="http://schemas.microsoft.com/office/drawing/2014/main" xmlns="" id="{D2267ACC-F988-4B63-942C-083526EDDD0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479" name="Text Box 1">
          <a:extLst>
            <a:ext uri="{FF2B5EF4-FFF2-40B4-BE49-F238E27FC236}">
              <a16:creationId xmlns:a16="http://schemas.microsoft.com/office/drawing/2014/main" xmlns="" id="{5AB72B5A-9ACD-4174-A7CC-85D5E0BEB2F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480" name="Text Box 1">
          <a:extLst>
            <a:ext uri="{FF2B5EF4-FFF2-40B4-BE49-F238E27FC236}">
              <a16:creationId xmlns:a16="http://schemas.microsoft.com/office/drawing/2014/main" xmlns="" id="{554B5A52-D207-4D5D-B6C7-F4A83EE473A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481" name="Text Box 1">
          <a:extLst>
            <a:ext uri="{FF2B5EF4-FFF2-40B4-BE49-F238E27FC236}">
              <a16:creationId xmlns:a16="http://schemas.microsoft.com/office/drawing/2014/main" xmlns="" id="{5DC49ED8-433A-4124-97FE-76C58131C3C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482" name="Text Box 1">
          <a:extLst>
            <a:ext uri="{FF2B5EF4-FFF2-40B4-BE49-F238E27FC236}">
              <a16:creationId xmlns:a16="http://schemas.microsoft.com/office/drawing/2014/main" xmlns="" id="{C073C789-8F80-42DF-ADCE-E6C18583FA7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483" name="Text Box 1">
          <a:extLst>
            <a:ext uri="{FF2B5EF4-FFF2-40B4-BE49-F238E27FC236}">
              <a16:creationId xmlns:a16="http://schemas.microsoft.com/office/drawing/2014/main" xmlns="" id="{F876BBBF-16EE-4847-B43B-82D19CC876B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484" name="Text Box 1">
          <a:extLst>
            <a:ext uri="{FF2B5EF4-FFF2-40B4-BE49-F238E27FC236}">
              <a16:creationId xmlns:a16="http://schemas.microsoft.com/office/drawing/2014/main" xmlns="" id="{30521CEE-7E65-4EF8-AE8C-5E44A4EE9561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485" name="Text Box 1">
          <a:extLst>
            <a:ext uri="{FF2B5EF4-FFF2-40B4-BE49-F238E27FC236}">
              <a16:creationId xmlns:a16="http://schemas.microsoft.com/office/drawing/2014/main" xmlns="" id="{A643C168-A126-4260-A053-94276DDEB3F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486" name="Text Box 1">
          <a:extLst>
            <a:ext uri="{FF2B5EF4-FFF2-40B4-BE49-F238E27FC236}">
              <a16:creationId xmlns:a16="http://schemas.microsoft.com/office/drawing/2014/main" xmlns="" id="{535E481B-F55B-431E-8DD8-D4E4E4AF604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487" name="Text Box 1">
          <a:extLst>
            <a:ext uri="{FF2B5EF4-FFF2-40B4-BE49-F238E27FC236}">
              <a16:creationId xmlns:a16="http://schemas.microsoft.com/office/drawing/2014/main" xmlns="" id="{DDFF1835-BF63-4A3B-A5C9-6C612ECA16B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488" name="Text Box 1">
          <a:extLst>
            <a:ext uri="{FF2B5EF4-FFF2-40B4-BE49-F238E27FC236}">
              <a16:creationId xmlns:a16="http://schemas.microsoft.com/office/drawing/2014/main" xmlns="" id="{BCC9B5D1-162E-4871-969C-6D8543E13AA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489" name="Text Box 1">
          <a:extLst>
            <a:ext uri="{FF2B5EF4-FFF2-40B4-BE49-F238E27FC236}">
              <a16:creationId xmlns:a16="http://schemas.microsoft.com/office/drawing/2014/main" xmlns="" id="{FDF58235-50AA-4BA3-9769-05D4967BFB2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490" name="Text Box 1">
          <a:extLst>
            <a:ext uri="{FF2B5EF4-FFF2-40B4-BE49-F238E27FC236}">
              <a16:creationId xmlns:a16="http://schemas.microsoft.com/office/drawing/2014/main" xmlns="" id="{14570D2B-4B7B-4389-9665-34DEABB6156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491" name="Text Box 1">
          <a:extLst>
            <a:ext uri="{FF2B5EF4-FFF2-40B4-BE49-F238E27FC236}">
              <a16:creationId xmlns:a16="http://schemas.microsoft.com/office/drawing/2014/main" xmlns="" id="{616EFEF8-73F5-4BC5-8863-5B2718911EC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492" name="Text Box 1">
          <a:extLst>
            <a:ext uri="{FF2B5EF4-FFF2-40B4-BE49-F238E27FC236}">
              <a16:creationId xmlns:a16="http://schemas.microsoft.com/office/drawing/2014/main" xmlns="" id="{EC57D3DA-4378-4A8D-B948-25E1BCAA960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493" name="Text Box 1">
          <a:extLst>
            <a:ext uri="{FF2B5EF4-FFF2-40B4-BE49-F238E27FC236}">
              <a16:creationId xmlns:a16="http://schemas.microsoft.com/office/drawing/2014/main" xmlns="" id="{0B188922-3213-4694-B1A0-6F6AD4EA6AC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494" name="Text Box 1">
          <a:extLst>
            <a:ext uri="{FF2B5EF4-FFF2-40B4-BE49-F238E27FC236}">
              <a16:creationId xmlns:a16="http://schemas.microsoft.com/office/drawing/2014/main" xmlns="" id="{C4E2FB3A-ED93-429B-8799-5C116F979CD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495" name="Text Box 1">
          <a:extLst>
            <a:ext uri="{FF2B5EF4-FFF2-40B4-BE49-F238E27FC236}">
              <a16:creationId xmlns:a16="http://schemas.microsoft.com/office/drawing/2014/main" xmlns="" id="{379DFC23-62F0-42B9-88C4-6C96D8A1E17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496" name="Text Box 1">
          <a:extLst>
            <a:ext uri="{FF2B5EF4-FFF2-40B4-BE49-F238E27FC236}">
              <a16:creationId xmlns:a16="http://schemas.microsoft.com/office/drawing/2014/main" xmlns="" id="{F89837A9-3879-4CAD-86D3-30B3141D856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497" name="Text Box 1">
          <a:extLst>
            <a:ext uri="{FF2B5EF4-FFF2-40B4-BE49-F238E27FC236}">
              <a16:creationId xmlns:a16="http://schemas.microsoft.com/office/drawing/2014/main" xmlns="" id="{59F3F5F8-EBB6-4D65-B302-59E8CE4BF4F1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498" name="Text Box 1">
          <a:extLst>
            <a:ext uri="{FF2B5EF4-FFF2-40B4-BE49-F238E27FC236}">
              <a16:creationId xmlns:a16="http://schemas.microsoft.com/office/drawing/2014/main" xmlns="" id="{08F49F0E-F23B-45A2-B215-B0144A39BBD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499" name="Text Box 1">
          <a:extLst>
            <a:ext uri="{FF2B5EF4-FFF2-40B4-BE49-F238E27FC236}">
              <a16:creationId xmlns:a16="http://schemas.microsoft.com/office/drawing/2014/main" xmlns="" id="{C952E67E-C250-4F13-8B10-9E6A648B654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500" name="Text Box 1">
          <a:extLst>
            <a:ext uri="{FF2B5EF4-FFF2-40B4-BE49-F238E27FC236}">
              <a16:creationId xmlns:a16="http://schemas.microsoft.com/office/drawing/2014/main" xmlns="" id="{0CAE9BA6-EF8D-4CB8-87EA-AA7E71D4612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501" name="Text Box 1">
          <a:extLst>
            <a:ext uri="{FF2B5EF4-FFF2-40B4-BE49-F238E27FC236}">
              <a16:creationId xmlns:a16="http://schemas.microsoft.com/office/drawing/2014/main" xmlns="" id="{DBDDADB7-F589-4D51-9567-E13D67FE8EC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502" name="Text Box 1">
          <a:extLst>
            <a:ext uri="{FF2B5EF4-FFF2-40B4-BE49-F238E27FC236}">
              <a16:creationId xmlns:a16="http://schemas.microsoft.com/office/drawing/2014/main" xmlns="" id="{833E33C4-D1E7-4292-B565-FD64AFC4006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503" name="Text Box 1">
          <a:extLst>
            <a:ext uri="{FF2B5EF4-FFF2-40B4-BE49-F238E27FC236}">
              <a16:creationId xmlns:a16="http://schemas.microsoft.com/office/drawing/2014/main" xmlns="" id="{8CC196E0-30D7-4CD8-ADDC-4C9B02821B7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504" name="Text Box 1">
          <a:extLst>
            <a:ext uri="{FF2B5EF4-FFF2-40B4-BE49-F238E27FC236}">
              <a16:creationId xmlns:a16="http://schemas.microsoft.com/office/drawing/2014/main" xmlns="" id="{C8566E05-DE1C-4740-B23D-743835B3E10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505" name="Text Box 1">
          <a:extLst>
            <a:ext uri="{FF2B5EF4-FFF2-40B4-BE49-F238E27FC236}">
              <a16:creationId xmlns:a16="http://schemas.microsoft.com/office/drawing/2014/main" xmlns="" id="{56DBEC97-C3B0-44B9-B744-29AD249AFC4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506" name="Text Box 1">
          <a:extLst>
            <a:ext uri="{FF2B5EF4-FFF2-40B4-BE49-F238E27FC236}">
              <a16:creationId xmlns:a16="http://schemas.microsoft.com/office/drawing/2014/main" xmlns="" id="{21BF5D4A-ECCE-4285-9393-837ED646856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507" name="Text Box 1">
          <a:extLst>
            <a:ext uri="{FF2B5EF4-FFF2-40B4-BE49-F238E27FC236}">
              <a16:creationId xmlns:a16="http://schemas.microsoft.com/office/drawing/2014/main" xmlns="" id="{9DBE0E6D-2D7D-4127-8F20-C5956BDFDB0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508" name="Text Box 1">
          <a:extLst>
            <a:ext uri="{FF2B5EF4-FFF2-40B4-BE49-F238E27FC236}">
              <a16:creationId xmlns:a16="http://schemas.microsoft.com/office/drawing/2014/main" xmlns="" id="{25EFC34A-4C2A-445B-89DF-A8B625CB37E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509" name="Text Box 1">
          <a:extLst>
            <a:ext uri="{FF2B5EF4-FFF2-40B4-BE49-F238E27FC236}">
              <a16:creationId xmlns:a16="http://schemas.microsoft.com/office/drawing/2014/main" xmlns="" id="{06BC5245-EA6C-4691-B9B8-B66A81EFAE9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510" name="Text Box 1">
          <a:extLst>
            <a:ext uri="{FF2B5EF4-FFF2-40B4-BE49-F238E27FC236}">
              <a16:creationId xmlns:a16="http://schemas.microsoft.com/office/drawing/2014/main" xmlns="" id="{734AFE9E-2FA2-4C3C-97F6-F35095FF7F1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511" name="Text Box 1">
          <a:extLst>
            <a:ext uri="{FF2B5EF4-FFF2-40B4-BE49-F238E27FC236}">
              <a16:creationId xmlns:a16="http://schemas.microsoft.com/office/drawing/2014/main" xmlns="" id="{88A2B123-036F-473B-96AF-9AAEB4F2E02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512" name="Text Box 1">
          <a:extLst>
            <a:ext uri="{FF2B5EF4-FFF2-40B4-BE49-F238E27FC236}">
              <a16:creationId xmlns:a16="http://schemas.microsoft.com/office/drawing/2014/main" xmlns="" id="{2E503BF4-8593-4211-A1EA-833D7F3AAF2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513" name="Text Box 1">
          <a:extLst>
            <a:ext uri="{FF2B5EF4-FFF2-40B4-BE49-F238E27FC236}">
              <a16:creationId xmlns:a16="http://schemas.microsoft.com/office/drawing/2014/main" xmlns="" id="{3E6FB673-A977-4994-B0D7-470B8E5B5A6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514" name="Text Box 1">
          <a:extLst>
            <a:ext uri="{FF2B5EF4-FFF2-40B4-BE49-F238E27FC236}">
              <a16:creationId xmlns:a16="http://schemas.microsoft.com/office/drawing/2014/main" xmlns="" id="{50250BCF-AAFF-4E34-96ED-B34CB1DB5A9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515" name="Text Box 1">
          <a:extLst>
            <a:ext uri="{FF2B5EF4-FFF2-40B4-BE49-F238E27FC236}">
              <a16:creationId xmlns:a16="http://schemas.microsoft.com/office/drawing/2014/main" xmlns="" id="{16D0EC03-FF32-4E7C-B999-10E9203F04D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516" name="Text Box 1">
          <a:extLst>
            <a:ext uri="{FF2B5EF4-FFF2-40B4-BE49-F238E27FC236}">
              <a16:creationId xmlns:a16="http://schemas.microsoft.com/office/drawing/2014/main" xmlns="" id="{AA6DE465-B00D-4AB2-94CD-F15067C1996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517" name="Text Box 1">
          <a:extLst>
            <a:ext uri="{FF2B5EF4-FFF2-40B4-BE49-F238E27FC236}">
              <a16:creationId xmlns:a16="http://schemas.microsoft.com/office/drawing/2014/main" xmlns="" id="{5AA8E4B9-A88B-4468-9460-D1B5D12F8CA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518" name="Text Box 1">
          <a:extLst>
            <a:ext uri="{FF2B5EF4-FFF2-40B4-BE49-F238E27FC236}">
              <a16:creationId xmlns:a16="http://schemas.microsoft.com/office/drawing/2014/main" xmlns="" id="{10FCC7DD-246A-4360-B251-B256BA9D2E7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519" name="Text Box 1">
          <a:extLst>
            <a:ext uri="{FF2B5EF4-FFF2-40B4-BE49-F238E27FC236}">
              <a16:creationId xmlns:a16="http://schemas.microsoft.com/office/drawing/2014/main" xmlns="" id="{277FEB61-7008-4CA6-B0FA-3F2C49114F9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520" name="Text Box 1">
          <a:extLst>
            <a:ext uri="{FF2B5EF4-FFF2-40B4-BE49-F238E27FC236}">
              <a16:creationId xmlns:a16="http://schemas.microsoft.com/office/drawing/2014/main" xmlns="" id="{350B1B4F-70DF-47A0-B1AC-9366F072E4E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521" name="Text Box 1">
          <a:extLst>
            <a:ext uri="{FF2B5EF4-FFF2-40B4-BE49-F238E27FC236}">
              <a16:creationId xmlns:a16="http://schemas.microsoft.com/office/drawing/2014/main" xmlns="" id="{723C4942-2818-4A6A-BBC8-692CD1696D2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522" name="Text Box 1">
          <a:extLst>
            <a:ext uri="{FF2B5EF4-FFF2-40B4-BE49-F238E27FC236}">
              <a16:creationId xmlns:a16="http://schemas.microsoft.com/office/drawing/2014/main" xmlns="" id="{7AFA8B1E-DAB5-4DDD-8A14-FAA1F38F135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523" name="Text Box 1">
          <a:extLst>
            <a:ext uri="{FF2B5EF4-FFF2-40B4-BE49-F238E27FC236}">
              <a16:creationId xmlns:a16="http://schemas.microsoft.com/office/drawing/2014/main" xmlns="" id="{F4F228B8-9315-4C4E-B3FE-D7E0DF7A6B9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524" name="Text Box 1">
          <a:extLst>
            <a:ext uri="{FF2B5EF4-FFF2-40B4-BE49-F238E27FC236}">
              <a16:creationId xmlns:a16="http://schemas.microsoft.com/office/drawing/2014/main" xmlns="" id="{FA7E9610-CAF9-4CAD-B820-5FC526DC597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525" name="Text Box 1">
          <a:extLst>
            <a:ext uri="{FF2B5EF4-FFF2-40B4-BE49-F238E27FC236}">
              <a16:creationId xmlns:a16="http://schemas.microsoft.com/office/drawing/2014/main" xmlns="" id="{D1D4C553-4BF4-4917-A0A5-8181E5F33FF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526" name="Text Box 1">
          <a:extLst>
            <a:ext uri="{FF2B5EF4-FFF2-40B4-BE49-F238E27FC236}">
              <a16:creationId xmlns:a16="http://schemas.microsoft.com/office/drawing/2014/main" xmlns="" id="{4074C9FB-DD53-4B95-91C3-8D37BE1D2D2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527" name="Text Box 1">
          <a:extLst>
            <a:ext uri="{FF2B5EF4-FFF2-40B4-BE49-F238E27FC236}">
              <a16:creationId xmlns:a16="http://schemas.microsoft.com/office/drawing/2014/main" xmlns="" id="{EFF2B64E-EDE6-4C35-AAA6-64910D12B5A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528" name="Text Box 1">
          <a:extLst>
            <a:ext uri="{FF2B5EF4-FFF2-40B4-BE49-F238E27FC236}">
              <a16:creationId xmlns:a16="http://schemas.microsoft.com/office/drawing/2014/main" xmlns="" id="{C6CCE422-5845-44B8-8836-1F7F8B4CF81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529" name="Text Box 1">
          <a:extLst>
            <a:ext uri="{FF2B5EF4-FFF2-40B4-BE49-F238E27FC236}">
              <a16:creationId xmlns:a16="http://schemas.microsoft.com/office/drawing/2014/main" xmlns="" id="{0B19BA57-85B0-4685-BF23-52AB1F1A0C1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530" name="Text Box 1">
          <a:extLst>
            <a:ext uri="{FF2B5EF4-FFF2-40B4-BE49-F238E27FC236}">
              <a16:creationId xmlns:a16="http://schemas.microsoft.com/office/drawing/2014/main" xmlns="" id="{9E50823D-93AE-40F2-A714-BF320A9CE68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531" name="Text Box 1">
          <a:extLst>
            <a:ext uri="{FF2B5EF4-FFF2-40B4-BE49-F238E27FC236}">
              <a16:creationId xmlns:a16="http://schemas.microsoft.com/office/drawing/2014/main" xmlns="" id="{83DEFB4C-F203-4AA4-B02F-FFC698FB1F3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532" name="Text Box 1">
          <a:extLst>
            <a:ext uri="{FF2B5EF4-FFF2-40B4-BE49-F238E27FC236}">
              <a16:creationId xmlns:a16="http://schemas.microsoft.com/office/drawing/2014/main" xmlns="" id="{69219B7C-5955-459A-8B92-01A571071DB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533" name="Text Box 1">
          <a:extLst>
            <a:ext uri="{FF2B5EF4-FFF2-40B4-BE49-F238E27FC236}">
              <a16:creationId xmlns:a16="http://schemas.microsoft.com/office/drawing/2014/main" xmlns="" id="{2DB28C74-2858-4A88-AD08-0E5B8C39D16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534" name="Text Box 1">
          <a:extLst>
            <a:ext uri="{FF2B5EF4-FFF2-40B4-BE49-F238E27FC236}">
              <a16:creationId xmlns:a16="http://schemas.microsoft.com/office/drawing/2014/main" xmlns="" id="{21CB0836-E652-432A-84FB-74E1705B11F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535" name="Text Box 1">
          <a:extLst>
            <a:ext uri="{FF2B5EF4-FFF2-40B4-BE49-F238E27FC236}">
              <a16:creationId xmlns:a16="http://schemas.microsoft.com/office/drawing/2014/main" xmlns="" id="{914ECC93-57A8-4B1B-8DA1-BCB30F6D328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536" name="Text Box 1">
          <a:extLst>
            <a:ext uri="{FF2B5EF4-FFF2-40B4-BE49-F238E27FC236}">
              <a16:creationId xmlns:a16="http://schemas.microsoft.com/office/drawing/2014/main" xmlns="" id="{7F813B2F-8AAB-40E8-8A59-E45A811304B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537" name="Text Box 1">
          <a:extLst>
            <a:ext uri="{FF2B5EF4-FFF2-40B4-BE49-F238E27FC236}">
              <a16:creationId xmlns:a16="http://schemas.microsoft.com/office/drawing/2014/main" xmlns="" id="{8FC5E3F1-1521-4115-B902-E61D2C5D7D2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538" name="Text Box 1">
          <a:extLst>
            <a:ext uri="{FF2B5EF4-FFF2-40B4-BE49-F238E27FC236}">
              <a16:creationId xmlns:a16="http://schemas.microsoft.com/office/drawing/2014/main" xmlns="" id="{896F231E-6F7C-433C-BB96-581D5D00888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539" name="Text Box 1">
          <a:extLst>
            <a:ext uri="{FF2B5EF4-FFF2-40B4-BE49-F238E27FC236}">
              <a16:creationId xmlns:a16="http://schemas.microsoft.com/office/drawing/2014/main" xmlns="" id="{459CB0E6-55E6-444F-BBA8-D5A7B415B36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540" name="Text Box 1">
          <a:extLst>
            <a:ext uri="{FF2B5EF4-FFF2-40B4-BE49-F238E27FC236}">
              <a16:creationId xmlns:a16="http://schemas.microsoft.com/office/drawing/2014/main" xmlns="" id="{A0DE2ED4-C4BD-424B-B14E-9652FEEC80D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541" name="Text Box 1">
          <a:extLst>
            <a:ext uri="{FF2B5EF4-FFF2-40B4-BE49-F238E27FC236}">
              <a16:creationId xmlns:a16="http://schemas.microsoft.com/office/drawing/2014/main" xmlns="" id="{4FDC1F89-80DE-4BA8-A054-E2A37214CC2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542" name="Text Box 1">
          <a:extLst>
            <a:ext uri="{FF2B5EF4-FFF2-40B4-BE49-F238E27FC236}">
              <a16:creationId xmlns:a16="http://schemas.microsoft.com/office/drawing/2014/main" xmlns="" id="{B9845FD3-D23A-4E80-A697-28D9605410B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543" name="Text Box 1">
          <a:extLst>
            <a:ext uri="{FF2B5EF4-FFF2-40B4-BE49-F238E27FC236}">
              <a16:creationId xmlns:a16="http://schemas.microsoft.com/office/drawing/2014/main" xmlns="" id="{D74FAE88-4496-4756-92E5-13FDD3530B8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544" name="Text Box 1">
          <a:extLst>
            <a:ext uri="{FF2B5EF4-FFF2-40B4-BE49-F238E27FC236}">
              <a16:creationId xmlns:a16="http://schemas.microsoft.com/office/drawing/2014/main" xmlns="" id="{A6FE53AF-94D7-4C5A-A6EE-B27246D8BA5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545" name="Text Box 1">
          <a:extLst>
            <a:ext uri="{FF2B5EF4-FFF2-40B4-BE49-F238E27FC236}">
              <a16:creationId xmlns:a16="http://schemas.microsoft.com/office/drawing/2014/main" xmlns="" id="{E371651A-2941-477D-BEAC-25ABB14FFB7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546" name="Text Box 1">
          <a:extLst>
            <a:ext uri="{FF2B5EF4-FFF2-40B4-BE49-F238E27FC236}">
              <a16:creationId xmlns:a16="http://schemas.microsoft.com/office/drawing/2014/main" xmlns="" id="{B6A19BCC-FA4F-4544-A026-BB8AB35E434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547" name="Text Box 1">
          <a:extLst>
            <a:ext uri="{FF2B5EF4-FFF2-40B4-BE49-F238E27FC236}">
              <a16:creationId xmlns:a16="http://schemas.microsoft.com/office/drawing/2014/main" xmlns="" id="{8500665A-79A3-4563-A6DC-E808034C0A9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548" name="Text Box 1">
          <a:extLst>
            <a:ext uri="{FF2B5EF4-FFF2-40B4-BE49-F238E27FC236}">
              <a16:creationId xmlns:a16="http://schemas.microsoft.com/office/drawing/2014/main" xmlns="" id="{3E289F5B-8509-4718-96CE-26CF08A6861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549" name="Text Box 1">
          <a:extLst>
            <a:ext uri="{FF2B5EF4-FFF2-40B4-BE49-F238E27FC236}">
              <a16:creationId xmlns:a16="http://schemas.microsoft.com/office/drawing/2014/main" xmlns="" id="{3D40124C-624D-49A3-A084-DAE23101C86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550" name="Text Box 1">
          <a:extLst>
            <a:ext uri="{FF2B5EF4-FFF2-40B4-BE49-F238E27FC236}">
              <a16:creationId xmlns:a16="http://schemas.microsoft.com/office/drawing/2014/main" xmlns="" id="{4A297926-EFA1-4A38-99F1-2237BD2E5F8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551" name="Text Box 1">
          <a:extLst>
            <a:ext uri="{FF2B5EF4-FFF2-40B4-BE49-F238E27FC236}">
              <a16:creationId xmlns:a16="http://schemas.microsoft.com/office/drawing/2014/main" xmlns="" id="{A55FB4F4-D353-4F25-8E91-96A80A6EDDE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552" name="Text Box 1">
          <a:extLst>
            <a:ext uri="{FF2B5EF4-FFF2-40B4-BE49-F238E27FC236}">
              <a16:creationId xmlns:a16="http://schemas.microsoft.com/office/drawing/2014/main" xmlns="" id="{52BD9BAC-3E2C-4709-ADDB-D1653FA583C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553" name="Text Box 1">
          <a:extLst>
            <a:ext uri="{FF2B5EF4-FFF2-40B4-BE49-F238E27FC236}">
              <a16:creationId xmlns:a16="http://schemas.microsoft.com/office/drawing/2014/main" xmlns="" id="{EC4D760A-D1F0-4DAA-AB45-744B3A36130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554" name="Text Box 1">
          <a:extLst>
            <a:ext uri="{FF2B5EF4-FFF2-40B4-BE49-F238E27FC236}">
              <a16:creationId xmlns:a16="http://schemas.microsoft.com/office/drawing/2014/main" xmlns="" id="{487FF503-937F-4D73-B736-790C696A7CC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555" name="Text Box 1">
          <a:extLst>
            <a:ext uri="{FF2B5EF4-FFF2-40B4-BE49-F238E27FC236}">
              <a16:creationId xmlns:a16="http://schemas.microsoft.com/office/drawing/2014/main" xmlns="" id="{73426CBA-C6FC-48D5-A0CC-463E71E73EF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556" name="Text Box 1">
          <a:extLst>
            <a:ext uri="{FF2B5EF4-FFF2-40B4-BE49-F238E27FC236}">
              <a16:creationId xmlns:a16="http://schemas.microsoft.com/office/drawing/2014/main" xmlns="" id="{102E4F3B-87AC-4939-9F09-CA94FBA3F92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557" name="Text Box 1">
          <a:extLst>
            <a:ext uri="{FF2B5EF4-FFF2-40B4-BE49-F238E27FC236}">
              <a16:creationId xmlns:a16="http://schemas.microsoft.com/office/drawing/2014/main" xmlns="" id="{C10A8274-461B-40D0-B540-EB754F5FEE5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558" name="Text Box 1">
          <a:extLst>
            <a:ext uri="{FF2B5EF4-FFF2-40B4-BE49-F238E27FC236}">
              <a16:creationId xmlns:a16="http://schemas.microsoft.com/office/drawing/2014/main" xmlns="" id="{3A6EF1A1-7EDB-4BFA-8584-0F611E75CBE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559" name="Text Box 1">
          <a:extLst>
            <a:ext uri="{FF2B5EF4-FFF2-40B4-BE49-F238E27FC236}">
              <a16:creationId xmlns:a16="http://schemas.microsoft.com/office/drawing/2014/main" xmlns="" id="{7862AAB6-9493-4232-A24E-280F2291756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560" name="Text Box 1">
          <a:extLst>
            <a:ext uri="{FF2B5EF4-FFF2-40B4-BE49-F238E27FC236}">
              <a16:creationId xmlns:a16="http://schemas.microsoft.com/office/drawing/2014/main" xmlns="" id="{2873771B-29D4-455F-A62D-B5FEDA9E99B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561" name="Text Box 1">
          <a:extLst>
            <a:ext uri="{FF2B5EF4-FFF2-40B4-BE49-F238E27FC236}">
              <a16:creationId xmlns:a16="http://schemas.microsoft.com/office/drawing/2014/main" xmlns="" id="{D0C1A2D6-B516-4CEC-91DE-2197BD92381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562" name="Text Box 1">
          <a:extLst>
            <a:ext uri="{FF2B5EF4-FFF2-40B4-BE49-F238E27FC236}">
              <a16:creationId xmlns:a16="http://schemas.microsoft.com/office/drawing/2014/main" xmlns="" id="{606BCB37-A5D5-4CD2-925B-9B401DE616B1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563" name="Text Box 1">
          <a:extLst>
            <a:ext uri="{FF2B5EF4-FFF2-40B4-BE49-F238E27FC236}">
              <a16:creationId xmlns:a16="http://schemas.microsoft.com/office/drawing/2014/main" xmlns="" id="{9DE32776-5154-4BD8-BA8A-1413C368EE7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564" name="Text Box 1">
          <a:extLst>
            <a:ext uri="{FF2B5EF4-FFF2-40B4-BE49-F238E27FC236}">
              <a16:creationId xmlns:a16="http://schemas.microsoft.com/office/drawing/2014/main" xmlns="" id="{21906FF3-FD18-4B88-8FB9-3A6B4C54D9E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565" name="Text Box 1">
          <a:extLst>
            <a:ext uri="{FF2B5EF4-FFF2-40B4-BE49-F238E27FC236}">
              <a16:creationId xmlns:a16="http://schemas.microsoft.com/office/drawing/2014/main" xmlns="" id="{4F71A690-EAFA-46E4-9020-DACA06AC3FD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566" name="Text Box 1">
          <a:extLst>
            <a:ext uri="{FF2B5EF4-FFF2-40B4-BE49-F238E27FC236}">
              <a16:creationId xmlns:a16="http://schemas.microsoft.com/office/drawing/2014/main" xmlns="" id="{273781DE-8FD1-4B94-AAB1-9C6DAC627D3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567" name="Text Box 1">
          <a:extLst>
            <a:ext uri="{FF2B5EF4-FFF2-40B4-BE49-F238E27FC236}">
              <a16:creationId xmlns:a16="http://schemas.microsoft.com/office/drawing/2014/main" xmlns="" id="{4BCEA635-ED61-4869-A4F6-880114F8A2D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568" name="Text Box 1">
          <a:extLst>
            <a:ext uri="{FF2B5EF4-FFF2-40B4-BE49-F238E27FC236}">
              <a16:creationId xmlns:a16="http://schemas.microsoft.com/office/drawing/2014/main" xmlns="" id="{7E3D3374-1212-491B-A138-E2F72EB3ACE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569" name="Text Box 1">
          <a:extLst>
            <a:ext uri="{FF2B5EF4-FFF2-40B4-BE49-F238E27FC236}">
              <a16:creationId xmlns:a16="http://schemas.microsoft.com/office/drawing/2014/main" xmlns="" id="{55E31575-473E-4625-AEE5-D140C089019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570" name="Text Box 1">
          <a:extLst>
            <a:ext uri="{FF2B5EF4-FFF2-40B4-BE49-F238E27FC236}">
              <a16:creationId xmlns:a16="http://schemas.microsoft.com/office/drawing/2014/main" xmlns="" id="{008D1AA7-9405-438C-B55E-4223D0DDB4A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571" name="Text Box 1">
          <a:extLst>
            <a:ext uri="{FF2B5EF4-FFF2-40B4-BE49-F238E27FC236}">
              <a16:creationId xmlns:a16="http://schemas.microsoft.com/office/drawing/2014/main" xmlns="" id="{CC1DD443-CA29-45B5-B181-507158657D9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572" name="Text Box 1">
          <a:extLst>
            <a:ext uri="{FF2B5EF4-FFF2-40B4-BE49-F238E27FC236}">
              <a16:creationId xmlns:a16="http://schemas.microsoft.com/office/drawing/2014/main" xmlns="" id="{583B7072-DAEF-47BA-A078-228F60F9E76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573" name="Text Box 1">
          <a:extLst>
            <a:ext uri="{FF2B5EF4-FFF2-40B4-BE49-F238E27FC236}">
              <a16:creationId xmlns:a16="http://schemas.microsoft.com/office/drawing/2014/main" xmlns="" id="{C5663716-3275-4777-8373-3DB62994C75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574" name="Text Box 1">
          <a:extLst>
            <a:ext uri="{FF2B5EF4-FFF2-40B4-BE49-F238E27FC236}">
              <a16:creationId xmlns:a16="http://schemas.microsoft.com/office/drawing/2014/main" xmlns="" id="{3FFD6478-93D8-46D4-A974-E3C0CCE4E1D1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575" name="Text Box 1">
          <a:extLst>
            <a:ext uri="{FF2B5EF4-FFF2-40B4-BE49-F238E27FC236}">
              <a16:creationId xmlns:a16="http://schemas.microsoft.com/office/drawing/2014/main" xmlns="" id="{E9FDA947-36F2-46A5-BA1C-72DB02AC265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576" name="Text Box 1">
          <a:extLst>
            <a:ext uri="{FF2B5EF4-FFF2-40B4-BE49-F238E27FC236}">
              <a16:creationId xmlns:a16="http://schemas.microsoft.com/office/drawing/2014/main" xmlns="" id="{B6B1085F-A094-42CF-AC82-0B8A891DE6E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577" name="Text Box 1">
          <a:extLst>
            <a:ext uri="{FF2B5EF4-FFF2-40B4-BE49-F238E27FC236}">
              <a16:creationId xmlns:a16="http://schemas.microsoft.com/office/drawing/2014/main" xmlns="" id="{782995FE-43C6-46BF-8BDF-5904300BE61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578" name="Text Box 1">
          <a:extLst>
            <a:ext uri="{FF2B5EF4-FFF2-40B4-BE49-F238E27FC236}">
              <a16:creationId xmlns:a16="http://schemas.microsoft.com/office/drawing/2014/main" xmlns="" id="{CAA1044A-71F2-4D11-A813-F78FE825851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579" name="Text Box 1">
          <a:extLst>
            <a:ext uri="{FF2B5EF4-FFF2-40B4-BE49-F238E27FC236}">
              <a16:creationId xmlns:a16="http://schemas.microsoft.com/office/drawing/2014/main" xmlns="" id="{482DAD0D-7EEF-4E80-8D44-E266A5BA64A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580" name="Text Box 1">
          <a:extLst>
            <a:ext uri="{FF2B5EF4-FFF2-40B4-BE49-F238E27FC236}">
              <a16:creationId xmlns:a16="http://schemas.microsoft.com/office/drawing/2014/main" xmlns="" id="{0788662E-F0D0-4679-ADDA-3977F14FAB4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581" name="Text Box 1">
          <a:extLst>
            <a:ext uri="{FF2B5EF4-FFF2-40B4-BE49-F238E27FC236}">
              <a16:creationId xmlns:a16="http://schemas.microsoft.com/office/drawing/2014/main" xmlns="" id="{E1881F40-7D04-4CBA-B2C7-BAD1EC7766B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582" name="Text Box 1">
          <a:extLst>
            <a:ext uri="{FF2B5EF4-FFF2-40B4-BE49-F238E27FC236}">
              <a16:creationId xmlns:a16="http://schemas.microsoft.com/office/drawing/2014/main" xmlns="" id="{82D96ACC-8EF3-41FB-8410-99D0A937796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583" name="Text Box 1">
          <a:extLst>
            <a:ext uri="{FF2B5EF4-FFF2-40B4-BE49-F238E27FC236}">
              <a16:creationId xmlns:a16="http://schemas.microsoft.com/office/drawing/2014/main" xmlns="" id="{97120C08-1D40-4BD2-9420-7EA936CA6B9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584" name="Text Box 1">
          <a:extLst>
            <a:ext uri="{FF2B5EF4-FFF2-40B4-BE49-F238E27FC236}">
              <a16:creationId xmlns:a16="http://schemas.microsoft.com/office/drawing/2014/main" xmlns="" id="{C2F22F47-07D8-41A7-8BE6-57A6A2EA714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585" name="Text Box 1">
          <a:extLst>
            <a:ext uri="{FF2B5EF4-FFF2-40B4-BE49-F238E27FC236}">
              <a16:creationId xmlns:a16="http://schemas.microsoft.com/office/drawing/2014/main" xmlns="" id="{B72C63E9-BFAC-42B8-A28F-C4A14EE8825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586" name="Text Box 1">
          <a:extLst>
            <a:ext uri="{FF2B5EF4-FFF2-40B4-BE49-F238E27FC236}">
              <a16:creationId xmlns:a16="http://schemas.microsoft.com/office/drawing/2014/main" xmlns="" id="{7C156D91-F87F-411B-8C33-5E5A64CE442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587" name="Text Box 1">
          <a:extLst>
            <a:ext uri="{FF2B5EF4-FFF2-40B4-BE49-F238E27FC236}">
              <a16:creationId xmlns:a16="http://schemas.microsoft.com/office/drawing/2014/main" xmlns="" id="{631339B4-4C11-4501-B2EB-8F774526BB4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588" name="Text Box 1">
          <a:extLst>
            <a:ext uri="{FF2B5EF4-FFF2-40B4-BE49-F238E27FC236}">
              <a16:creationId xmlns:a16="http://schemas.microsoft.com/office/drawing/2014/main" xmlns="" id="{34A4804D-3561-40BF-A27B-C92CD55AEA8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589" name="Text Box 1">
          <a:extLst>
            <a:ext uri="{FF2B5EF4-FFF2-40B4-BE49-F238E27FC236}">
              <a16:creationId xmlns:a16="http://schemas.microsoft.com/office/drawing/2014/main" xmlns="" id="{31271A0F-27AC-4341-9913-E90FD6503DB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590" name="Text Box 1">
          <a:extLst>
            <a:ext uri="{FF2B5EF4-FFF2-40B4-BE49-F238E27FC236}">
              <a16:creationId xmlns:a16="http://schemas.microsoft.com/office/drawing/2014/main" xmlns="" id="{F44FEC91-17B8-4E6C-B763-22EFD3B3939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591" name="Text Box 1">
          <a:extLst>
            <a:ext uri="{FF2B5EF4-FFF2-40B4-BE49-F238E27FC236}">
              <a16:creationId xmlns:a16="http://schemas.microsoft.com/office/drawing/2014/main" xmlns="" id="{1DA48089-AC59-41D7-882C-6D3434BD4F4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592" name="Text Box 1">
          <a:extLst>
            <a:ext uri="{FF2B5EF4-FFF2-40B4-BE49-F238E27FC236}">
              <a16:creationId xmlns:a16="http://schemas.microsoft.com/office/drawing/2014/main" xmlns="" id="{5526BA39-C436-4253-8BD0-FC1FDBEDEB5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593" name="Text Box 1">
          <a:extLst>
            <a:ext uri="{FF2B5EF4-FFF2-40B4-BE49-F238E27FC236}">
              <a16:creationId xmlns:a16="http://schemas.microsoft.com/office/drawing/2014/main" xmlns="" id="{2C3C8802-EAFA-4F81-A96A-CC71DBB1B6E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594" name="Text Box 1">
          <a:extLst>
            <a:ext uri="{FF2B5EF4-FFF2-40B4-BE49-F238E27FC236}">
              <a16:creationId xmlns:a16="http://schemas.microsoft.com/office/drawing/2014/main" xmlns="" id="{F340FC39-2DE3-4E30-96EA-E0CC28FE1FF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595" name="Text Box 1">
          <a:extLst>
            <a:ext uri="{FF2B5EF4-FFF2-40B4-BE49-F238E27FC236}">
              <a16:creationId xmlns:a16="http://schemas.microsoft.com/office/drawing/2014/main" xmlns="" id="{8321720D-AA37-4E77-9246-3CF88DD5EFA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596" name="Text Box 1">
          <a:extLst>
            <a:ext uri="{FF2B5EF4-FFF2-40B4-BE49-F238E27FC236}">
              <a16:creationId xmlns:a16="http://schemas.microsoft.com/office/drawing/2014/main" xmlns="" id="{8C7FCAA6-8B5F-43B2-B9B5-50D7669B22C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597" name="Text Box 1">
          <a:extLst>
            <a:ext uri="{FF2B5EF4-FFF2-40B4-BE49-F238E27FC236}">
              <a16:creationId xmlns:a16="http://schemas.microsoft.com/office/drawing/2014/main" xmlns="" id="{7904B1C8-2950-470D-917F-3CAE1235C0D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598" name="Text Box 1">
          <a:extLst>
            <a:ext uri="{FF2B5EF4-FFF2-40B4-BE49-F238E27FC236}">
              <a16:creationId xmlns:a16="http://schemas.microsoft.com/office/drawing/2014/main" xmlns="" id="{BB7BF771-05ED-4A4F-89BB-1C22A844E14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599" name="Text Box 1">
          <a:extLst>
            <a:ext uri="{FF2B5EF4-FFF2-40B4-BE49-F238E27FC236}">
              <a16:creationId xmlns:a16="http://schemas.microsoft.com/office/drawing/2014/main" xmlns="" id="{30E38224-AC10-43AE-A6DD-6481C9ADBB3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600" name="Text Box 1">
          <a:extLst>
            <a:ext uri="{FF2B5EF4-FFF2-40B4-BE49-F238E27FC236}">
              <a16:creationId xmlns:a16="http://schemas.microsoft.com/office/drawing/2014/main" xmlns="" id="{3D7DA5A1-3E1F-401C-BE82-9FEF2E499D4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601" name="Text Box 1">
          <a:extLst>
            <a:ext uri="{FF2B5EF4-FFF2-40B4-BE49-F238E27FC236}">
              <a16:creationId xmlns:a16="http://schemas.microsoft.com/office/drawing/2014/main" xmlns="" id="{836D1C0A-0EFC-449A-80BF-8BE296B5D41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602" name="Text Box 1">
          <a:extLst>
            <a:ext uri="{FF2B5EF4-FFF2-40B4-BE49-F238E27FC236}">
              <a16:creationId xmlns:a16="http://schemas.microsoft.com/office/drawing/2014/main" xmlns="" id="{38156183-84C0-4C2C-825D-89A4D1F4CAE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603" name="Text Box 1">
          <a:extLst>
            <a:ext uri="{FF2B5EF4-FFF2-40B4-BE49-F238E27FC236}">
              <a16:creationId xmlns:a16="http://schemas.microsoft.com/office/drawing/2014/main" xmlns="" id="{E617FF51-0E0D-49AC-828E-98CDE98B985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604" name="Text Box 1">
          <a:extLst>
            <a:ext uri="{FF2B5EF4-FFF2-40B4-BE49-F238E27FC236}">
              <a16:creationId xmlns:a16="http://schemas.microsoft.com/office/drawing/2014/main" xmlns="" id="{44E7B484-20F6-45B7-B8EF-24FE1869495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605" name="Text Box 1">
          <a:extLst>
            <a:ext uri="{FF2B5EF4-FFF2-40B4-BE49-F238E27FC236}">
              <a16:creationId xmlns:a16="http://schemas.microsoft.com/office/drawing/2014/main" xmlns="" id="{D3CD76AE-986E-4730-87F4-49D2C13CEF1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606" name="Text Box 1">
          <a:extLst>
            <a:ext uri="{FF2B5EF4-FFF2-40B4-BE49-F238E27FC236}">
              <a16:creationId xmlns:a16="http://schemas.microsoft.com/office/drawing/2014/main" xmlns="" id="{A434027F-E6C4-48B7-92AE-AB44B443C7B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607" name="Text Box 1">
          <a:extLst>
            <a:ext uri="{FF2B5EF4-FFF2-40B4-BE49-F238E27FC236}">
              <a16:creationId xmlns:a16="http://schemas.microsoft.com/office/drawing/2014/main" xmlns="" id="{7D4B2496-AEA5-4658-8AA8-7A32FD9DC4F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608" name="Text Box 1">
          <a:extLst>
            <a:ext uri="{FF2B5EF4-FFF2-40B4-BE49-F238E27FC236}">
              <a16:creationId xmlns:a16="http://schemas.microsoft.com/office/drawing/2014/main" xmlns="" id="{8E599A57-0321-4D76-8247-DEA116292C1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609" name="Text Box 1">
          <a:extLst>
            <a:ext uri="{FF2B5EF4-FFF2-40B4-BE49-F238E27FC236}">
              <a16:creationId xmlns:a16="http://schemas.microsoft.com/office/drawing/2014/main" xmlns="" id="{DF285E2B-7FA8-40A7-86F5-A743DAECB87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610" name="Text Box 1">
          <a:extLst>
            <a:ext uri="{FF2B5EF4-FFF2-40B4-BE49-F238E27FC236}">
              <a16:creationId xmlns:a16="http://schemas.microsoft.com/office/drawing/2014/main" xmlns="" id="{FDE1FC66-C2FC-48A2-A8A7-8A5613F8E8C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611" name="Text Box 1">
          <a:extLst>
            <a:ext uri="{FF2B5EF4-FFF2-40B4-BE49-F238E27FC236}">
              <a16:creationId xmlns:a16="http://schemas.microsoft.com/office/drawing/2014/main" xmlns="" id="{593E2D49-25DC-4265-8278-89A45D64374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612" name="Text Box 1">
          <a:extLst>
            <a:ext uri="{FF2B5EF4-FFF2-40B4-BE49-F238E27FC236}">
              <a16:creationId xmlns:a16="http://schemas.microsoft.com/office/drawing/2014/main" xmlns="" id="{4BACFED1-AFB4-4D8D-91C9-A2864CAD7AF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613" name="Text Box 1">
          <a:extLst>
            <a:ext uri="{FF2B5EF4-FFF2-40B4-BE49-F238E27FC236}">
              <a16:creationId xmlns:a16="http://schemas.microsoft.com/office/drawing/2014/main" xmlns="" id="{86E1B839-EA99-49B1-8BF4-6F10FB0797B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614" name="Text Box 1">
          <a:extLst>
            <a:ext uri="{FF2B5EF4-FFF2-40B4-BE49-F238E27FC236}">
              <a16:creationId xmlns:a16="http://schemas.microsoft.com/office/drawing/2014/main" xmlns="" id="{F3B43299-490C-4C62-A42A-EBD11876555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615" name="Text Box 1">
          <a:extLst>
            <a:ext uri="{FF2B5EF4-FFF2-40B4-BE49-F238E27FC236}">
              <a16:creationId xmlns:a16="http://schemas.microsoft.com/office/drawing/2014/main" xmlns="" id="{BFCD469C-CA2A-47E0-BBCE-52B4E3EFF19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616" name="Text Box 1">
          <a:extLst>
            <a:ext uri="{FF2B5EF4-FFF2-40B4-BE49-F238E27FC236}">
              <a16:creationId xmlns:a16="http://schemas.microsoft.com/office/drawing/2014/main" xmlns="" id="{6093952E-3B9C-4FC0-A7E4-AC8B5C91C32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617" name="Text Box 1">
          <a:extLst>
            <a:ext uri="{FF2B5EF4-FFF2-40B4-BE49-F238E27FC236}">
              <a16:creationId xmlns:a16="http://schemas.microsoft.com/office/drawing/2014/main" xmlns="" id="{0048A89C-5A7C-482D-A169-704C7F72E68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618" name="Text Box 1">
          <a:extLst>
            <a:ext uri="{FF2B5EF4-FFF2-40B4-BE49-F238E27FC236}">
              <a16:creationId xmlns:a16="http://schemas.microsoft.com/office/drawing/2014/main" xmlns="" id="{8B28E4B8-D24C-472F-B2A3-0D42849C712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619" name="Text Box 1">
          <a:extLst>
            <a:ext uri="{FF2B5EF4-FFF2-40B4-BE49-F238E27FC236}">
              <a16:creationId xmlns:a16="http://schemas.microsoft.com/office/drawing/2014/main" xmlns="" id="{0FFABEFB-B4DB-4E4A-B56A-D7892E70F59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620" name="Text Box 1">
          <a:extLst>
            <a:ext uri="{FF2B5EF4-FFF2-40B4-BE49-F238E27FC236}">
              <a16:creationId xmlns:a16="http://schemas.microsoft.com/office/drawing/2014/main" xmlns="" id="{1AF5EF8C-AF6E-4895-95F2-951E32311C9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621" name="Text Box 1">
          <a:extLst>
            <a:ext uri="{FF2B5EF4-FFF2-40B4-BE49-F238E27FC236}">
              <a16:creationId xmlns:a16="http://schemas.microsoft.com/office/drawing/2014/main" xmlns="" id="{0E7C0AE3-8729-4F55-8840-65CF535950A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622" name="Text Box 1">
          <a:extLst>
            <a:ext uri="{FF2B5EF4-FFF2-40B4-BE49-F238E27FC236}">
              <a16:creationId xmlns:a16="http://schemas.microsoft.com/office/drawing/2014/main" xmlns="" id="{181376FD-57EE-44AE-B421-A294CF16595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623" name="Text Box 1">
          <a:extLst>
            <a:ext uri="{FF2B5EF4-FFF2-40B4-BE49-F238E27FC236}">
              <a16:creationId xmlns:a16="http://schemas.microsoft.com/office/drawing/2014/main" xmlns="" id="{62E5470F-CC19-4085-A6E3-CFD75824FF3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624" name="Text Box 1">
          <a:extLst>
            <a:ext uri="{FF2B5EF4-FFF2-40B4-BE49-F238E27FC236}">
              <a16:creationId xmlns:a16="http://schemas.microsoft.com/office/drawing/2014/main" xmlns="" id="{1FB343DB-0F43-4E01-B66C-3CC491205EC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625" name="Text Box 1">
          <a:extLst>
            <a:ext uri="{FF2B5EF4-FFF2-40B4-BE49-F238E27FC236}">
              <a16:creationId xmlns:a16="http://schemas.microsoft.com/office/drawing/2014/main" xmlns="" id="{DA6DECAF-DC69-4081-90C3-3DFB6E7D18F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626" name="Text Box 1">
          <a:extLst>
            <a:ext uri="{FF2B5EF4-FFF2-40B4-BE49-F238E27FC236}">
              <a16:creationId xmlns:a16="http://schemas.microsoft.com/office/drawing/2014/main" xmlns="" id="{5FC38C31-D9F4-48F9-88FC-07294EBD2C7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627" name="Text Box 1">
          <a:extLst>
            <a:ext uri="{FF2B5EF4-FFF2-40B4-BE49-F238E27FC236}">
              <a16:creationId xmlns:a16="http://schemas.microsoft.com/office/drawing/2014/main" xmlns="" id="{9BAA4AD8-DCB6-41FF-AB6F-59101E09635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628" name="Text Box 1">
          <a:extLst>
            <a:ext uri="{FF2B5EF4-FFF2-40B4-BE49-F238E27FC236}">
              <a16:creationId xmlns:a16="http://schemas.microsoft.com/office/drawing/2014/main" xmlns="" id="{568D8449-1D11-4CF0-B2BC-A9E8015A6EB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629" name="Text Box 1">
          <a:extLst>
            <a:ext uri="{FF2B5EF4-FFF2-40B4-BE49-F238E27FC236}">
              <a16:creationId xmlns:a16="http://schemas.microsoft.com/office/drawing/2014/main" xmlns="" id="{F8C31C9F-D237-473E-8157-F97068DDDA1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630" name="Text Box 1">
          <a:extLst>
            <a:ext uri="{FF2B5EF4-FFF2-40B4-BE49-F238E27FC236}">
              <a16:creationId xmlns:a16="http://schemas.microsoft.com/office/drawing/2014/main" xmlns="" id="{0587D5AF-00D5-41E0-9C68-E6B13C87027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631" name="Text Box 1">
          <a:extLst>
            <a:ext uri="{FF2B5EF4-FFF2-40B4-BE49-F238E27FC236}">
              <a16:creationId xmlns:a16="http://schemas.microsoft.com/office/drawing/2014/main" xmlns="" id="{998C4491-4B70-4FB0-AF72-A585C397B9B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632" name="Text Box 1">
          <a:extLst>
            <a:ext uri="{FF2B5EF4-FFF2-40B4-BE49-F238E27FC236}">
              <a16:creationId xmlns:a16="http://schemas.microsoft.com/office/drawing/2014/main" xmlns="" id="{75B47BD5-AF86-4B56-BC94-C0F05DB321A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633" name="Text Box 1">
          <a:extLst>
            <a:ext uri="{FF2B5EF4-FFF2-40B4-BE49-F238E27FC236}">
              <a16:creationId xmlns:a16="http://schemas.microsoft.com/office/drawing/2014/main" xmlns="" id="{B5534419-FB45-4F65-B4E5-F39F4F24280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634" name="Text Box 1">
          <a:extLst>
            <a:ext uri="{FF2B5EF4-FFF2-40B4-BE49-F238E27FC236}">
              <a16:creationId xmlns:a16="http://schemas.microsoft.com/office/drawing/2014/main" xmlns="" id="{236DE657-BC72-4DDB-A2A4-A31DF21F3E8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635" name="Text Box 1">
          <a:extLst>
            <a:ext uri="{FF2B5EF4-FFF2-40B4-BE49-F238E27FC236}">
              <a16:creationId xmlns:a16="http://schemas.microsoft.com/office/drawing/2014/main" xmlns="" id="{ADCF980F-7B5E-44C7-BF65-1C2214C1AF5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636" name="Text Box 1">
          <a:extLst>
            <a:ext uri="{FF2B5EF4-FFF2-40B4-BE49-F238E27FC236}">
              <a16:creationId xmlns:a16="http://schemas.microsoft.com/office/drawing/2014/main" xmlns="" id="{E7E579BC-FD11-4395-B857-318146ECBDF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637" name="Text Box 1">
          <a:extLst>
            <a:ext uri="{FF2B5EF4-FFF2-40B4-BE49-F238E27FC236}">
              <a16:creationId xmlns:a16="http://schemas.microsoft.com/office/drawing/2014/main" xmlns="" id="{C475E1C4-D2A9-4602-A910-92C56842BBA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638" name="Text Box 1">
          <a:extLst>
            <a:ext uri="{FF2B5EF4-FFF2-40B4-BE49-F238E27FC236}">
              <a16:creationId xmlns:a16="http://schemas.microsoft.com/office/drawing/2014/main" xmlns="" id="{2E507629-BA3C-458E-837A-54B5E389C53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639" name="Text Box 1">
          <a:extLst>
            <a:ext uri="{FF2B5EF4-FFF2-40B4-BE49-F238E27FC236}">
              <a16:creationId xmlns:a16="http://schemas.microsoft.com/office/drawing/2014/main" xmlns="" id="{C839959F-B5B5-4407-9CF3-61A19960688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640" name="Text Box 1">
          <a:extLst>
            <a:ext uri="{FF2B5EF4-FFF2-40B4-BE49-F238E27FC236}">
              <a16:creationId xmlns:a16="http://schemas.microsoft.com/office/drawing/2014/main" xmlns="" id="{78EBA7B5-B34F-4D59-A565-9BAFF74777A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641" name="Text Box 1">
          <a:extLst>
            <a:ext uri="{FF2B5EF4-FFF2-40B4-BE49-F238E27FC236}">
              <a16:creationId xmlns:a16="http://schemas.microsoft.com/office/drawing/2014/main" xmlns="" id="{EAF7EEB5-ED2A-47D1-8E4E-4D249AF9864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642" name="Text Box 1">
          <a:extLst>
            <a:ext uri="{FF2B5EF4-FFF2-40B4-BE49-F238E27FC236}">
              <a16:creationId xmlns:a16="http://schemas.microsoft.com/office/drawing/2014/main" xmlns="" id="{30602F43-054A-457B-9787-99B74D0FAAE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643" name="Text Box 1">
          <a:extLst>
            <a:ext uri="{FF2B5EF4-FFF2-40B4-BE49-F238E27FC236}">
              <a16:creationId xmlns:a16="http://schemas.microsoft.com/office/drawing/2014/main" xmlns="" id="{B3971BA2-8867-452D-8907-BF9C973E3A5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644" name="Text Box 1">
          <a:extLst>
            <a:ext uri="{FF2B5EF4-FFF2-40B4-BE49-F238E27FC236}">
              <a16:creationId xmlns:a16="http://schemas.microsoft.com/office/drawing/2014/main" xmlns="" id="{80358D36-F9F3-4792-BDC0-ED45C71EE8F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645" name="Text Box 1">
          <a:extLst>
            <a:ext uri="{FF2B5EF4-FFF2-40B4-BE49-F238E27FC236}">
              <a16:creationId xmlns:a16="http://schemas.microsoft.com/office/drawing/2014/main" xmlns="" id="{BEFDF593-521C-4610-8A4D-D2BD15B8A4C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646" name="Text Box 1">
          <a:extLst>
            <a:ext uri="{FF2B5EF4-FFF2-40B4-BE49-F238E27FC236}">
              <a16:creationId xmlns:a16="http://schemas.microsoft.com/office/drawing/2014/main" xmlns="" id="{7290C193-F3FF-4658-9B92-0618CAED727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647" name="Text Box 1">
          <a:extLst>
            <a:ext uri="{FF2B5EF4-FFF2-40B4-BE49-F238E27FC236}">
              <a16:creationId xmlns:a16="http://schemas.microsoft.com/office/drawing/2014/main" xmlns="" id="{0EAC0BA1-E59D-47D2-A134-E955D37704C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648" name="Text Box 1">
          <a:extLst>
            <a:ext uri="{FF2B5EF4-FFF2-40B4-BE49-F238E27FC236}">
              <a16:creationId xmlns:a16="http://schemas.microsoft.com/office/drawing/2014/main" xmlns="" id="{A159A942-5922-4286-AB4F-3417C518C49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649" name="Text Box 1">
          <a:extLst>
            <a:ext uri="{FF2B5EF4-FFF2-40B4-BE49-F238E27FC236}">
              <a16:creationId xmlns:a16="http://schemas.microsoft.com/office/drawing/2014/main" xmlns="" id="{D003704C-5908-4D6B-BB22-5C3EAA29406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650" name="Text Box 1">
          <a:extLst>
            <a:ext uri="{FF2B5EF4-FFF2-40B4-BE49-F238E27FC236}">
              <a16:creationId xmlns:a16="http://schemas.microsoft.com/office/drawing/2014/main" xmlns="" id="{7E7AE86A-E51A-4495-937F-8E7E3C8C0BA1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651" name="Text Box 1">
          <a:extLst>
            <a:ext uri="{FF2B5EF4-FFF2-40B4-BE49-F238E27FC236}">
              <a16:creationId xmlns:a16="http://schemas.microsoft.com/office/drawing/2014/main" xmlns="" id="{8A164A66-8018-4390-B415-BF3D3FED9FB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652" name="Text Box 1">
          <a:extLst>
            <a:ext uri="{FF2B5EF4-FFF2-40B4-BE49-F238E27FC236}">
              <a16:creationId xmlns:a16="http://schemas.microsoft.com/office/drawing/2014/main" xmlns="" id="{F7020E2B-312A-4623-8CF5-A59393765221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653" name="Text Box 1">
          <a:extLst>
            <a:ext uri="{FF2B5EF4-FFF2-40B4-BE49-F238E27FC236}">
              <a16:creationId xmlns:a16="http://schemas.microsoft.com/office/drawing/2014/main" xmlns="" id="{6052DC92-2142-4A65-AD98-091A782AAF1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654" name="Text Box 1">
          <a:extLst>
            <a:ext uri="{FF2B5EF4-FFF2-40B4-BE49-F238E27FC236}">
              <a16:creationId xmlns:a16="http://schemas.microsoft.com/office/drawing/2014/main" xmlns="" id="{8043E1AF-0238-4F50-8966-33423C0B66A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655" name="Text Box 1">
          <a:extLst>
            <a:ext uri="{FF2B5EF4-FFF2-40B4-BE49-F238E27FC236}">
              <a16:creationId xmlns:a16="http://schemas.microsoft.com/office/drawing/2014/main" xmlns="" id="{F3CC9691-4A36-4583-A592-C3D0781D065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656" name="Text Box 1">
          <a:extLst>
            <a:ext uri="{FF2B5EF4-FFF2-40B4-BE49-F238E27FC236}">
              <a16:creationId xmlns:a16="http://schemas.microsoft.com/office/drawing/2014/main" xmlns="" id="{4169124C-8980-43B0-9735-9EB64140F0A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657" name="Text Box 1">
          <a:extLst>
            <a:ext uri="{FF2B5EF4-FFF2-40B4-BE49-F238E27FC236}">
              <a16:creationId xmlns:a16="http://schemas.microsoft.com/office/drawing/2014/main" xmlns="" id="{686884F4-5097-47B3-8FD5-6EBCC5963BB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658" name="Text Box 1">
          <a:extLst>
            <a:ext uri="{FF2B5EF4-FFF2-40B4-BE49-F238E27FC236}">
              <a16:creationId xmlns:a16="http://schemas.microsoft.com/office/drawing/2014/main" xmlns="" id="{EA239FD0-EB9C-4F7F-8D6C-671E7859706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659" name="Text Box 1">
          <a:extLst>
            <a:ext uri="{FF2B5EF4-FFF2-40B4-BE49-F238E27FC236}">
              <a16:creationId xmlns:a16="http://schemas.microsoft.com/office/drawing/2014/main" xmlns="" id="{465E5BB5-3847-4689-AB8F-A967F9CF253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660" name="Text Box 1">
          <a:extLst>
            <a:ext uri="{FF2B5EF4-FFF2-40B4-BE49-F238E27FC236}">
              <a16:creationId xmlns:a16="http://schemas.microsoft.com/office/drawing/2014/main" xmlns="" id="{AAC897C5-FED5-4A52-A1A6-DBCD5362A60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661" name="Text Box 1">
          <a:extLst>
            <a:ext uri="{FF2B5EF4-FFF2-40B4-BE49-F238E27FC236}">
              <a16:creationId xmlns:a16="http://schemas.microsoft.com/office/drawing/2014/main" xmlns="" id="{27137913-BF89-4B40-90C3-06ECD12FAAF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662" name="Text Box 1">
          <a:extLst>
            <a:ext uri="{FF2B5EF4-FFF2-40B4-BE49-F238E27FC236}">
              <a16:creationId xmlns:a16="http://schemas.microsoft.com/office/drawing/2014/main" xmlns="" id="{3BFCEFE6-1048-4AC1-A6A0-1F598DB4F3C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663" name="Text Box 1">
          <a:extLst>
            <a:ext uri="{FF2B5EF4-FFF2-40B4-BE49-F238E27FC236}">
              <a16:creationId xmlns:a16="http://schemas.microsoft.com/office/drawing/2014/main" xmlns="" id="{607FC862-5172-4207-8D78-A2D88EBD72B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664" name="Text Box 1">
          <a:extLst>
            <a:ext uri="{FF2B5EF4-FFF2-40B4-BE49-F238E27FC236}">
              <a16:creationId xmlns:a16="http://schemas.microsoft.com/office/drawing/2014/main" xmlns="" id="{F37F7A5B-B813-47C3-BE2A-A59CA31241B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665" name="Text Box 1">
          <a:extLst>
            <a:ext uri="{FF2B5EF4-FFF2-40B4-BE49-F238E27FC236}">
              <a16:creationId xmlns:a16="http://schemas.microsoft.com/office/drawing/2014/main" xmlns="" id="{53407796-FAB4-4943-A5EC-E137D082478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666" name="Text Box 1">
          <a:extLst>
            <a:ext uri="{FF2B5EF4-FFF2-40B4-BE49-F238E27FC236}">
              <a16:creationId xmlns:a16="http://schemas.microsoft.com/office/drawing/2014/main" xmlns="" id="{AF929AB2-103B-4B15-BE8B-0A5AC6562B2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667" name="Text Box 1">
          <a:extLst>
            <a:ext uri="{FF2B5EF4-FFF2-40B4-BE49-F238E27FC236}">
              <a16:creationId xmlns:a16="http://schemas.microsoft.com/office/drawing/2014/main" xmlns="" id="{633CC03C-CB70-4A3A-A883-DC00AD97F30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668" name="Text Box 1">
          <a:extLst>
            <a:ext uri="{FF2B5EF4-FFF2-40B4-BE49-F238E27FC236}">
              <a16:creationId xmlns:a16="http://schemas.microsoft.com/office/drawing/2014/main" xmlns="" id="{AC2CAC18-4E40-4346-A865-3FB89879C1D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669" name="Text Box 1">
          <a:extLst>
            <a:ext uri="{FF2B5EF4-FFF2-40B4-BE49-F238E27FC236}">
              <a16:creationId xmlns:a16="http://schemas.microsoft.com/office/drawing/2014/main" xmlns="" id="{82469BE4-46F2-4B61-A172-2BB661E3C54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670" name="Text Box 1">
          <a:extLst>
            <a:ext uri="{FF2B5EF4-FFF2-40B4-BE49-F238E27FC236}">
              <a16:creationId xmlns:a16="http://schemas.microsoft.com/office/drawing/2014/main" xmlns="" id="{FC016374-6E68-40ED-ABF7-C32953C4448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671" name="Text Box 1">
          <a:extLst>
            <a:ext uri="{FF2B5EF4-FFF2-40B4-BE49-F238E27FC236}">
              <a16:creationId xmlns:a16="http://schemas.microsoft.com/office/drawing/2014/main" xmlns="" id="{59E72BF9-525D-4F58-95D7-E62AFE7C26C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672" name="Text Box 1">
          <a:extLst>
            <a:ext uri="{FF2B5EF4-FFF2-40B4-BE49-F238E27FC236}">
              <a16:creationId xmlns:a16="http://schemas.microsoft.com/office/drawing/2014/main" xmlns="" id="{CA7AB1AD-1A83-4509-94B5-E0F12F0440F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673" name="Text Box 1">
          <a:extLst>
            <a:ext uri="{FF2B5EF4-FFF2-40B4-BE49-F238E27FC236}">
              <a16:creationId xmlns:a16="http://schemas.microsoft.com/office/drawing/2014/main" xmlns="" id="{FCAB4386-1492-4F6F-BCDA-C00776992A6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674" name="Text Box 1">
          <a:extLst>
            <a:ext uri="{FF2B5EF4-FFF2-40B4-BE49-F238E27FC236}">
              <a16:creationId xmlns:a16="http://schemas.microsoft.com/office/drawing/2014/main" xmlns="" id="{9ABD8E3F-6804-4A6E-9FEB-8C2ED027538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675" name="Text Box 1">
          <a:extLst>
            <a:ext uri="{FF2B5EF4-FFF2-40B4-BE49-F238E27FC236}">
              <a16:creationId xmlns:a16="http://schemas.microsoft.com/office/drawing/2014/main" xmlns="" id="{956B5873-744E-4F8D-8B27-B60A2E95623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676" name="Text Box 1">
          <a:extLst>
            <a:ext uri="{FF2B5EF4-FFF2-40B4-BE49-F238E27FC236}">
              <a16:creationId xmlns:a16="http://schemas.microsoft.com/office/drawing/2014/main" xmlns="" id="{C49C2C58-326C-4C15-B8CA-FD55EC321681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677" name="Text Box 1">
          <a:extLst>
            <a:ext uri="{FF2B5EF4-FFF2-40B4-BE49-F238E27FC236}">
              <a16:creationId xmlns:a16="http://schemas.microsoft.com/office/drawing/2014/main" xmlns="" id="{096E351A-8771-4FD5-8D80-00378207DB4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678" name="Text Box 1">
          <a:extLst>
            <a:ext uri="{FF2B5EF4-FFF2-40B4-BE49-F238E27FC236}">
              <a16:creationId xmlns:a16="http://schemas.microsoft.com/office/drawing/2014/main" xmlns="" id="{D262EC1F-D63B-4549-9102-D9DAED74250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679" name="Text Box 1">
          <a:extLst>
            <a:ext uri="{FF2B5EF4-FFF2-40B4-BE49-F238E27FC236}">
              <a16:creationId xmlns:a16="http://schemas.microsoft.com/office/drawing/2014/main" xmlns="" id="{EBD5A2E5-C703-488F-8B95-94E33F2A150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680" name="Text Box 1">
          <a:extLst>
            <a:ext uri="{FF2B5EF4-FFF2-40B4-BE49-F238E27FC236}">
              <a16:creationId xmlns:a16="http://schemas.microsoft.com/office/drawing/2014/main" xmlns="" id="{643432FF-0C05-4BA7-89AA-DA026B3232B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681" name="Text Box 1">
          <a:extLst>
            <a:ext uri="{FF2B5EF4-FFF2-40B4-BE49-F238E27FC236}">
              <a16:creationId xmlns:a16="http://schemas.microsoft.com/office/drawing/2014/main" xmlns="" id="{129DF0D0-A362-4FA0-87D3-3318A89B73D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682" name="Text Box 1">
          <a:extLst>
            <a:ext uri="{FF2B5EF4-FFF2-40B4-BE49-F238E27FC236}">
              <a16:creationId xmlns:a16="http://schemas.microsoft.com/office/drawing/2014/main" xmlns="" id="{14E93A6D-7288-4360-BD7F-646EE1E6992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683" name="Text Box 1">
          <a:extLst>
            <a:ext uri="{FF2B5EF4-FFF2-40B4-BE49-F238E27FC236}">
              <a16:creationId xmlns:a16="http://schemas.microsoft.com/office/drawing/2014/main" xmlns="" id="{3398B465-CE06-4346-B798-DAE85E180E4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684" name="Text Box 1">
          <a:extLst>
            <a:ext uri="{FF2B5EF4-FFF2-40B4-BE49-F238E27FC236}">
              <a16:creationId xmlns:a16="http://schemas.microsoft.com/office/drawing/2014/main" xmlns="" id="{B806F2E3-553D-4BE1-929F-38DFBED85E9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685" name="Text Box 1">
          <a:extLst>
            <a:ext uri="{FF2B5EF4-FFF2-40B4-BE49-F238E27FC236}">
              <a16:creationId xmlns:a16="http://schemas.microsoft.com/office/drawing/2014/main" xmlns="" id="{FC1407B8-6BC7-4CC9-BBC6-5D797D0B7E7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686" name="Text Box 1">
          <a:extLst>
            <a:ext uri="{FF2B5EF4-FFF2-40B4-BE49-F238E27FC236}">
              <a16:creationId xmlns:a16="http://schemas.microsoft.com/office/drawing/2014/main" xmlns="" id="{FBCEE230-E007-4636-BBB7-5DE8BA0C6BB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687" name="Text Box 1">
          <a:extLst>
            <a:ext uri="{FF2B5EF4-FFF2-40B4-BE49-F238E27FC236}">
              <a16:creationId xmlns:a16="http://schemas.microsoft.com/office/drawing/2014/main" xmlns="" id="{4BCD83E5-4990-457B-9527-EB8E0C018E11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688" name="Text Box 1">
          <a:extLst>
            <a:ext uri="{FF2B5EF4-FFF2-40B4-BE49-F238E27FC236}">
              <a16:creationId xmlns:a16="http://schemas.microsoft.com/office/drawing/2014/main" xmlns="" id="{0694187B-15C2-4A63-9A8B-1D5B84E94EB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689" name="Text Box 1">
          <a:extLst>
            <a:ext uri="{FF2B5EF4-FFF2-40B4-BE49-F238E27FC236}">
              <a16:creationId xmlns:a16="http://schemas.microsoft.com/office/drawing/2014/main" xmlns="" id="{47C2A763-9381-4DAC-A95A-490ADCB0C3F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690" name="Text Box 1">
          <a:extLst>
            <a:ext uri="{FF2B5EF4-FFF2-40B4-BE49-F238E27FC236}">
              <a16:creationId xmlns:a16="http://schemas.microsoft.com/office/drawing/2014/main" xmlns="" id="{9BD2D6DC-51F5-45AF-9942-22F3F215852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691" name="Text Box 1">
          <a:extLst>
            <a:ext uri="{FF2B5EF4-FFF2-40B4-BE49-F238E27FC236}">
              <a16:creationId xmlns:a16="http://schemas.microsoft.com/office/drawing/2014/main" xmlns="" id="{AA55B268-EA05-4A79-A44C-3FE9A161EF6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692" name="Text Box 1">
          <a:extLst>
            <a:ext uri="{FF2B5EF4-FFF2-40B4-BE49-F238E27FC236}">
              <a16:creationId xmlns:a16="http://schemas.microsoft.com/office/drawing/2014/main" xmlns="" id="{AB5F0562-90D9-4DF8-B383-C080A0F9917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693" name="Text Box 1">
          <a:extLst>
            <a:ext uri="{FF2B5EF4-FFF2-40B4-BE49-F238E27FC236}">
              <a16:creationId xmlns:a16="http://schemas.microsoft.com/office/drawing/2014/main" xmlns="" id="{8270DC0C-FAB3-4F6A-A3D7-DE7945E75DD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694" name="Text Box 1">
          <a:extLst>
            <a:ext uri="{FF2B5EF4-FFF2-40B4-BE49-F238E27FC236}">
              <a16:creationId xmlns:a16="http://schemas.microsoft.com/office/drawing/2014/main" xmlns="" id="{9CDFE075-A0D3-4D71-B680-48D5DA4BA28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695" name="Text Box 1">
          <a:extLst>
            <a:ext uri="{FF2B5EF4-FFF2-40B4-BE49-F238E27FC236}">
              <a16:creationId xmlns:a16="http://schemas.microsoft.com/office/drawing/2014/main" xmlns="" id="{E06AEFF8-A8C2-4769-8894-587B64C1317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696" name="Text Box 1">
          <a:extLst>
            <a:ext uri="{FF2B5EF4-FFF2-40B4-BE49-F238E27FC236}">
              <a16:creationId xmlns:a16="http://schemas.microsoft.com/office/drawing/2014/main" xmlns="" id="{BB045373-63FC-4760-91C8-83F4A2844A8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697" name="Text Box 1">
          <a:extLst>
            <a:ext uri="{FF2B5EF4-FFF2-40B4-BE49-F238E27FC236}">
              <a16:creationId xmlns:a16="http://schemas.microsoft.com/office/drawing/2014/main" xmlns="" id="{35466E55-C199-4FCB-8B74-9C1911937AB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698" name="Text Box 1">
          <a:extLst>
            <a:ext uri="{FF2B5EF4-FFF2-40B4-BE49-F238E27FC236}">
              <a16:creationId xmlns:a16="http://schemas.microsoft.com/office/drawing/2014/main" xmlns="" id="{9965961A-67AB-44AC-83FA-9D8B2CD969B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699" name="Text Box 1">
          <a:extLst>
            <a:ext uri="{FF2B5EF4-FFF2-40B4-BE49-F238E27FC236}">
              <a16:creationId xmlns:a16="http://schemas.microsoft.com/office/drawing/2014/main" xmlns="" id="{1146D489-1733-4C8C-8493-1FDA705A13E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700" name="Text Box 1">
          <a:extLst>
            <a:ext uri="{FF2B5EF4-FFF2-40B4-BE49-F238E27FC236}">
              <a16:creationId xmlns:a16="http://schemas.microsoft.com/office/drawing/2014/main" xmlns="" id="{67C4EFBE-055D-417B-AAEB-AE07B89B384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701" name="Text Box 1">
          <a:extLst>
            <a:ext uri="{FF2B5EF4-FFF2-40B4-BE49-F238E27FC236}">
              <a16:creationId xmlns:a16="http://schemas.microsoft.com/office/drawing/2014/main" xmlns="" id="{C6E05B57-DF1E-45E3-BAB8-398A7FC2F72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702" name="Text Box 1">
          <a:extLst>
            <a:ext uri="{FF2B5EF4-FFF2-40B4-BE49-F238E27FC236}">
              <a16:creationId xmlns:a16="http://schemas.microsoft.com/office/drawing/2014/main" xmlns="" id="{CD245A8A-7B9B-4691-A677-F4476C66A16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703" name="Text Box 1">
          <a:extLst>
            <a:ext uri="{FF2B5EF4-FFF2-40B4-BE49-F238E27FC236}">
              <a16:creationId xmlns:a16="http://schemas.microsoft.com/office/drawing/2014/main" xmlns="" id="{83F9FAD8-4B5C-4C7B-9FE2-DD4EA8760D6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704" name="Text Box 1">
          <a:extLst>
            <a:ext uri="{FF2B5EF4-FFF2-40B4-BE49-F238E27FC236}">
              <a16:creationId xmlns:a16="http://schemas.microsoft.com/office/drawing/2014/main" xmlns="" id="{A566C0B4-25ED-40B6-A0DC-0627E0349F1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705" name="Text Box 1">
          <a:extLst>
            <a:ext uri="{FF2B5EF4-FFF2-40B4-BE49-F238E27FC236}">
              <a16:creationId xmlns:a16="http://schemas.microsoft.com/office/drawing/2014/main" xmlns="" id="{D315D3B6-F9EE-4368-8A91-9A367C518E3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706" name="Text Box 1">
          <a:extLst>
            <a:ext uri="{FF2B5EF4-FFF2-40B4-BE49-F238E27FC236}">
              <a16:creationId xmlns:a16="http://schemas.microsoft.com/office/drawing/2014/main" xmlns="" id="{4460CD05-3E13-4171-AC38-4E66FE96C12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707" name="Text Box 1">
          <a:extLst>
            <a:ext uri="{FF2B5EF4-FFF2-40B4-BE49-F238E27FC236}">
              <a16:creationId xmlns:a16="http://schemas.microsoft.com/office/drawing/2014/main" xmlns="" id="{85149343-0DA3-4A5B-AE7D-BFDD3A5FD65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708" name="Text Box 1">
          <a:extLst>
            <a:ext uri="{FF2B5EF4-FFF2-40B4-BE49-F238E27FC236}">
              <a16:creationId xmlns:a16="http://schemas.microsoft.com/office/drawing/2014/main" xmlns="" id="{698F6339-5919-4089-A875-AF4D9CC9520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709" name="Text Box 1">
          <a:extLst>
            <a:ext uri="{FF2B5EF4-FFF2-40B4-BE49-F238E27FC236}">
              <a16:creationId xmlns:a16="http://schemas.microsoft.com/office/drawing/2014/main" xmlns="" id="{8F4C7D07-4E98-4020-8742-64A8D4A25D2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710" name="Text Box 1">
          <a:extLst>
            <a:ext uri="{FF2B5EF4-FFF2-40B4-BE49-F238E27FC236}">
              <a16:creationId xmlns:a16="http://schemas.microsoft.com/office/drawing/2014/main" xmlns="" id="{E5919FBD-C008-411B-9FDB-0025F7E06A6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711" name="Text Box 1">
          <a:extLst>
            <a:ext uri="{FF2B5EF4-FFF2-40B4-BE49-F238E27FC236}">
              <a16:creationId xmlns:a16="http://schemas.microsoft.com/office/drawing/2014/main" xmlns="" id="{4D87E869-AF81-408E-A824-D637C88CCA6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712" name="Text Box 1">
          <a:extLst>
            <a:ext uri="{FF2B5EF4-FFF2-40B4-BE49-F238E27FC236}">
              <a16:creationId xmlns:a16="http://schemas.microsoft.com/office/drawing/2014/main" xmlns="" id="{BB4647EE-DECF-4019-8786-A233A658B5B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713" name="Text Box 1">
          <a:extLst>
            <a:ext uri="{FF2B5EF4-FFF2-40B4-BE49-F238E27FC236}">
              <a16:creationId xmlns:a16="http://schemas.microsoft.com/office/drawing/2014/main" xmlns="" id="{E36E1CC9-00A5-4203-B861-B8D4DE4CF27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714" name="Text Box 1">
          <a:extLst>
            <a:ext uri="{FF2B5EF4-FFF2-40B4-BE49-F238E27FC236}">
              <a16:creationId xmlns:a16="http://schemas.microsoft.com/office/drawing/2014/main" xmlns="" id="{3214C573-0757-470C-A64D-EFA0C392C491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715" name="Text Box 1">
          <a:extLst>
            <a:ext uri="{FF2B5EF4-FFF2-40B4-BE49-F238E27FC236}">
              <a16:creationId xmlns:a16="http://schemas.microsoft.com/office/drawing/2014/main" xmlns="" id="{10D17505-EAD7-4377-BEDC-12814BC4AF7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716" name="Text Box 1">
          <a:extLst>
            <a:ext uri="{FF2B5EF4-FFF2-40B4-BE49-F238E27FC236}">
              <a16:creationId xmlns:a16="http://schemas.microsoft.com/office/drawing/2014/main" xmlns="" id="{9A0969BC-81AF-42F9-A166-E54D55CE482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717" name="Text Box 1">
          <a:extLst>
            <a:ext uri="{FF2B5EF4-FFF2-40B4-BE49-F238E27FC236}">
              <a16:creationId xmlns:a16="http://schemas.microsoft.com/office/drawing/2014/main" xmlns="" id="{8B841DA5-D05D-4445-9073-D5F5B4C4B6A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718" name="Text Box 1">
          <a:extLst>
            <a:ext uri="{FF2B5EF4-FFF2-40B4-BE49-F238E27FC236}">
              <a16:creationId xmlns:a16="http://schemas.microsoft.com/office/drawing/2014/main" xmlns="" id="{F9E21B28-6858-49FC-AC9D-EC78B3BE84A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719" name="Text Box 1">
          <a:extLst>
            <a:ext uri="{FF2B5EF4-FFF2-40B4-BE49-F238E27FC236}">
              <a16:creationId xmlns:a16="http://schemas.microsoft.com/office/drawing/2014/main" xmlns="" id="{94C89035-6314-4672-9139-93CEA1E9FC0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720" name="Text Box 1">
          <a:extLst>
            <a:ext uri="{FF2B5EF4-FFF2-40B4-BE49-F238E27FC236}">
              <a16:creationId xmlns:a16="http://schemas.microsoft.com/office/drawing/2014/main" xmlns="" id="{670CAC58-E82B-4CE9-A1BA-F674C1C2C50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721" name="Text Box 1">
          <a:extLst>
            <a:ext uri="{FF2B5EF4-FFF2-40B4-BE49-F238E27FC236}">
              <a16:creationId xmlns:a16="http://schemas.microsoft.com/office/drawing/2014/main" xmlns="" id="{A46EAB1D-CF04-468E-9132-7184D56B9D7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722" name="Text Box 1">
          <a:extLst>
            <a:ext uri="{FF2B5EF4-FFF2-40B4-BE49-F238E27FC236}">
              <a16:creationId xmlns:a16="http://schemas.microsoft.com/office/drawing/2014/main" xmlns="" id="{DDFE7A9A-CC73-4307-9B7D-11F57974543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723" name="Text Box 1">
          <a:extLst>
            <a:ext uri="{FF2B5EF4-FFF2-40B4-BE49-F238E27FC236}">
              <a16:creationId xmlns:a16="http://schemas.microsoft.com/office/drawing/2014/main" xmlns="" id="{71A1152E-97CD-4D8F-8248-A8B205AEE9D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724" name="Text Box 1">
          <a:extLst>
            <a:ext uri="{FF2B5EF4-FFF2-40B4-BE49-F238E27FC236}">
              <a16:creationId xmlns:a16="http://schemas.microsoft.com/office/drawing/2014/main" xmlns="" id="{1BE75A40-F820-44D6-BE34-4B7A9E3AC7C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725" name="Text Box 1">
          <a:extLst>
            <a:ext uri="{FF2B5EF4-FFF2-40B4-BE49-F238E27FC236}">
              <a16:creationId xmlns:a16="http://schemas.microsoft.com/office/drawing/2014/main" xmlns="" id="{43C91186-A71B-4986-9889-28DE8E464AE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726" name="Text Box 1">
          <a:extLst>
            <a:ext uri="{FF2B5EF4-FFF2-40B4-BE49-F238E27FC236}">
              <a16:creationId xmlns:a16="http://schemas.microsoft.com/office/drawing/2014/main" xmlns="" id="{4DFBA013-3AA6-4501-9B4E-08117094222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727" name="Text Box 1">
          <a:extLst>
            <a:ext uri="{FF2B5EF4-FFF2-40B4-BE49-F238E27FC236}">
              <a16:creationId xmlns:a16="http://schemas.microsoft.com/office/drawing/2014/main" xmlns="" id="{A67A35E9-4819-4FE2-B21D-09573CD41EA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728" name="Text Box 1">
          <a:extLst>
            <a:ext uri="{FF2B5EF4-FFF2-40B4-BE49-F238E27FC236}">
              <a16:creationId xmlns:a16="http://schemas.microsoft.com/office/drawing/2014/main" xmlns="" id="{5E23E0C4-953E-4B74-B41A-BC8B824F23E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729" name="Text Box 1">
          <a:extLst>
            <a:ext uri="{FF2B5EF4-FFF2-40B4-BE49-F238E27FC236}">
              <a16:creationId xmlns:a16="http://schemas.microsoft.com/office/drawing/2014/main" xmlns="" id="{F6BA2331-470D-4D96-966B-9ACCFF209BF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730" name="Text Box 1">
          <a:extLst>
            <a:ext uri="{FF2B5EF4-FFF2-40B4-BE49-F238E27FC236}">
              <a16:creationId xmlns:a16="http://schemas.microsoft.com/office/drawing/2014/main" xmlns="" id="{7512E5BC-2D2C-4A47-BF5E-EB41105A6301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731" name="Text Box 1">
          <a:extLst>
            <a:ext uri="{FF2B5EF4-FFF2-40B4-BE49-F238E27FC236}">
              <a16:creationId xmlns:a16="http://schemas.microsoft.com/office/drawing/2014/main" xmlns="" id="{0CC0F50F-3B5C-47CC-8CED-47B72BEEB91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732" name="Text Box 1">
          <a:extLst>
            <a:ext uri="{FF2B5EF4-FFF2-40B4-BE49-F238E27FC236}">
              <a16:creationId xmlns:a16="http://schemas.microsoft.com/office/drawing/2014/main" xmlns="" id="{AFE043A4-47F6-41D9-9DCB-138EB7408EE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733" name="Text Box 1">
          <a:extLst>
            <a:ext uri="{FF2B5EF4-FFF2-40B4-BE49-F238E27FC236}">
              <a16:creationId xmlns:a16="http://schemas.microsoft.com/office/drawing/2014/main" xmlns="" id="{94CFFDED-242B-4325-8033-7A209FE6A44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734" name="Text Box 1">
          <a:extLst>
            <a:ext uri="{FF2B5EF4-FFF2-40B4-BE49-F238E27FC236}">
              <a16:creationId xmlns:a16="http://schemas.microsoft.com/office/drawing/2014/main" xmlns="" id="{ADC07F56-170F-487A-90AD-4195806E68E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735" name="Text Box 1">
          <a:extLst>
            <a:ext uri="{FF2B5EF4-FFF2-40B4-BE49-F238E27FC236}">
              <a16:creationId xmlns:a16="http://schemas.microsoft.com/office/drawing/2014/main" xmlns="" id="{C4C27FF7-266C-4AE7-9BAA-EACF211E409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736" name="Text Box 1">
          <a:extLst>
            <a:ext uri="{FF2B5EF4-FFF2-40B4-BE49-F238E27FC236}">
              <a16:creationId xmlns:a16="http://schemas.microsoft.com/office/drawing/2014/main" xmlns="" id="{0B0F22C7-CBA1-4668-804F-3991C54863A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737" name="Text Box 1">
          <a:extLst>
            <a:ext uri="{FF2B5EF4-FFF2-40B4-BE49-F238E27FC236}">
              <a16:creationId xmlns:a16="http://schemas.microsoft.com/office/drawing/2014/main" xmlns="" id="{59E236F5-7A90-49D1-AF96-90FBFCCF854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738" name="Text Box 1">
          <a:extLst>
            <a:ext uri="{FF2B5EF4-FFF2-40B4-BE49-F238E27FC236}">
              <a16:creationId xmlns:a16="http://schemas.microsoft.com/office/drawing/2014/main" xmlns="" id="{55CB07DA-D058-432F-9EF5-AB6EC3ED866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739" name="Text Box 1">
          <a:extLst>
            <a:ext uri="{FF2B5EF4-FFF2-40B4-BE49-F238E27FC236}">
              <a16:creationId xmlns:a16="http://schemas.microsoft.com/office/drawing/2014/main" xmlns="" id="{16DD8A3B-C5D1-451D-802A-9F55F3D42CE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740" name="Text Box 1">
          <a:extLst>
            <a:ext uri="{FF2B5EF4-FFF2-40B4-BE49-F238E27FC236}">
              <a16:creationId xmlns:a16="http://schemas.microsoft.com/office/drawing/2014/main" xmlns="" id="{E37485C6-6821-404D-A851-60CEE245EC8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741" name="Text Box 1">
          <a:extLst>
            <a:ext uri="{FF2B5EF4-FFF2-40B4-BE49-F238E27FC236}">
              <a16:creationId xmlns:a16="http://schemas.microsoft.com/office/drawing/2014/main" xmlns="" id="{A751BC39-4116-4395-A9AD-166F4E5E0B0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742" name="Text Box 1">
          <a:extLst>
            <a:ext uri="{FF2B5EF4-FFF2-40B4-BE49-F238E27FC236}">
              <a16:creationId xmlns:a16="http://schemas.microsoft.com/office/drawing/2014/main" xmlns="" id="{1EAF9B1B-49DB-4550-B33E-EB963992888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743" name="Text Box 1">
          <a:extLst>
            <a:ext uri="{FF2B5EF4-FFF2-40B4-BE49-F238E27FC236}">
              <a16:creationId xmlns:a16="http://schemas.microsoft.com/office/drawing/2014/main" xmlns="" id="{7C51803C-2454-4D0C-BC42-81F0152F806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744" name="Text Box 1">
          <a:extLst>
            <a:ext uri="{FF2B5EF4-FFF2-40B4-BE49-F238E27FC236}">
              <a16:creationId xmlns:a16="http://schemas.microsoft.com/office/drawing/2014/main" xmlns="" id="{3FA1F60C-7E40-4427-9AEE-62D48B6D89B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745" name="Text Box 1">
          <a:extLst>
            <a:ext uri="{FF2B5EF4-FFF2-40B4-BE49-F238E27FC236}">
              <a16:creationId xmlns:a16="http://schemas.microsoft.com/office/drawing/2014/main" xmlns="" id="{817F5C2B-C070-4C1B-B13D-EC589CBB061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746" name="Text Box 1">
          <a:extLst>
            <a:ext uri="{FF2B5EF4-FFF2-40B4-BE49-F238E27FC236}">
              <a16:creationId xmlns:a16="http://schemas.microsoft.com/office/drawing/2014/main" xmlns="" id="{0F0C4751-878C-4A9A-808A-5156797CFCC1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747" name="Text Box 1">
          <a:extLst>
            <a:ext uri="{FF2B5EF4-FFF2-40B4-BE49-F238E27FC236}">
              <a16:creationId xmlns:a16="http://schemas.microsoft.com/office/drawing/2014/main" xmlns="" id="{2E910C80-1541-4435-AA8A-41988FC3A1C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748" name="Text Box 1">
          <a:extLst>
            <a:ext uri="{FF2B5EF4-FFF2-40B4-BE49-F238E27FC236}">
              <a16:creationId xmlns:a16="http://schemas.microsoft.com/office/drawing/2014/main" xmlns="" id="{B402CA55-BBB1-4F35-ADB7-BFA1C4240E9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749" name="Text Box 1">
          <a:extLst>
            <a:ext uri="{FF2B5EF4-FFF2-40B4-BE49-F238E27FC236}">
              <a16:creationId xmlns:a16="http://schemas.microsoft.com/office/drawing/2014/main" xmlns="" id="{7A0C9EAC-D8D0-422E-8539-83B65D41454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750" name="Text Box 1">
          <a:extLst>
            <a:ext uri="{FF2B5EF4-FFF2-40B4-BE49-F238E27FC236}">
              <a16:creationId xmlns:a16="http://schemas.microsoft.com/office/drawing/2014/main" xmlns="" id="{B4253BD6-0BE2-4A73-BB23-8A1003F37E2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751" name="Text Box 1">
          <a:extLst>
            <a:ext uri="{FF2B5EF4-FFF2-40B4-BE49-F238E27FC236}">
              <a16:creationId xmlns:a16="http://schemas.microsoft.com/office/drawing/2014/main" xmlns="" id="{71771342-2072-42CA-B455-77E18ED8C0B1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752" name="Text Box 1">
          <a:extLst>
            <a:ext uri="{FF2B5EF4-FFF2-40B4-BE49-F238E27FC236}">
              <a16:creationId xmlns:a16="http://schemas.microsoft.com/office/drawing/2014/main" xmlns="" id="{7015FD8E-36B2-4635-829A-63F0F95105A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753" name="Text Box 1">
          <a:extLst>
            <a:ext uri="{FF2B5EF4-FFF2-40B4-BE49-F238E27FC236}">
              <a16:creationId xmlns:a16="http://schemas.microsoft.com/office/drawing/2014/main" xmlns="" id="{42FA46E3-B833-40D8-9B4A-4A041270466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754" name="Text Box 1">
          <a:extLst>
            <a:ext uri="{FF2B5EF4-FFF2-40B4-BE49-F238E27FC236}">
              <a16:creationId xmlns:a16="http://schemas.microsoft.com/office/drawing/2014/main" xmlns="" id="{3191C575-43B9-45D0-89D3-45A0106C404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755" name="Text Box 1">
          <a:extLst>
            <a:ext uri="{FF2B5EF4-FFF2-40B4-BE49-F238E27FC236}">
              <a16:creationId xmlns:a16="http://schemas.microsoft.com/office/drawing/2014/main" xmlns="" id="{469D801E-F4B1-4F9C-A7EC-DEB21E6F6C3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756" name="Text Box 1">
          <a:extLst>
            <a:ext uri="{FF2B5EF4-FFF2-40B4-BE49-F238E27FC236}">
              <a16:creationId xmlns:a16="http://schemas.microsoft.com/office/drawing/2014/main" xmlns="" id="{9C995559-CF42-452F-B8EE-1F3FF32A9AB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757" name="Text Box 1">
          <a:extLst>
            <a:ext uri="{FF2B5EF4-FFF2-40B4-BE49-F238E27FC236}">
              <a16:creationId xmlns:a16="http://schemas.microsoft.com/office/drawing/2014/main" xmlns="" id="{AF15579E-6461-4DA1-90C6-AB8BDDFB8F41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758" name="Text Box 1">
          <a:extLst>
            <a:ext uri="{FF2B5EF4-FFF2-40B4-BE49-F238E27FC236}">
              <a16:creationId xmlns:a16="http://schemas.microsoft.com/office/drawing/2014/main" xmlns="" id="{F67F3C51-D5FE-458E-9414-A20BBC90A7B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759" name="Text Box 1">
          <a:extLst>
            <a:ext uri="{FF2B5EF4-FFF2-40B4-BE49-F238E27FC236}">
              <a16:creationId xmlns:a16="http://schemas.microsoft.com/office/drawing/2014/main" xmlns="" id="{F60A1CB0-3EA0-4C10-9202-7B558273F3B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760" name="Text Box 1">
          <a:extLst>
            <a:ext uri="{FF2B5EF4-FFF2-40B4-BE49-F238E27FC236}">
              <a16:creationId xmlns:a16="http://schemas.microsoft.com/office/drawing/2014/main" xmlns="" id="{B072124F-D1AC-4395-9090-E3137B81822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761" name="Text Box 1">
          <a:extLst>
            <a:ext uri="{FF2B5EF4-FFF2-40B4-BE49-F238E27FC236}">
              <a16:creationId xmlns:a16="http://schemas.microsoft.com/office/drawing/2014/main" xmlns="" id="{E96999FF-C221-441A-86C4-5B3AAFD9BB9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762" name="Text Box 1">
          <a:extLst>
            <a:ext uri="{FF2B5EF4-FFF2-40B4-BE49-F238E27FC236}">
              <a16:creationId xmlns:a16="http://schemas.microsoft.com/office/drawing/2014/main" xmlns="" id="{5256C34B-00BD-4781-B805-0040BC9D8A7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763" name="Text Box 1">
          <a:extLst>
            <a:ext uri="{FF2B5EF4-FFF2-40B4-BE49-F238E27FC236}">
              <a16:creationId xmlns:a16="http://schemas.microsoft.com/office/drawing/2014/main" xmlns="" id="{328570B6-3302-41FB-A18F-65C6EF23559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764" name="Text Box 1">
          <a:extLst>
            <a:ext uri="{FF2B5EF4-FFF2-40B4-BE49-F238E27FC236}">
              <a16:creationId xmlns:a16="http://schemas.microsoft.com/office/drawing/2014/main" xmlns="" id="{7615964E-1CF9-42BA-AC3E-48E0011D3D4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765" name="Text Box 1">
          <a:extLst>
            <a:ext uri="{FF2B5EF4-FFF2-40B4-BE49-F238E27FC236}">
              <a16:creationId xmlns:a16="http://schemas.microsoft.com/office/drawing/2014/main" xmlns="" id="{B1FD6266-45BB-49F7-AF39-9C3D1AC7EC5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766" name="Text Box 1">
          <a:extLst>
            <a:ext uri="{FF2B5EF4-FFF2-40B4-BE49-F238E27FC236}">
              <a16:creationId xmlns:a16="http://schemas.microsoft.com/office/drawing/2014/main" xmlns="" id="{1567B6B7-9CD9-4CA8-ADBC-CA3E6466292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767" name="Text Box 1">
          <a:extLst>
            <a:ext uri="{FF2B5EF4-FFF2-40B4-BE49-F238E27FC236}">
              <a16:creationId xmlns:a16="http://schemas.microsoft.com/office/drawing/2014/main" xmlns="" id="{124D4027-C1F3-4DA2-9303-85409371DEF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768" name="Text Box 1">
          <a:extLst>
            <a:ext uri="{FF2B5EF4-FFF2-40B4-BE49-F238E27FC236}">
              <a16:creationId xmlns:a16="http://schemas.microsoft.com/office/drawing/2014/main" xmlns="" id="{EE72B476-3508-4CE3-B052-A96B500D97F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769" name="Text Box 1">
          <a:extLst>
            <a:ext uri="{FF2B5EF4-FFF2-40B4-BE49-F238E27FC236}">
              <a16:creationId xmlns:a16="http://schemas.microsoft.com/office/drawing/2014/main" xmlns="" id="{9E05B294-4E1D-4080-8CB3-F72B37BB967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770" name="Text Box 1">
          <a:extLst>
            <a:ext uri="{FF2B5EF4-FFF2-40B4-BE49-F238E27FC236}">
              <a16:creationId xmlns:a16="http://schemas.microsoft.com/office/drawing/2014/main" xmlns="" id="{22171D05-A0CA-458A-9B9B-C315420571F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771" name="Text Box 1">
          <a:extLst>
            <a:ext uri="{FF2B5EF4-FFF2-40B4-BE49-F238E27FC236}">
              <a16:creationId xmlns:a16="http://schemas.microsoft.com/office/drawing/2014/main" xmlns="" id="{3CC746E8-B4E7-4506-9F37-A968418B801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772" name="Text Box 1">
          <a:extLst>
            <a:ext uri="{FF2B5EF4-FFF2-40B4-BE49-F238E27FC236}">
              <a16:creationId xmlns:a16="http://schemas.microsoft.com/office/drawing/2014/main" xmlns="" id="{951F7B42-4A1A-4B03-85D4-BF81EEA0886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773" name="Text Box 1">
          <a:extLst>
            <a:ext uri="{FF2B5EF4-FFF2-40B4-BE49-F238E27FC236}">
              <a16:creationId xmlns:a16="http://schemas.microsoft.com/office/drawing/2014/main" xmlns="" id="{9E355918-F911-4E1E-A405-C618C7B66FC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774" name="Text Box 1">
          <a:extLst>
            <a:ext uri="{FF2B5EF4-FFF2-40B4-BE49-F238E27FC236}">
              <a16:creationId xmlns:a16="http://schemas.microsoft.com/office/drawing/2014/main" xmlns="" id="{339E776E-7583-4A88-9FA1-4A60E8D00E7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775" name="Text Box 1">
          <a:extLst>
            <a:ext uri="{FF2B5EF4-FFF2-40B4-BE49-F238E27FC236}">
              <a16:creationId xmlns:a16="http://schemas.microsoft.com/office/drawing/2014/main" xmlns="" id="{2BBF7060-3400-4021-84A1-6031142D4EF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776" name="Text Box 1">
          <a:extLst>
            <a:ext uri="{FF2B5EF4-FFF2-40B4-BE49-F238E27FC236}">
              <a16:creationId xmlns:a16="http://schemas.microsoft.com/office/drawing/2014/main" xmlns="" id="{E35BBF72-2050-4E71-961E-810D317552D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777" name="Text Box 1">
          <a:extLst>
            <a:ext uri="{FF2B5EF4-FFF2-40B4-BE49-F238E27FC236}">
              <a16:creationId xmlns:a16="http://schemas.microsoft.com/office/drawing/2014/main" xmlns="" id="{8E3853B8-9ECF-48A8-8EE7-CFCC02EB9B9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778" name="Text Box 1">
          <a:extLst>
            <a:ext uri="{FF2B5EF4-FFF2-40B4-BE49-F238E27FC236}">
              <a16:creationId xmlns:a16="http://schemas.microsoft.com/office/drawing/2014/main" xmlns="" id="{4BA97DB9-A025-46FE-A6E7-A152DCDCF5C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779" name="Text Box 1">
          <a:extLst>
            <a:ext uri="{FF2B5EF4-FFF2-40B4-BE49-F238E27FC236}">
              <a16:creationId xmlns:a16="http://schemas.microsoft.com/office/drawing/2014/main" xmlns="" id="{90B0823D-1EAB-4777-A791-0ACD657F33E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780" name="Text Box 1">
          <a:extLst>
            <a:ext uri="{FF2B5EF4-FFF2-40B4-BE49-F238E27FC236}">
              <a16:creationId xmlns:a16="http://schemas.microsoft.com/office/drawing/2014/main" xmlns="" id="{E78970BE-271C-4F33-B0A9-5C4FD2A9294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781" name="Text Box 1">
          <a:extLst>
            <a:ext uri="{FF2B5EF4-FFF2-40B4-BE49-F238E27FC236}">
              <a16:creationId xmlns:a16="http://schemas.microsoft.com/office/drawing/2014/main" xmlns="" id="{29311B65-2A11-40B0-B30E-465165C3DC8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782" name="Text Box 1">
          <a:extLst>
            <a:ext uri="{FF2B5EF4-FFF2-40B4-BE49-F238E27FC236}">
              <a16:creationId xmlns:a16="http://schemas.microsoft.com/office/drawing/2014/main" xmlns="" id="{5667271F-6144-44FD-AAE6-D08B7177F9F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783" name="Text Box 1">
          <a:extLst>
            <a:ext uri="{FF2B5EF4-FFF2-40B4-BE49-F238E27FC236}">
              <a16:creationId xmlns:a16="http://schemas.microsoft.com/office/drawing/2014/main" xmlns="" id="{3D970978-D5C5-4B88-A242-776CED2F29B1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784" name="Text Box 1">
          <a:extLst>
            <a:ext uri="{FF2B5EF4-FFF2-40B4-BE49-F238E27FC236}">
              <a16:creationId xmlns:a16="http://schemas.microsoft.com/office/drawing/2014/main" xmlns="" id="{639F5837-3534-458F-91F4-E6372A14B3B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785" name="Text Box 1">
          <a:extLst>
            <a:ext uri="{FF2B5EF4-FFF2-40B4-BE49-F238E27FC236}">
              <a16:creationId xmlns:a16="http://schemas.microsoft.com/office/drawing/2014/main" xmlns="" id="{9B0328A1-032C-4E6F-BAA2-B09564AC907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786" name="Text Box 1">
          <a:extLst>
            <a:ext uri="{FF2B5EF4-FFF2-40B4-BE49-F238E27FC236}">
              <a16:creationId xmlns:a16="http://schemas.microsoft.com/office/drawing/2014/main" xmlns="" id="{DCD73DE6-4D6B-4827-9D26-D7FC5FFC083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787" name="Text Box 1">
          <a:extLst>
            <a:ext uri="{FF2B5EF4-FFF2-40B4-BE49-F238E27FC236}">
              <a16:creationId xmlns:a16="http://schemas.microsoft.com/office/drawing/2014/main" xmlns="" id="{5F5A7EB3-DBA5-4CC0-8D9E-F62BF917B84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788" name="Text Box 1">
          <a:extLst>
            <a:ext uri="{FF2B5EF4-FFF2-40B4-BE49-F238E27FC236}">
              <a16:creationId xmlns:a16="http://schemas.microsoft.com/office/drawing/2014/main" xmlns="" id="{EE6831D1-F36E-48A7-AB99-1FC3FD3CD08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789" name="Text Box 1">
          <a:extLst>
            <a:ext uri="{FF2B5EF4-FFF2-40B4-BE49-F238E27FC236}">
              <a16:creationId xmlns:a16="http://schemas.microsoft.com/office/drawing/2014/main" xmlns="" id="{0767C9E2-475D-4267-BEE4-7E00021095C1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790" name="Text Box 1">
          <a:extLst>
            <a:ext uri="{FF2B5EF4-FFF2-40B4-BE49-F238E27FC236}">
              <a16:creationId xmlns:a16="http://schemas.microsoft.com/office/drawing/2014/main" xmlns="" id="{58556F54-91B8-4959-B977-54784BB7562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791" name="Text Box 1">
          <a:extLst>
            <a:ext uri="{FF2B5EF4-FFF2-40B4-BE49-F238E27FC236}">
              <a16:creationId xmlns:a16="http://schemas.microsoft.com/office/drawing/2014/main" xmlns="" id="{BE82CE81-6BF0-47FF-99E7-955D8AB77DF1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792" name="Text Box 1">
          <a:extLst>
            <a:ext uri="{FF2B5EF4-FFF2-40B4-BE49-F238E27FC236}">
              <a16:creationId xmlns:a16="http://schemas.microsoft.com/office/drawing/2014/main" xmlns="" id="{2F6992BF-273A-4267-9F9D-0FC97401F46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793" name="Text Box 1">
          <a:extLst>
            <a:ext uri="{FF2B5EF4-FFF2-40B4-BE49-F238E27FC236}">
              <a16:creationId xmlns:a16="http://schemas.microsoft.com/office/drawing/2014/main" xmlns="" id="{9D977CEC-8D12-4D98-A5B3-7F54D0CA039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794" name="Text Box 1">
          <a:extLst>
            <a:ext uri="{FF2B5EF4-FFF2-40B4-BE49-F238E27FC236}">
              <a16:creationId xmlns:a16="http://schemas.microsoft.com/office/drawing/2014/main" xmlns="" id="{C52D0FE6-FE19-45C4-AE67-FA5415E389D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795" name="Text Box 1">
          <a:extLst>
            <a:ext uri="{FF2B5EF4-FFF2-40B4-BE49-F238E27FC236}">
              <a16:creationId xmlns:a16="http://schemas.microsoft.com/office/drawing/2014/main" xmlns="" id="{F084EF2C-56D2-4663-ACAB-3F77DF17350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796" name="Text Box 1">
          <a:extLst>
            <a:ext uri="{FF2B5EF4-FFF2-40B4-BE49-F238E27FC236}">
              <a16:creationId xmlns:a16="http://schemas.microsoft.com/office/drawing/2014/main" xmlns="" id="{1818C84E-2F6A-4F1F-B2B6-8224E609292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797" name="Text Box 1">
          <a:extLst>
            <a:ext uri="{FF2B5EF4-FFF2-40B4-BE49-F238E27FC236}">
              <a16:creationId xmlns:a16="http://schemas.microsoft.com/office/drawing/2014/main" xmlns="" id="{CE48EEB7-46F7-4AB6-AAE4-D4361C6CC5E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798" name="Text Box 1">
          <a:extLst>
            <a:ext uri="{FF2B5EF4-FFF2-40B4-BE49-F238E27FC236}">
              <a16:creationId xmlns:a16="http://schemas.microsoft.com/office/drawing/2014/main" xmlns="" id="{239E1CDA-A6E2-46C5-9048-6CE4A87A615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799" name="Text Box 1">
          <a:extLst>
            <a:ext uri="{FF2B5EF4-FFF2-40B4-BE49-F238E27FC236}">
              <a16:creationId xmlns:a16="http://schemas.microsoft.com/office/drawing/2014/main" xmlns="" id="{B2F28533-7CAE-4412-8DEF-77D4F84BCC5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800" name="Text Box 1">
          <a:extLst>
            <a:ext uri="{FF2B5EF4-FFF2-40B4-BE49-F238E27FC236}">
              <a16:creationId xmlns:a16="http://schemas.microsoft.com/office/drawing/2014/main" xmlns="" id="{3E17F485-7B89-470D-8AED-2B48217D1FE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801" name="Text Box 1">
          <a:extLst>
            <a:ext uri="{FF2B5EF4-FFF2-40B4-BE49-F238E27FC236}">
              <a16:creationId xmlns:a16="http://schemas.microsoft.com/office/drawing/2014/main" xmlns="" id="{E7106BFA-C38B-47D4-8869-13CCAA91750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802" name="Text Box 1">
          <a:extLst>
            <a:ext uri="{FF2B5EF4-FFF2-40B4-BE49-F238E27FC236}">
              <a16:creationId xmlns:a16="http://schemas.microsoft.com/office/drawing/2014/main" xmlns="" id="{ADE19F35-2722-46F4-8052-EDDADE5209C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803" name="Text Box 1">
          <a:extLst>
            <a:ext uri="{FF2B5EF4-FFF2-40B4-BE49-F238E27FC236}">
              <a16:creationId xmlns:a16="http://schemas.microsoft.com/office/drawing/2014/main" xmlns="" id="{2D3ECDEE-3B4B-4EB6-94D1-FA700EAE2C21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804" name="Text Box 1">
          <a:extLst>
            <a:ext uri="{FF2B5EF4-FFF2-40B4-BE49-F238E27FC236}">
              <a16:creationId xmlns:a16="http://schemas.microsoft.com/office/drawing/2014/main" xmlns="" id="{22910F99-1347-43E3-A928-9874BD11EDE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805" name="Text Box 1">
          <a:extLst>
            <a:ext uri="{FF2B5EF4-FFF2-40B4-BE49-F238E27FC236}">
              <a16:creationId xmlns:a16="http://schemas.microsoft.com/office/drawing/2014/main" xmlns="" id="{7F0E6BC4-BFD4-4C16-BD23-E4AEB672FB0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806" name="Text Box 1">
          <a:extLst>
            <a:ext uri="{FF2B5EF4-FFF2-40B4-BE49-F238E27FC236}">
              <a16:creationId xmlns:a16="http://schemas.microsoft.com/office/drawing/2014/main" xmlns="" id="{C551A478-9328-4D18-A5BC-57023069D14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807" name="Text Box 1">
          <a:extLst>
            <a:ext uri="{FF2B5EF4-FFF2-40B4-BE49-F238E27FC236}">
              <a16:creationId xmlns:a16="http://schemas.microsoft.com/office/drawing/2014/main" xmlns="" id="{07056308-CCAF-40F0-AD78-7A7DA992E8A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808" name="Text Box 1">
          <a:extLst>
            <a:ext uri="{FF2B5EF4-FFF2-40B4-BE49-F238E27FC236}">
              <a16:creationId xmlns:a16="http://schemas.microsoft.com/office/drawing/2014/main" xmlns="" id="{1A391942-DB45-4583-B30E-B2E06A8FABA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809" name="Text Box 1">
          <a:extLst>
            <a:ext uri="{FF2B5EF4-FFF2-40B4-BE49-F238E27FC236}">
              <a16:creationId xmlns:a16="http://schemas.microsoft.com/office/drawing/2014/main" xmlns="" id="{E9FBD175-74B1-4283-8585-3CEE2FE91EF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810" name="Text Box 1">
          <a:extLst>
            <a:ext uri="{FF2B5EF4-FFF2-40B4-BE49-F238E27FC236}">
              <a16:creationId xmlns:a16="http://schemas.microsoft.com/office/drawing/2014/main" xmlns="" id="{0A7D4E78-5960-4DA3-AA69-690F6630D39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811" name="Text Box 1">
          <a:extLst>
            <a:ext uri="{FF2B5EF4-FFF2-40B4-BE49-F238E27FC236}">
              <a16:creationId xmlns:a16="http://schemas.microsoft.com/office/drawing/2014/main" xmlns="" id="{0DE9F6B4-9B24-4F74-AB76-9214C167340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812" name="Text Box 1">
          <a:extLst>
            <a:ext uri="{FF2B5EF4-FFF2-40B4-BE49-F238E27FC236}">
              <a16:creationId xmlns:a16="http://schemas.microsoft.com/office/drawing/2014/main" xmlns="" id="{75B940A0-47C0-4758-B75F-2533608D43A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813" name="Text Box 1">
          <a:extLst>
            <a:ext uri="{FF2B5EF4-FFF2-40B4-BE49-F238E27FC236}">
              <a16:creationId xmlns:a16="http://schemas.microsoft.com/office/drawing/2014/main" xmlns="" id="{119B0DF1-763F-487F-8FAE-88AD4779AF1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814" name="Text Box 1">
          <a:extLst>
            <a:ext uri="{FF2B5EF4-FFF2-40B4-BE49-F238E27FC236}">
              <a16:creationId xmlns:a16="http://schemas.microsoft.com/office/drawing/2014/main" xmlns="" id="{80C76490-F1CF-47F9-A2DF-8B155ABC348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815" name="Text Box 1">
          <a:extLst>
            <a:ext uri="{FF2B5EF4-FFF2-40B4-BE49-F238E27FC236}">
              <a16:creationId xmlns:a16="http://schemas.microsoft.com/office/drawing/2014/main" xmlns="" id="{3D3FB6AF-5B70-4BCA-B066-5D11511A493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816" name="Text Box 1">
          <a:extLst>
            <a:ext uri="{FF2B5EF4-FFF2-40B4-BE49-F238E27FC236}">
              <a16:creationId xmlns:a16="http://schemas.microsoft.com/office/drawing/2014/main" xmlns="" id="{F6D5095C-DAFF-4AC1-A695-FF23437EA9C1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817" name="Text Box 1">
          <a:extLst>
            <a:ext uri="{FF2B5EF4-FFF2-40B4-BE49-F238E27FC236}">
              <a16:creationId xmlns:a16="http://schemas.microsoft.com/office/drawing/2014/main" xmlns="" id="{938D1112-7189-4B7A-9D6C-A3CD3614B821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818" name="Text Box 1">
          <a:extLst>
            <a:ext uri="{FF2B5EF4-FFF2-40B4-BE49-F238E27FC236}">
              <a16:creationId xmlns:a16="http://schemas.microsoft.com/office/drawing/2014/main" xmlns="" id="{120EDFD8-D1D7-4674-B156-1849D1D5356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819" name="Text Box 1">
          <a:extLst>
            <a:ext uri="{FF2B5EF4-FFF2-40B4-BE49-F238E27FC236}">
              <a16:creationId xmlns:a16="http://schemas.microsoft.com/office/drawing/2014/main" xmlns="" id="{37D9F0FE-BF5B-436F-89E9-F22B7250D20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820" name="Text Box 1">
          <a:extLst>
            <a:ext uri="{FF2B5EF4-FFF2-40B4-BE49-F238E27FC236}">
              <a16:creationId xmlns:a16="http://schemas.microsoft.com/office/drawing/2014/main" xmlns="" id="{0553C0DF-62A6-45ED-883C-469387BCBFA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821" name="Text Box 1">
          <a:extLst>
            <a:ext uri="{FF2B5EF4-FFF2-40B4-BE49-F238E27FC236}">
              <a16:creationId xmlns:a16="http://schemas.microsoft.com/office/drawing/2014/main" xmlns="" id="{02ECF31C-AEEB-458E-9158-1D1110CD733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822" name="Text Box 1">
          <a:extLst>
            <a:ext uri="{FF2B5EF4-FFF2-40B4-BE49-F238E27FC236}">
              <a16:creationId xmlns:a16="http://schemas.microsoft.com/office/drawing/2014/main" xmlns="" id="{089C494B-07F8-48FC-BB56-DD8A01E17EB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823" name="Text Box 1">
          <a:extLst>
            <a:ext uri="{FF2B5EF4-FFF2-40B4-BE49-F238E27FC236}">
              <a16:creationId xmlns:a16="http://schemas.microsoft.com/office/drawing/2014/main" xmlns="" id="{E576B164-7607-4B60-9B76-0A34FCEF487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824" name="Text Box 1">
          <a:extLst>
            <a:ext uri="{FF2B5EF4-FFF2-40B4-BE49-F238E27FC236}">
              <a16:creationId xmlns:a16="http://schemas.microsoft.com/office/drawing/2014/main" xmlns="" id="{CAB4F7F0-E657-4311-B033-67C8A812CB7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825" name="Text Box 1">
          <a:extLst>
            <a:ext uri="{FF2B5EF4-FFF2-40B4-BE49-F238E27FC236}">
              <a16:creationId xmlns:a16="http://schemas.microsoft.com/office/drawing/2014/main" xmlns="" id="{BE09D410-C54D-424D-A4DC-D098B694BCC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826" name="Text Box 1">
          <a:extLst>
            <a:ext uri="{FF2B5EF4-FFF2-40B4-BE49-F238E27FC236}">
              <a16:creationId xmlns:a16="http://schemas.microsoft.com/office/drawing/2014/main" xmlns="" id="{91DCE779-58F1-40EE-B14D-BAFD277516A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827" name="Text Box 1">
          <a:extLst>
            <a:ext uri="{FF2B5EF4-FFF2-40B4-BE49-F238E27FC236}">
              <a16:creationId xmlns:a16="http://schemas.microsoft.com/office/drawing/2014/main" xmlns="" id="{44BE2BD6-0C20-4138-9B43-0E27F0B8561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828" name="Text Box 1">
          <a:extLst>
            <a:ext uri="{FF2B5EF4-FFF2-40B4-BE49-F238E27FC236}">
              <a16:creationId xmlns:a16="http://schemas.microsoft.com/office/drawing/2014/main" xmlns="" id="{54317D94-4BC5-4982-AC47-2348F4E400F1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829" name="Text Box 1">
          <a:extLst>
            <a:ext uri="{FF2B5EF4-FFF2-40B4-BE49-F238E27FC236}">
              <a16:creationId xmlns:a16="http://schemas.microsoft.com/office/drawing/2014/main" xmlns="" id="{BE65AB65-1530-4FC6-9269-79937AD6F9A1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830" name="Text Box 1">
          <a:extLst>
            <a:ext uri="{FF2B5EF4-FFF2-40B4-BE49-F238E27FC236}">
              <a16:creationId xmlns:a16="http://schemas.microsoft.com/office/drawing/2014/main" xmlns="" id="{543E60C4-E243-49D7-8E75-09233FCAD78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831" name="Text Box 1">
          <a:extLst>
            <a:ext uri="{FF2B5EF4-FFF2-40B4-BE49-F238E27FC236}">
              <a16:creationId xmlns:a16="http://schemas.microsoft.com/office/drawing/2014/main" xmlns="" id="{87F23008-E4D5-460A-9918-70ED5EEB795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832" name="Text Box 1">
          <a:extLst>
            <a:ext uri="{FF2B5EF4-FFF2-40B4-BE49-F238E27FC236}">
              <a16:creationId xmlns:a16="http://schemas.microsoft.com/office/drawing/2014/main" xmlns="" id="{1B0447AE-ABAB-4AA8-9BE8-71899A3C788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833" name="Text Box 1">
          <a:extLst>
            <a:ext uri="{FF2B5EF4-FFF2-40B4-BE49-F238E27FC236}">
              <a16:creationId xmlns:a16="http://schemas.microsoft.com/office/drawing/2014/main" xmlns="" id="{6A483138-F61F-45ED-9BFB-1036D42B75C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834" name="Text Box 1">
          <a:extLst>
            <a:ext uri="{FF2B5EF4-FFF2-40B4-BE49-F238E27FC236}">
              <a16:creationId xmlns:a16="http://schemas.microsoft.com/office/drawing/2014/main" xmlns="" id="{69C99EF6-97E0-48A1-8C28-86F734B7535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835" name="Text Box 1">
          <a:extLst>
            <a:ext uri="{FF2B5EF4-FFF2-40B4-BE49-F238E27FC236}">
              <a16:creationId xmlns:a16="http://schemas.microsoft.com/office/drawing/2014/main" xmlns="" id="{51BE56C7-9DCB-4145-A67B-D32140A6134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836" name="Text Box 1">
          <a:extLst>
            <a:ext uri="{FF2B5EF4-FFF2-40B4-BE49-F238E27FC236}">
              <a16:creationId xmlns:a16="http://schemas.microsoft.com/office/drawing/2014/main" xmlns="" id="{44236D33-7741-4A84-B43F-0582728A11F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837" name="Text Box 1">
          <a:extLst>
            <a:ext uri="{FF2B5EF4-FFF2-40B4-BE49-F238E27FC236}">
              <a16:creationId xmlns:a16="http://schemas.microsoft.com/office/drawing/2014/main" xmlns="" id="{997F4ADA-6960-4591-BB20-AB9B737A363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838" name="Text Box 1">
          <a:extLst>
            <a:ext uri="{FF2B5EF4-FFF2-40B4-BE49-F238E27FC236}">
              <a16:creationId xmlns:a16="http://schemas.microsoft.com/office/drawing/2014/main" xmlns="" id="{571F2F7E-226B-4805-923F-AFC371B2379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839" name="Text Box 1">
          <a:extLst>
            <a:ext uri="{FF2B5EF4-FFF2-40B4-BE49-F238E27FC236}">
              <a16:creationId xmlns:a16="http://schemas.microsoft.com/office/drawing/2014/main" xmlns="" id="{625BAA23-DCAD-4E94-AA98-B802E4C1493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840" name="Text Box 1">
          <a:extLst>
            <a:ext uri="{FF2B5EF4-FFF2-40B4-BE49-F238E27FC236}">
              <a16:creationId xmlns:a16="http://schemas.microsoft.com/office/drawing/2014/main" xmlns="" id="{450113A2-FB73-470E-A5B3-309B039D53D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841" name="Text Box 1">
          <a:extLst>
            <a:ext uri="{FF2B5EF4-FFF2-40B4-BE49-F238E27FC236}">
              <a16:creationId xmlns:a16="http://schemas.microsoft.com/office/drawing/2014/main" xmlns="" id="{56EED1AB-0541-4264-97A5-718128935D1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842" name="Text Box 1">
          <a:extLst>
            <a:ext uri="{FF2B5EF4-FFF2-40B4-BE49-F238E27FC236}">
              <a16:creationId xmlns:a16="http://schemas.microsoft.com/office/drawing/2014/main" xmlns="" id="{0A50605A-2FC8-4981-9634-F92CFB75E1C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843" name="Text Box 1">
          <a:extLst>
            <a:ext uri="{FF2B5EF4-FFF2-40B4-BE49-F238E27FC236}">
              <a16:creationId xmlns:a16="http://schemas.microsoft.com/office/drawing/2014/main" xmlns="" id="{F6D4A53D-EB40-4459-B24E-478CBC45190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844" name="Text Box 1">
          <a:extLst>
            <a:ext uri="{FF2B5EF4-FFF2-40B4-BE49-F238E27FC236}">
              <a16:creationId xmlns:a16="http://schemas.microsoft.com/office/drawing/2014/main" xmlns="" id="{2BF8A1E7-04A4-4DB1-9234-81DCDA51B97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845" name="Text Box 1">
          <a:extLst>
            <a:ext uri="{FF2B5EF4-FFF2-40B4-BE49-F238E27FC236}">
              <a16:creationId xmlns:a16="http://schemas.microsoft.com/office/drawing/2014/main" xmlns="" id="{9BEFD620-40E3-45FA-9DAB-7A802B32117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846" name="Text Box 1">
          <a:extLst>
            <a:ext uri="{FF2B5EF4-FFF2-40B4-BE49-F238E27FC236}">
              <a16:creationId xmlns:a16="http://schemas.microsoft.com/office/drawing/2014/main" xmlns="" id="{F9EA84D0-6D43-4E0C-911A-5DA3B030F29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847" name="Text Box 1">
          <a:extLst>
            <a:ext uri="{FF2B5EF4-FFF2-40B4-BE49-F238E27FC236}">
              <a16:creationId xmlns:a16="http://schemas.microsoft.com/office/drawing/2014/main" xmlns="" id="{38619904-9954-4972-870F-524541D2E00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848" name="Text Box 1">
          <a:extLst>
            <a:ext uri="{FF2B5EF4-FFF2-40B4-BE49-F238E27FC236}">
              <a16:creationId xmlns:a16="http://schemas.microsoft.com/office/drawing/2014/main" xmlns="" id="{5138D974-F64A-4F36-8282-0C57AFC143A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849" name="Text Box 1">
          <a:extLst>
            <a:ext uri="{FF2B5EF4-FFF2-40B4-BE49-F238E27FC236}">
              <a16:creationId xmlns:a16="http://schemas.microsoft.com/office/drawing/2014/main" xmlns="" id="{7674EC08-A484-41B9-B70C-C989B9CE7F8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850" name="Text Box 1">
          <a:extLst>
            <a:ext uri="{FF2B5EF4-FFF2-40B4-BE49-F238E27FC236}">
              <a16:creationId xmlns:a16="http://schemas.microsoft.com/office/drawing/2014/main" xmlns="" id="{CA6BB401-3556-448A-A1BF-611C736F3E3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851" name="Text Box 1">
          <a:extLst>
            <a:ext uri="{FF2B5EF4-FFF2-40B4-BE49-F238E27FC236}">
              <a16:creationId xmlns:a16="http://schemas.microsoft.com/office/drawing/2014/main" xmlns="" id="{10D51F73-F41A-450B-8B64-DCD2BCD33E1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852" name="Text Box 1">
          <a:extLst>
            <a:ext uri="{FF2B5EF4-FFF2-40B4-BE49-F238E27FC236}">
              <a16:creationId xmlns:a16="http://schemas.microsoft.com/office/drawing/2014/main" xmlns="" id="{F6DC86A5-2305-473F-97A8-1793458DD77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853" name="Text Box 1">
          <a:extLst>
            <a:ext uri="{FF2B5EF4-FFF2-40B4-BE49-F238E27FC236}">
              <a16:creationId xmlns:a16="http://schemas.microsoft.com/office/drawing/2014/main" xmlns="" id="{CCADDD61-AB79-48B1-AD85-F6E877F460E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854" name="Text Box 1">
          <a:extLst>
            <a:ext uri="{FF2B5EF4-FFF2-40B4-BE49-F238E27FC236}">
              <a16:creationId xmlns:a16="http://schemas.microsoft.com/office/drawing/2014/main" xmlns="" id="{9E4583CB-C93F-4C31-9A58-283AC3DAB55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855" name="Text Box 1">
          <a:extLst>
            <a:ext uri="{FF2B5EF4-FFF2-40B4-BE49-F238E27FC236}">
              <a16:creationId xmlns:a16="http://schemas.microsoft.com/office/drawing/2014/main" xmlns="" id="{A32381EA-D7DA-46DE-92C5-C817F55ADBC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856" name="Text Box 1">
          <a:extLst>
            <a:ext uri="{FF2B5EF4-FFF2-40B4-BE49-F238E27FC236}">
              <a16:creationId xmlns:a16="http://schemas.microsoft.com/office/drawing/2014/main" xmlns="" id="{4787517A-34E0-406F-A9C1-8639AC64BE0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857" name="Text Box 1">
          <a:extLst>
            <a:ext uri="{FF2B5EF4-FFF2-40B4-BE49-F238E27FC236}">
              <a16:creationId xmlns:a16="http://schemas.microsoft.com/office/drawing/2014/main" xmlns="" id="{4341CBC2-ACA3-4244-8D8C-77AD032C16B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858" name="Text Box 1">
          <a:extLst>
            <a:ext uri="{FF2B5EF4-FFF2-40B4-BE49-F238E27FC236}">
              <a16:creationId xmlns:a16="http://schemas.microsoft.com/office/drawing/2014/main" xmlns="" id="{548FB009-5BFF-4542-AB63-CC1A5D0E380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859" name="Text Box 1">
          <a:extLst>
            <a:ext uri="{FF2B5EF4-FFF2-40B4-BE49-F238E27FC236}">
              <a16:creationId xmlns:a16="http://schemas.microsoft.com/office/drawing/2014/main" xmlns="" id="{4424AC6B-4042-4AE8-AC34-82F70CC6085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860" name="Text Box 1">
          <a:extLst>
            <a:ext uri="{FF2B5EF4-FFF2-40B4-BE49-F238E27FC236}">
              <a16:creationId xmlns:a16="http://schemas.microsoft.com/office/drawing/2014/main" xmlns="" id="{3A39CCBC-B9A2-4EF1-BBF0-59E9AFAC6A0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861" name="Text Box 1">
          <a:extLst>
            <a:ext uri="{FF2B5EF4-FFF2-40B4-BE49-F238E27FC236}">
              <a16:creationId xmlns:a16="http://schemas.microsoft.com/office/drawing/2014/main" xmlns="" id="{E492CE9F-F1F1-4AF2-9C5F-B9C24A61BF8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862" name="Text Box 1">
          <a:extLst>
            <a:ext uri="{FF2B5EF4-FFF2-40B4-BE49-F238E27FC236}">
              <a16:creationId xmlns:a16="http://schemas.microsoft.com/office/drawing/2014/main" xmlns="" id="{6A2097F3-44A1-4F82-8211-529634D59A7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863" name="Text Box 1">
          <a:extLst>
            <a:ext uri="{FF2B5EF4-FFF2-40B4-BE49-F238E27FC236}">
              <a16:creationId xmlns:a16="http://schemas.microsoft.com/office/drawing/2014/main" xmlns="" id="{AEFD9671-C3EC-4AB2-8C52-849089CB112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864" name="Text Box 1">
          <a:extLst>
            <a:ext uri="{FF2B5EF4-FFF2-40B4-BE49-F238E27FC236}">
              <a16:creationId xmlns:a16="http://schemas.microsoft.com/office/drawing/2014/main" xmlns="" id="{3A7FEF0D-A330-4F81-948A-B598B04ADD7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865" name="Text Box 1">
          <a:extLst>
            <a:ext uri="{FF2B5EF4-FFF2-40B4-BE49-F238E27FC236}">
              <a16:creationId xmlns:a16="http://schemas.microsoft.com/office/drawing/2014/main" xmlns="" id="{D9A35DB8-B5B0-4D40-975B-E2108CAA21E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866" name="Text Box 1">
          <a:extLst>
            <a:ext uri="{FF2B5EF4-FFF2-40B4-BE49-F238E27FC236}">
              <a16:creationId xmlns:a16="http://schemas.microsoft.com/office/drawing/2014/main" xmlns="" id="{B51576D9-8239-439C-B775-46805C75B28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867" name="Text Box 1">
          <a:extLst>
            <a:ext uri="{FF2B5EF4-FFF2-40B4-BE49-F238E27FC236}">
              <a16:creationId xmlns:a16="http://schemas.microsoft.com/office/drawing/2014/main" xmlns="" id="{F16A096F-D2C3-4DC6-875D-7FA7EE3E0EC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868" name="Text Box 1">
          <a:extLst>
            <a:ext uri="{FF2B5EF4-FFF2-40B4-BE49-F238E27FC236}">
              <a16:creationId xmlns:a16="http://schemas.microsoft.com/office/drawing/2014/main" xmlns="" id="{C0AD957C-1B12-4A8C-ABE5-FAE2702C701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869" name="Text Box 1">
          <a:extLst>
            <a:ext uri="{FF2B5EF4-FFF2-40B4-BE49-F238E27FC236}">
              <a16:creationId xmlns:a16="http://schemas.microsoft.com/office/drawing/2014/main" xmlns="" id="{3B3B0ACA-E614-4693-B0C3-80397C9D8B9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870" name="Text Box 1">
          <a:extLst>
            <a:ext uri="{FF2B5EF4-FFF2-40B4-BE49-F238E27FC236}">
              <a16:creationId xmlns:a16="http://schemas.microsoft.com/office/drawing/2014/main" xmlns="" id="{40361231-0648-4A2A-AD53-2881C037320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871" name="Text Box 1">
          <a:extLst>
            <a:ext uri="{FF2B5EF4-FFF2-40B4-BE49-F238E27FC236}">
              <a16:creationId xmlns:a16="http://schemas.microsoft.com/office/drawing/2014/main" xmlns="" id="{A203B778-410D-4C16-9AF3-CCD3D790D61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872" name="Text Box 1">
          <a:extLst>
            <a:ext uri="{FF2B5EF4-FFF2-40B4-BE49-F238E27FC236}">
              <a16:creationId xmlns:a16="http://schemas.microsoft.com/office/drawing/2014/main" xmlns="" id="{4E91FA17-B752-4883-8EAE-D6C6C8492BD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873" name="Text Box 1">
          <a:extLst>
            <a:ext uri="{FF2B5EF4-FFF2-40B4-BE49-F238E27FC236}">
              <a16:creationId xmlns:a16="http://schemas.microsoft.com/office/drawing/2014/main" xmlns="" id="{54856036-A65F-476B-B29A-0FB35CF9FD9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874" name="Text Box 1">
          <a:extLst>
            <a:ext uri="{FF2B5EF4-FFF2-40B4-BE49-F238E27FC236}">
              <a16:creationId xmlns:a16="http://schemas.microsoft.com/office/drawing/2014/main" xmlns="" id="{5B7E7ACF-7CF0-4949-A0AE-B3C6064E604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875" name="Text Box 1">
          <a:extLst>
            <a:ext uri="{FF2B5EF4-FFF2-40B4-BE49-F238E27FC236}">
              <a16:creationId xmlns:a16="http://schemas.microsoft.com/office/drawing/2014/main" xmlns="" id="{931C913F-CF34-4D90-91F1-46065F6D3CF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876" name="Text Box 1">
          <a:extLst>
            <a:ext uri="{FF2B5EF4-FFF2-40B4-BE49-F238E27FC236}">
              <a16:creationId xmlns:a16="http://schemas.microsoft.com/office/drawing/2014/main" xmlns="" id="{2F5515FC-1350-487F-A2ED-063AA2BBAAB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877" name="Text Box 1">
          <a:extLst>
            <a:ext uri="{FF2B5EF4-FFF2-40B4-BE49-F238E27FC236}">
              <a16:creationId xmlns:a16="http://schemas.microsoft.com/office/drawing/2014/main" xmlns="" id="{9C51913E-08C8-49D4-92F3-BF4F45981681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878" name="Text Box 1">
          <a:extLst>
            <a:ext uri="{FF2B5EF4-FFF2-40B4-BE49-F238E27FC236}">
              <a16:creationId xmlns:a16="http://schemas.microsoft.com/office/drawing/2014/main" xmlns="" id="{0227824B-8798-481C-B82B-90DF0017CA7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879" name="Text Box 1">
          <a:extLst>
            <a:ext uri="{FF2B5EF4-FFF2-40B4-BE49-F238E27FC236}">
              <a16:creationId xmlns:a16="http://schemas.microsoft.com/office/drawing/2014/main" xmlns="" id="{FD5CC9A8-88B5-413B-B26E-7D06705CD06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880" name="Text Box 1">
          <a:extLst>
            <a:ext uri="{FF2B5EF4-FFF2-40B4-BE49-F238E27FC236}">
              <a16:creationId xmlns:a16="http://schemas.microsoft.com/office/drawing/2014/main" xmlns="" id="{6B6B63BC-B2C0-4DAA-AF30-47422B69B8D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881" name="Text Box 1">
          <a:extLst>
            <a:ext uri="{FF2B5EF4-FFF2-40B4-BE49-F238E27FC236}">
              <a16:creationId xmlns:a16="http://schemas.microsoft.com/office/drawing/2014/main" xmlns="" id="{78D11615-0321-4355-9D68-A7316019043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882" name="Text Box 1">
          <a:extLst>
            <a:ext uri="{FF2B5EF4-FFF2-40B4-BE49-F238E27FC236}">
              <a16:creationId xmlns:a16="http://schemas.microsoft.com/office/drawing/2014/main" xmlns="" id="{CC15596F-0267-4EBD-9093-69DD22E4550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883" name="Text Box 1">
          <a:extLst>
            <a:ext uri="{FF2B5EF4-FFF2-40B4-BE49-F238E27FC236}">
              <a16:creationId xmlns:a16="http://schemas.microsoft.com/office/drawing/2014/main" xmlns="" id="{C255A71C-C907-45F4-8AE2-4CC12CAD2A4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884" name="Text Box 1">
          <a:extLst>
            <a:ext uri="{FF2B5EF4-FFF2-40B4-BE49-F238E27FC236}">
              <a16:creationId xmlns:a16="http://schemas.microsoft.com/office/drawing/2014/main" xmlns="" id="{07E6A3AB-1BE3-4276-A908-82F715824BC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885" name="Text Box 1">
          <a:extLst>
            <a:ext uri="{FF2B5EF4-FFF2-40B4-BE49-F238E27FC236}">
              <a16:creationId xmlns:a16="http://schemas.microsoft.com/office/drawing/2014/main" xmlns="" id="{6801B819-8E4A-4C5D-80AD-58F01DB0B95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886" name="Text Box 1">
          <a:extLst>
            <a:ext uri="{FF2B5EF4-FFF2-40B4-BE49-F238E27FC236}">
              <a16:creationId xmlns:a16="http://schemas.microsoft.com/office/drawing/2014/main" xmlns="" id="{F1E3C8D2-0044-4A7A-B158-3252FFFC3CA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887" name="Text Box 1">
          <a:extLst>
            <a:ext uri="{FF2B5EF4-FFF2-40B4-BE49-F238E27FC236}">
              <a16:creationId xmlns:a16="http://schemas.microsoft.com/office/drawing/2014/main" xmlns="" id="{A19F59AE-07ED-4725-AF04-8A2EBBBE9E3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888" name="Text Box 1">
          <a:extLst>
            <a:ext uri="{FF2B5EF4-FFF2-40B4-BE49-F238E27FC236}">
              <a16:creationId xmlns:a16="http://schemas.microsoft.com/office/drawing/2014/main" xmlns="" id="{4E3F309E-811E-4094-B12F-EC077ED2A66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889" name="Text Box 1">
          <a:extLst>
            <a:ext uri="{FF2B5EF4-FFF2-40B4-BE49-F238E27FC236}">
              <a16:creationId xmlns:a16="http://schemas.microsoft.com/office/drawing/2014/main" xmlns="" id="{50C0371A-5EC5-4170-831B-BFFA9007259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890" name="Text Box 1">
          <a:extLst>
            <a:ext uri="{FF2B5EF4-FFF2-40B4-BE49-F238E27FC236}">
              <a16:creationId xmlns:a16="http://schemas.microsoft.com/office/drawing/2014/main" xmlns="" id="{3F058685-E3E5-4126-BD55-F36E5CAB086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891" name="Text Box 1">
          <a:extLst>
            <a:ext uri="{FF2B5EF4-FFF2-40B4-BE49-F238E27FC236}">
              <a16:creationId xmlns:a16="http://schemas.microsoft.com/office/drawing/2014/main" xmlns="" id="{2A47A106-D6C6-4DFB-A7B4-E804C6877A9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892" name="Text Box 1">
          <a:extLst>
            <a:ext uri="{FF2B5EF4-FFF2-40B4-BE49-F238E27FC236}">
              <a16:creationId xmlns:a16="http://schemas.microsoft.com/office/drawing/2014/main" xmlns="" id="{42A3EF57-E2A9-40B4-8927-B7AD507FCB3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893" name="Text Box 1">
          <a:extLst>
            <a:ext uri="{FF2B5EF4-FFF2-40B4-BE49-F238E27FC236}">
              <a16:creationId xmlns:a16="http://schemas.microsoft.com/office/drawing/2014/main" xmlns="" id="{0F5F5B0A-081B-462B-89D4-EE5DB652988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894" name="Text Box 1">
          <a:extLst>
            <a:ext uri="{FF2B5EF4-FFF2-40B4-BE49-F238E27FC236}">
              <a16:creationId xmlns:a16="http://schemas.microsoft.com/office/drawing/2014/main" xmlns="" id="{B2DA4564-5962-48D1-A5B9-90A9A447DFD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895" name="Text Box 1">
          <a:extLst>
            <a:ext uri="{FF2B5EF4-FFF2-40B4-BE49-F238E27FC236}">
              <a16:creationId xmlns:a16="http://schemas.microsoft.com/office/drawing/2014/main" xmlns="" id="{FDEB771D-0129-42F7-A3ED-B2E3D2FBF9D1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896" name="Text Box 1">
          <a:extLst>
            <a:ext uri="{FF2B5EF4-FFF2-40B4-BE49-F238E27FC236}">
              <a16:creationId xmlns:a16="http://schemas.microsoft.com/office/drawing/2014/main" xmlns="" id="{FEE98132-EA7D-41C6-92DA-EA8B33412C3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897" name="Text Box 1">
          <a:extLst>
            <a:ext uri="{FF2B5EF4-FFF2-40B4-BE49-F238E27FC236}">
              <a16:creationId xmlns:a16="http://schemas.microsoft.com/office/drawing/2014/main" xmlns="" id="{565CFD89-8429-447B-9C54-3105FFDD9D8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898" name="Text Box 1">
          <a:extLst>
            <a:ext uri="{FF2B5EF4-FFF2-40B4-BE49-F238E27FC236}">
              <a16:creationId xmlns:a16="http://schemas.microsoft.com/office/drawing/2014/main" xmlns="" id="{AFDECC11-B60A-401C-9078-0C9BDC1C47E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899" name="Text Box 1">
          <a:extLst>
            <a:ext uri="{FF2B5EF4-FFF2-40B4-BE49-F238E27FC236}">
              <a16:creationId xmlns:a16="http://schemas.microsoft.com/office/drawing/2014/main" xmlns="" id="{E9614584-8EA9-444E-A4CD-8AF4E75D077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900" name="Text Box 1">
          <a:extLst>
            <a:ext uri="{FF2B5EF4-FFF2-40B4-BE49-F238E27FC236}">
              <a16:creationId xmlns:a16="http://schemas.microsoft.com/office/drawing/2014/main" xmlns="" id="{CC9E8114-426C-4DD7-8507-EF201215195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901" name="Text Box 1">
          <a:extLst>
            <a:ext uri="{FF2B5EF4-FFF2-40B4-BE49-F238E27FC236}">
              <a16:creationId xmlns:a16="http://schemas.microsoft.com/office/drawing/2014/main" xmlns="" id="{F622E1AE-27B3-471C-8331-EDA3AB51730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902" name="Text Box 1">
          <a:extLst>
            <a:ext uri="{FF2B5EF4-FFF2-40B4-BE49-F238E27FC236}">
              <a16:creationId xmlns:a16="http://schemas.microsoft.com/office/drawing/2014/main" xmlns="" id="{170484C0-02CB-4B99-A799-ACAE20606D1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903" name="Text Box 1">
          <a:extLst>
            <a:ext uri="{FF2B5EF4-FFF2-40B4-BE49-F238E27FC236}">
              <a16:creationId xmlns:a16="http://schemas.microsoft.com/office/drawing/2014/main" xmlns="" id="{8E9D50C6-E6EA-4C4D-A63C-8AA7A2D582E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904" name="Text Box 1">
          <a:extLst>
            <a:ext uri="{FF2B5EF4-FFF2-40B4-BE49-F238E27FC236}">
              <a16:creationId xmlns:a16="http://schemas.microsoft.com/office/drawing/2014/main" xmlns="" id="{04A2BB75-9381-4C9F-BCC9-631111D68CA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905" name="Text Box 1">
          <a:extLst>
            <a:ext uri="{FF2B5EF4-FFF2-40B4-BE49-F238E27FC236}">
              <a16:creationId xmlns:a16="http://schemas.microsoft.com/office/drawing/2014/main" xmlns="" id="{952525B9-EF8D-4C5B-A644-6028B51703B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906" name="Text Box 1">
          <a:extLst>
            <a:ext uri="{FF2B5EF4-FFF2-40B4-BE49-F238E27FC236}">
              <a16:creationId xmlns:a16="http://schemas.microsoft.com/office/drawing/2014/main" xmlns="" id="{8D81780D-2AE1-480F-BE3E-029E6C2BEAF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907" name="Text Box 1">
          <a:extLst>
            <a:ext uri="{FF2B5EF4-FFF2-40B4-BE49-F238E27FC236}">
              <a16:creationId xmlns:a16="http://schemas.microsoft.com/office/drawing/2014/main" xmlns="" id="{06DB4A77-7100-43C0-818C-194FF0EED96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908" name="Text Box 1">
          <a:extLst>
            <a:ext uri="{FF2B5EF4-FFF2-40B4-BE49-F238E27FC236}">
              <a16:creationId xmlns:a16="http://schemas.microsoft.com/office/drawing/2014/main" xmlns="" id="{EA79E0DF-0B2D-4050-B38D-CF0DB3F988A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909" name="Text Box 1">
          <a:extLst>
            <a:ext uri="{FF2B5EF4-FFF2-40B4-BE49-F238E27FC236}">
              <a16:creationId xmlns:a16="http://schemas.microsoft.com/office/drawing/2014/main" xmlns="" id="{914A1D41-3B34-4CD0-828A-F63B0E5E83C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910" name="Text Box 1">
          <a:extLst>
            <a:ext uri="{FF2B5EF4-FFF2-40B4-BE49-F238E27FC236}">
              <a16:creationId xmlns:a16="http://schemas.microsoft.com/office/drawing/2014/main" xmlns="" id="{66E04F60-6943-4A31-B8A7-3675644DDA4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911" name="Text Box 1">
          <a:extLst>
            <a:ext uri="{FF2B5EF4-FFF2-40B4-BE49-F238E27FC236}">
              <a16:creationId xmlns:a16="http://schemas.microsoft.com/office/drawing/2014/main" xmlns="" id="{61D9E55B-28B9-48A0-B34D-F9215F560DC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912" name="Text Box 1">
          <a:extLst>
            <a:ext uri="{FF2B5EF4-FFF2-40B4-BE49-F238E27FC236}">
              <a16:creationId xmlns:a16="http://schemas.microsoft.com/office/drawing/2014/main" xmlns="" id="{76F92BDD-9267-4A40-B756-029EA49B0D5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913" name="Text Box 1">
          <a:extLst>
            <a:ext uri="{FF2B5EF4-FFF2-40B4-BE49-F238E27FC236}">
              <a16:creationId xmlns:a16="http://schemas.microsoft.com/office/drawing/2014/main" xmlns="" id="{C5BA6A52-7893-4E8A-9FA5-656E3C22511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914" name="Text Box 1">
          <a:extLst>
            <a:ext uri="{FF2B5EF4-FFF2-40B4-BE49-F238E27FC236}">
              <a16:creationId xmlns:a16="http://schemas.microsoft.com/office/drawing/2014/main" xmlns="" id="{F59C8D4A-B95E-4DD0-8915-FFD3E392446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915" name="Text Box 1">
          <a:extLst>
            <a:ext uri="{FF2B5EF4-FFF2-40B4-BE49-F238E27FC236}">
              <a16:creationId xmlns:a16="http://schemas.microsoft.com/office/drawing/2014/main" xmlns="" id="{C788C637-4E69-46EA-BB66-17ED6EE1A55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916" name="Text Box 1">
          <a:extLst>
            <a:ext uri="{FF2B5EF4-FFF2-40B4-BE49-F238E27FC236}">
              <a16:creationId xmlns:a16="http://schemas.microsoft.com/office/drawing/2014/main" xmlns="" id="{7C923E10-1AAA-4774-A0FA-DD882225F6F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917" name="Text Box 1">
          <a:extLst>
            <a:ext uri="{FF2B5EF4-FFF2-40B4-BE49-F238E27FC236}">
              <a16:creationId xmlns:a16="http://schemas.microsoft.com/office/drawing/2014/main" xmlns="" id="{8A3F1219-BE5E-4785-BEC4-A239586284B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918" name="Text Box 1">
          <a:extLst>
            <a:ext uri="{FF2B5EF4-FFF2-40B4-BE49-F238E27FC236}">
              <a16:creationId xmlns:a16="http://schemas.microsoft.com/office/drawing/2014/main" xmlns="" id="{EA99E81C-8CB4-4EF5-B020-6243C8CBB25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919" name="Text Box 1">
          <a:extLst>
            <a:ext uri="{FF2B5EF4-FFF2-40B4-BE49-F238E27FC236}">
              <a16:creationId xmlns:a16="http://schemas.microsoft.com/office/drawing/2014/main" xmlns="" id="{1EBF2D43-26B9-4C86-BC45-28B3687FFC3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920" name="Text Box 1">
          <a:extLst>
            <a:ext uri="{FF2B5EF4-FFF2-40B4-BE49-F238E27FC236}">
              <a16:creationId xmlns:a16="http://schemas.microsoft.com/office/drawing/2014/main" xmlns="" id="{66D75DF1-979C-442F-A036-364F98AEC2A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921" name="Text Box 1">
          <a:extLst>
            <a:ext uri="{FF2B5EF4-FFF2-40B4-BE49-F238E27FC236}">
              <a16:creationId xmlns:a16="http://schemas.microsoft.com/office/drawing/2014/main" xmlns="" id="{13012326-7EBA-41A6-81D3-4DCF9519AEA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922" name="Text Box 1">
          <a:extLst>
            <a:ext uri="{FF2B5EF4-FFF2-40B4-BE49-F238E27FC236}">
              <a16:creationId xmlns:a16="http://schemas.microsoft.com/office/drawing/2014/main" xmlns="" id="{64733B4A-975C-43FE-8996-25ACBF44800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923" name="Text Box 1">
          <a:extLst>
            <a:ext uri="{FF2B5EF4-FFF2-40B4-BE49-F238E27FC236}">
              <a16:creationId xmlns:a16="http://schemas.microsoft.com/office/drawing/2014/main" xmlns="" id="{33C61CBA-F875-4DEB-AA0F-201D6C351F9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924" name="Text Box 1">
          <a:extLst>
            <a:ext uri="{FF2B5EF4-FFF2-40B4-BE49-F238E27FC236}">
              <a16:creationId xmlns:a16="http://schemas.microsoft.com/office/drawing/2014/main" xmlns="" id="{1B890CA2-47E3-4ADD-8279-7865A656D46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925" name="Text Box 1">
          <a:extLst>
            <a:ext uri="{FF2B5EF4-FFF2-40B4-BE49-F238E27FC236}">
              <a16:creationId xmlns:a16="http://schemas.microsoft.com/office/drawing/2014/main" xmlns="" id="{57328235-8832-453D-B260-DDEC361FDFC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926" name="Text Box 1">
          <a:extLst>
            <a:ext uri="{FF2B5EF4-FFF2-40B4-BE49-F238E27FC236}">
              <a16:creationId xmlns:a16="http://schemas.microsoft.com/office/drawing/2014/main" xmlns="" id="{2A18614E-4586-460E-9502-78EC0890C07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927" name="Text Box 1">
          <a:extLst>
            <a:ext uri="{FF2B5EF4-FFF2-40B4-BE49-F238E27FC236}">
              <a16:creationId xmlns:a16="http://schemas.microsoft.com/office/drawing/2014/main" xmlns="" id="{EED02FF1-B81C-424C-976B-311D33EFE93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62843"/>
    <xdr:sp macro="" textlink="">
      <xdr:nvSpPr>
        <xdr:cNvPr id="928" name="Text Box 1">
          <a:extLst>
            <a:ext uri="{FF2B5EF4-FFF2-40B4-BE49-F238E27FC236}">
              <a16:creationId xmlns:a16="http://schemas.microsoft.com/office/drawing/2014/main" xmlns="" id="{7F1AC6C1-F054-47FA-A7D5-EEC6608D3A7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628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53318"/>
    <xdr:sp macro="" textlink="">
      <xdr:nvSpPr>
        <xdr:cNvPr id="929" name="Text Box 1">
          <a:extLst>
            <a:ext uri="{FF2B5EF4-FFF2-40B4-BE49-F238E27FC236}">
              <a16:creationId xmlns:a16="http://schemas.microsoft.com/office/drawing/2014/main" xmlns="" id="{C073C611-BDB7-4551-80FA-7599A43DCE8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533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53318"/>
    <xdr:sp macro="" textlink="">
      <xdr:nvSpPr>
        <xdr:cNvPr id="930" name="Text Box 1">
          <a:extLst>
            <a:ext uri="{FF2B5EF4-FFF2-40B4-BE49-F238E27FC236}">
              <a16:creationId xmlns:a16="http://schemas.microsoft.com/office/drawing/2014/main" xmlns="" id="{56212ED4-79A3-4471-896D-E69FF8928B9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533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53318"/>
    <xdr:sp macro="" textlink="">
      <xdr:nvSpPr>
        <xdr:cNvPr id="931" name="Text Box 1">
          <a:extLst>
            <a:ext uri="{FF2B5EF4-FFF2-40B4-BE49-F238E27FC236}">
              <a16:creationId xmlns:a16="http://schemas.microsoft.com/office/drawing/2014/main" xmlns="" id="{4581A8E7-AC1C-46E3-9FBF-D233BC15590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533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53318"/>
    <xdr:sp macro="" textlink="">
      <xdr:nvSpPr>
        <xdr:cNvPr id="932" name="Text Box 1">
          <a:extLst>
            <a:ext uri="{FF2B5EF4-FFF2-40B4-BE49-F238E27FC236}">
              <a16:creationId xmlns:a16="http://schemas.microsoft.com/office/drawing/2014/main" xmlns="" id="{D175C81D-80E1-4562-B87C-80D2F12CA80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533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933" name="Text Box 1">
          <a:extLst>
            <a:ext uri="{FF2B5EF4-FFF2-40B4-BE49-F238E27FC236}">
              <a16:creationId xmlns:a16="http://schemas.microsoft.com/office/drawing/2014/main" xmlns="" id="{972496C1-BF12-4D6D-9B89-FAD11CA9411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934" name="Text Box 1">
          <a:extLst>
            <a:ext uri="{FF2B5EF4-FFF2-40B4-BE49-F238E27FC236}">
              <a16:creationId xmlns:a16="http://schemas.microsoft.com/office/drawing/2014/main" xmlns="" id="{450373AB-769D-468F-87F9-F4FFB956493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935" name="Text Box 1">
          <a:extLst>
            <a:ext uri="{FF2B5EF4-FFF2-40B4-BE49-F238E27FC236}">
              <a16:creationId xmlns:a16="http://schemas.microsoft.com/office/drawing/2014/main" xmlns="" id="{51DD6B23-91AE-4329-8746-8527A06477A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936" name="Text Box 1">
          <a:extLst>
            <a:ext uri="{FF2B5EF4-FFF2-40B4-BE49-F238E27FC236}">
              <a16:creationId xmlns:a16="http://schemas.microsoft.com/office/drawing/2014/main" xmlns="" id="{3991CFBD-C46B-46C0-9103-4C4B7D49A26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937" name="Text Box 1">
          <a:extLst>
            <a:ext uri="{FF2B5EF4-FFF2-40B4-BE49-F238E27FC236}">
              <a16:creationId xmlns:a16="http://schemas.microsoft.com/office/drawing/2014/main" xmlns="" id="{7704ECA8-FB2E-4A7B-A96D-DAE5DA7D26A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938" name="Text Box 1">
          <a:extLst>
            <a:ext uri="{FF2B5EF4-FFF2-40B4-BE49-F238E27FC236}">
              <a16:creationId xmlns:a16="http://schemas.microsoft.com/office/drawing/2014/main" xmlns="" id="{1BF3A40B-C39B-4A2D-9E25-1F8C9FFE11D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939" name="Text Box 1">
          <a:extLst>
            <a:ext uri="{FF2B5EF4-FFF2-40B4-BE49-F238E27FC236}">
              <a16:creationId xmlns:a16="http://schemas.microsoft.com/office/drawing/2014/main" xmlns="" id="{26E6C8C6-AA1D-481A-AEA5-8168909DDA7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940" name="Text Box 1">
          <a:extLst>
            <a:ext uri="{FF2B5EF4-FFF2-40B4-BE49-F238E27FC236}">
              <a16:creationId xmlns:a16="http://schemas.microsoft.com/office/drawing/2014/main" xmlns="" id="{3D8479BE-7B2F-4496-B85A-49E44905DEB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941" name="Text Box 1">
          <a:extLst>
            <a:ext uri="{FF2B5EF4-FFF2-40B4-BE49-F238E27FC236}">
              <a16:creationId xmlns:a16="http://schemas.microsoft.com/office/drawing/2014/main" xmlns="" id="{A71FD002-BCBB-458D-BC8A-A914093878D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942" name="Text Box 1">
          <a:extLst>
            <a:ext uri="{FF2B5EF4-FFF2-40B4-BE49-F238E27FC236}">
              <a16:creationId xmlns:a16="http://schemas.microsoft.com/office/drawing/2014/main" xmlns="" id="{C2B9F4BA-C88E-40A9-A6C1-7161779EEC1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943" name="Text Box 1">
          <a:extLst>
            <a:ext uri="{FF2B5EF4-FFF2-40B4-BE49-F238E27FC236}">
              <a16:creationId xmlns:a16="http://schemas.microsoft.com/office/drawing/2014/main" xmlns="" id="{13FFC32F-F948-4536-8BA8-201244A6A0E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944" name="Text Box 1">
          <a:extLst>
            <a:ext uri="{FF2B5EF4-FFF2-40B4-BE49-F238E27FC236}">
              <a16:creationId xmlns:a16="http://schemas.microsoft.com/office/drawing/2014/main" xmlns="" id="{19768741-262A-40EC-B274-5D56AF4D9BA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945" name="Text Box 1">
          <a:extLst>
            <a:ext uri="{FF2B5EF4-FFF2-40B4-BE49-F238E27FC236}">
              <a16:creationId xmlns:a16="http://schemas.microsoft.com/office/drawing/2014/main" xmlns="" id="{5A4DBCE5-1A75-4221-8707-42B10D12983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946" name="Text Box 1">
          <a:extLst>
            <a:ext uri="{FF2B5EF4-FFF2-40B4-BE49-F238E27FC236}">
              <a16:creationId xmlns:a16="http://schemas.microsoft.com/office/drawing/2014/main" xmlns="" id="{15CF965E-15CF-4C55-B43D-F36C25200EB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947" name="Text Box 1">
          <a:extLst>
            <a:ext uri="{FF2B5EF4-FFF2-40B4-BE49-F238E27FC236}">
              <a16:creationId xmlns:a16="http://schemas.microsoft.com/office/drawing/2014/main" xmlns="" id="{7B99E234-A861-443D-A6D9-BBB13010E031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948" name="Text Box 1">
          <a:extLst>
            <a:ext uri="{FF2B5EF4-FFF2-40B4-BE49-F238E27FC236}">
              <a16:creationId xmlns:a16="http://schemas.microsoft.com/office/drawing/2014/main" xmlns="" id="{F26B62FE-1981-422B-89CC-97059711C40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62843"/>
    <xdr:sp macro="" textlink="">
      <xdr:nvSpPr>
        <xdr:cNvPr id="949" name="Text Box 1">
          <a:extLst>
            <a:ext uri="{FF2B5EF4-FFF2-40B4-BE49-F238E27FC236}">
              <a16:creationId xmlns:a16="http://schemas.microsoft.com/office/drawing/2014/main" xmlns="" id="{F7A6F7AD-F115-4AA4-8688-906CDD91DF3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628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62843"/>
    <xdr:sp macro="" textlink="">
      <xdr:nvSpPr>
        <xdr:cNvPr id="950" name="Text Box 1">
          <a:extLst>
            <a:ext uri="{FF2B5EF4-FFF2-40B4-BE49-F238E27FC236}">
              <a16:creationId xmlns:a16="http://schemas.microsoft.com/office/drawing/2014/main" xmlns="" id="{FF75404A-108C-41AA-9490-74B736EFDD3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628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951" name="Text Box 1">
          <a:extLst>
            <a:ext uri="{FF2B5EF4-FFF2-40B4-BE49-F238E27FC236}">
              <a16:creationId xmlns:a16="http://schemas.microsoft.com/office/drawing/2014/main" xmlns="" id="{1ABCE0A0-9929-41BD-8E95-805E7BD64E6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952" name="Text Box 1">
          <a:extLst>
            <a:ext uri="{FF2B5EF4-FFF2-40B4-BE49-F238E27FC236}">
              <a16:creationId xmlns:a16="http://schemas.microsoft.com/office/drawing/2014/main" xmlns="" id="{78D0EE01-83FD-42C3-9CD1-4094D30BAFC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953" name="Text Box 1">
          <a:extLst>
            <a:ext uri="{FF2B5EF4-FFF2-40B4-BE49-F238E27FC236}">
              <a16:creationId xmlns:a16="http://schemas.microsoft.com/office/drawing/2014/main" xmlns="" id="{8F268340-161C-4905-B59C-1EAA78F94C2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954" name="Text Box 1">
          <a:extLst>
            <a:ext uri="{FF2B5EF4-FFF2-40B4-BE49-F238E27FC236}">
              <a16:creationId xmlns:a16="http://schemas.microsoft.com/office/drawing/2014/main" xmlns="" id="{4C5C47F4-8211-463C-A8F7-405CC60656B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955" name="Text Box 1">
          <a:extLst>
            <a:ext uri="{FF2B5EF4-FFF2-40B4-BE49-F238E27FC236}">
              <a16:creationId xmlns:a16="http://schemas.microsoft.com/office/drawing/2014/main" xmlns="" id="{D3550A24-8CF8-4A75-9783-FF2A5755001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956" name="Text Box 1">
          <a:extLst>
            <a:ext uri="{FF2B5EF4-FFF2-40B4-BE49-F238E27FC236}">
              <a16:creationId xmlns:a16="http://schemas.microsoft.com/office/drawing/2014/main" xmlns="" id="{06DC0417-2E4E-4A23-8A01-3E953206660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957" name="Text Box 1">
          <a:extLst>
            <a:ext uri="{FF2B5EF4-FFF2-40B4-BE49-F238E27FC236}">
              <a16:creationId xmlns:a16="http://schemas.microsoft.com/office/drawing/2014/main" xmlns="" id="{FAB9F111-FD76-4276-B432-8892D1705A5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958" name="Text Box 1">
          <a:extLst>
            <a:ext uri="{FF2B5EF4-FFF2-40B4-BE49-F238E27FC236}">
              <a16:creationId xmlns:a16="http://schemas.microsoft.com/office/drawing/2014/main" xmlns="" id="{5E89C880-919E-408F-B42B-832A09E62FC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959" name="Text Box 1">
          <a:extLst>
            <a:ext uri="{FF2B5EF4-FFF2-40B4-BE49-F238E27FC236}">
              <a16:creationId xmlns:a16="http://schemas.microsoft.com/office/drawing/2014/main" xmlns="" id="{58857427-C7D2-4B96-8334-59D035FED24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960" name="Text Box 1">
          <a:extLst>
            <a:ext uri="{FF2B5EF4-FFF2-40B4-BE49-F238E27FC236}">
              <a16:creationId xmlns:a16="http://schemas.microsoft.com/office/drawing/2014/main" xmlns="" id="{2B29C41C-F3CC-4954-BAB8-4C08C8A1AC41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961" name="Text Box 1">
          <a:extLst>
            <a:ext uri="{FF2B5EF4-FFF2-40B4-BE49-F238E27FC236}">
              <a16:creationId xmlns:a16="http://schemas.microsoft.com/office/drawing/2014/main" xmlns="" id="{D1DCD7BB-9D9C-40A8-A64D-0C09ACA6BCA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962" name="Text Box 1">
          <a:extLst>
            <a:ext uri="{FF2B5EF4-FFF2-40B4-BE49-F238E27FC236}">
              <a16:creationId xmlns:a16="http://schemas.microsoft.com/office/drawing/2014/main" xmlns="" id="{6AC88514-973D-4A99-823F-F164A0A7231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963" name="Text Box 1">
          <a:extLst>
            <a:ext uri="{FF2B5EF4-FFF2-40B4-BE49-F238E27FC236}">
              <a16:creationId xmlns:a16="http://schemas.microsoft.com/office/drawing/2014/main" xmlns="" id="{2D8A3CEE-60F0-40F4-9896-F8CA1738D67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964" name="Text Box 1">
          <a:extLst>
            <a:ext uri="{FF2B5EF4-FFF2-40B4-BE49-F238E27FC236}">
              <a16:creationId xmlns:a16="http://schemas.microsoft.com/office/drawing/2014/main" xmlns="" id="{BA3598DF-ADDE-4B14-8A22-28B24DD3DFE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62843"/>
    <xdr:sp macro="" textlink="">
      <xdr:nvSpPr>
        <xdr:cNvPr id="965" name="Text Box 1">
          <a:extLst>
            <a:ext uri="{FF2B5EF4-FFF2-40B4-BE49-F238E27FC236}">
              <a16:creationId xmlns:a16="http://schemas.microsoft.com/office/drawing/2014/main" xmlns="" id="{5760C342-EF57-4FF3-A523-E40A867466D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628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62843"/>
    <xdr:sp macro="" textlink="">
      <xdr:nvSpPr>
        <xdr:cNvPr id="966" name="Text Box 1">
          <a:extLst>
            <a:ext uri="{FF2B5EF4-FFF2-40B4-BE49-F238E27FC236}">
              <a16:creationId xmlns:a16="http://schemas.microsoft.com/office/drawing/2014/main" xmlns="" id="{5B7B176D-0338-4D31-ACA6-153A599A1CC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628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967" name="Text Box 1">
          <a:extLst>
            <a:ext uri="{FF2B5EF4-FFF2-40B4-BE49-F238E27FC236}">
              <a16:creationId xmlns:a16="http://schemas.microsoft.com/office/drawing/2014/main" xmlns="" id="{BDF50019-97BC-4A32-AB6B-AACCD8849A9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968" name="Text Box 1">
          <a:extLst>
            <a:ext uri="{FF2B5EF4-FFF2-40B4-BE49-F238E27FC236}">
              <a16:creationId xmlns:a16="http://schemas.microsoft.com/office/drawing/2014/main" xmlns="" id="{D1ECE414-0B8A-45BC-86F7-F2E3628A731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969" name="Text Box 1">
          <a:extLst>
            <a:ext uri="{FF2B5EF4-FFF2-40B4-BE49-F238E27FC236}">
              <a16:creationId xmlns:a16="http://schemas.microsoft.com/office/drawing/2014/main" xmlns="" id="{0903B4DA-2B3C-4E20-8866-A3FF215F175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970" name="Text Box 1">
          <a:extLst>
            <a:ext uri="{FF2B5EF4-FFF2-40B4-BE49-F238E27FC236}">
              <a16:creationId xmlns:a16="http://schemas.microsoft.com/office/drawing/2014/main" xmlns="" id="{5C1DE8AA-9E13-423B-AF0D-5BD07644B7D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971" name="Text Box 1">
          <a:extLst>
            <a:ext uri="{FF2B5EF4-FFF2-40B4-BE49-F238E27FC236}">
              <a16:creationId xmlns:a16="http://schemas.microsoft.com/office/drawing/2014/main" xmlns="" id="{D087AFC2-4557-452C-9F0F-3D3CF43B87A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972" name="Text Box 1">
          <a:extLst>
            <a:ext uri="{FF2B5EF4-FFF2-40B4-BE49-F238E27FC236}">
              <a16:creationId xmlns:a16="http://schemas.microsoft.com/office/drawing/2014/main" xmlns="" id="{20FCADAE-B519-4C31-A098-A626DFC7A44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973" name="Text Box 1">
          <a:extLst>
            <a:ext uri="{FF2B5EF4-FFF2-40B4-BE49-F238E27FC236}">
              <a16:creationId xmlns:a16="http://schemas.microsoft.com/office/drawing/2014/main" xmlns="" id="{199A98F5-09FC-4809-ABA2-88E8103998F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974" name="Text Box 1">
          <a:extLst>
            <a:ext uri="{FF2B5EF4-FFF2-40B4-BE49-F238E27FC236}">
              <a16:creationId xmlns:a16="http://schemas.microsoft.com/office/drawing/2014/main" xmlns="" id="{67AF1CFF-8AD6-4609-8581-E6B2BAEFC37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975" name="Text Box 1">
          <a:extLst>
            <a:ext uri="{FF2B5EF4-FFF2-40B4-BE49-F238E27FC236}">
              <a16:creationId xmlns:a16="http://schemas.microsoft.com/office/drawing/2014/main" xmlns="" id="{11577E78-A918-4188-8C52-654945F78EE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976" name="Text Box 1">
          <a:extLst>
            <a:ext uri="{FF2B5EF4-FFF2-40B4-BE49-F238E27FC236}">
              <a16:creationId xmlns:a16="http://schemas.microsoft.com/office/drawing/2014/main" xmlns="" id="{9AC07B7F-6A81-41CB-A5FB-6626A283DAA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977" name="Text Box 1">
          <a:extLst>
            <a:ext uri="{FF2B5EF4-FFF2-40B4-BE49-F238E27FC236}">
              <a16:creationId xmlns:a16="http://schemas.microsoft.com/office/drawing/2014/main" xmlns="" id="{A76D0F70-D2B9-4043-89C8-05F9A641FEF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978" name="Text Box 1">
          <a:extLst>
            <a:ext uri="{FF2B5EF4-FFF2-40B4-BE49-F238E27FC236}">
              <a16:creationId xmlns:a16="http://schemas.microsoft.com/office/drawing/2014/main" xmlns="" id="{FAD22A35-35A0-4891-A1B2-2EA21CCB2FC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979" name="Text Box 1">
          <a:extLst>
            <a:ext uri="{FF2B5EF4-FFF2-40B4-BE49-F238E27FC236}">
              <a16:creationId xmlns:a16="http://schemas.microsoft.com/office/drawing/2014/main" xmlns="" id="{30C67C7B-E99F-4B3E-B425-89550CAAE29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980" name="Text Box 1">
          <a:extLst>
            <a:ext uri="{FF2B5EF4-FFF2-40B4-BE49-F238E27FC236}">
              <a16:creationId xmlns:a16="http://schemas.microsoft.com/office/drawing/2014/main" xmlns="" id="{620808EC-6C9C-4938-97B5-E09E27EBE6D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62843"/>
    <xdr:sp macro="" textlink="">
      <xdr:nvSpPr>
        <xdr:cNvPr id="981" name="Text Box 1">
          <a:extLst>
            <a:ext uri="{FF2B5EF4-FFF2-40B4-BE49-F238E27FC236}">
              <a16:creationId xmlns:a16="http://schemas.microsoft.com/office/drawing/2014/main" xmlns="" id="{144553EF-9F3F-454F-AF48-87BDAB0E2C9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628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62843"/>
    <xdr:sp macro="" textlink="">
      <xdr:nvSpPr>
        <xdr:cNvPr id="982" name="Text Box 1">
          <a:extLst>
            <a:ext uri="{FF2B5EF4-FFF2-40B4-BE49-F238E27FC236}">
              <a16:creationId xmlns:a16="http://schemas.microsoft.com/office/drawing/2014/main" xmlns="" id="{8DF92D78-5DDE-47E5-A61F-61E47B73039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628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983" name="Text Box 1">
          <a:extLst>
            <a:ext uri="{FF2B5EF4-FFF2-40B4-BE49-F238E27FC236}">
              <a16:creationId xmlns:a16="http://schemas.microsoft.com/office/drawing/2014/main" xmlns="" id="{59216509-E778-4BEE-B887-8CBE409ADE8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984" name="Text Box 1">
          <a:extLst>
            <a:ext uri="{FF2B5EF4-FFF2-40B4-BE49-F238E27FC236}">
              <a16:creationId xmlns:a16="http://schemas.microsoft.com/office/drawing/2014/main" xmlns="" id="{28EDB804-54FE-435E-9926-46E45751D9E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985" name="Text Box 1">
          <a:extLst>
            <a:ext uri="{FF2B5EF4-FFF2-40B4-BE49-F238E27FC236}">
              <a16:creationId xmlns:a16="http://schemas.microsoft.com/office/drawing/2014/main" xmlns="" id="{E560ED42-BD0A-4C06-8720-B787A4136881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986" name="Text Box 1">
          <a:extLst>
            <a:ext uri="{FF2B5EF4-FFF2-40B4-BE49-F238E27FC236}">
              <a16:creationId xmlns:a16="http://schemas.microsoft.com/office/drawing/2014/main" xmlns="" id="{F8714866-F960-4508-9844-E17112810B6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987" name="Text Box 1">
          <a:extLst>
            <a:ext uri="{FF2B5EF4-FFF2-40B4-BE49-F238E27FC236}">
              <a16:creationId xmlns:a16="http://schemas.microsoft.com/office/drawing/2014/main" xmlns="" id="{FCEE022C-5591-4590-BF53-8A8A2123DDE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988" name="Text Box 1">
          <a:extLst>
            <a:ext uri="{FF2B5EF4-FFF2-40B4-BE49-F238E27FC236}">
              <a16:creationId xmlns:a16="http://schemas.microsoft.com/office/drawing/2014/main" xmlns="" id="{3CC9BB59-612D-420D-8788-CFD7D89984B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989" name="Text Box 1">
          <a:extLst>
            <a:ext uri="{FF2B5EF4-FFF2-40B4-BE49-F238E27FC236}">
              <a16:creationId xmlns:a16="http://schemas.microsoft.com/office/drawing/2014/main" xmlns="" id="{82F5253F-91F7-43F7-BC74-B31293AB7B7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990" name="Text Box 1">
          <a:extLst>
            <a:ext uri="{FF2B5EF4-FFF2-40B4-BE49-F238E27FC236}">
              <a16:creationId xmlns:a16="http://schemas.microsoft.com/office/drawing/2014/main" xmlns="" id="{8A9348F0-AC9F-4142-9965-8024960403D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991" name="Text Box 1">
          <a:extLst>
            <a:ext uri="{FF2B5EF4-FFF2-40B4-BE49-F238E27FC236}">
              <a16:creationId xmlns:a16="http://schemas.microsoft.com/office/drawing/2014/main" xmlns="" id="{4F6CB2AA-2917-451C-A44F-512D7D28AFE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992" name="Text Box 1">
          <a:extLst>
            <a:ext uri="{FF2B5EF4-FFF2-40B4-BE49-F238E27FC236}">
              <a16:creationId xmlns:a16="http://schemas.microsoft.com/office/drawing/2014/main" xmlns="" id="{BA64B3AC-1D4D-4854-BE3C-0FFA49941FC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993" name="Text Box 1">
          <a:extLst>
            <a:ext uri="{FF2B5EF4-FFF2-40B4-BE49-F238E27FC236}">
              <a16:creationId xmlns:a16="http://schemas.microsoft.com/office/drawing/2014/main" xmlns="" id="{FBBE10E1-25DB-4EC7-85A5-2C9A8F09D39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994" name="Text Box 1">
          <a:extLst>
            <a:ext uri="{FF2B5EF4-FFF2-40B4-BE49-F238E27FC236}">
              <a16:creationId xmlns:a16="http://schemas.microsoft.com/office/drawing/2014/main" xmlns="" id="{F2FB0C84-ABD3-4DF0-AEFF-AB9847D1EE3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995" name="Text Box 1">
          <a:extLst>
            <a:ext uri="{FF2B5EF4-FFF2-40B4-BE49-F238E27FC236}">
              <a16:creationId xmlns:a16="http://schemas.microsoft.com/office/drawing/2014/main" xmlns="" id="{12B7B329-A6F6-498E-9697-D8927E11099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996" name="Text Box 1">
          <a:extLst>
            <a:ext uri="{FF2B5EF4-FFF2-40B4-BE49-F238E27FC236}">
              <a16:creationId xmlns:a16="http://schemas.microsoft.com/office/drawing/2014/main" xmlns="" id="{63F78982-EF3D-40CA-9035-922F3EFC357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997" name="Text Box 1">
          <a:extLst>
            <a:ext uri="{FF2B5EF4-FFF2-40B4-BE49-F238E27FC236}">
              <a16:creationId xmlns:a16="http://schemas.microsoft.com/office/drawing/2014/main" xmlns="" id="{BB5A7365-E947-4C15-956A-9350976CC55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998" name="Text Box 1">
          <a:extLst>
            <a:ext uri="{FF2B5EF4-FFF2-40B4-BE49-F238E27FC236}">
              <a16:creationId xmlns:a16="http://schemas.microsoft.com/office/drawing/2014/main" xmlns="" id="{E0772A6B-171F-4A60-B52C-52AFE40FF9A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999" name="Text Box 1">
          <a:extLst>
            <a:ext uri="{FF2B5EF4-FFF2-40B4-BE49-F238E27FC236}">
              <a16:creationId xmlns:a16="http://schemas.microsoft.com/office/drawing/2014/main" xmlns="" id="{23E2D0E0-BBA0-41EA-AC93-DC91E73587F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000" name="Text Box 1">
          <a:extLst>
            <a:ext uri="{FF2B5EF4-FFF2-40B4-BE49-F238E27FC236}">
              <a16:creationId xmlns:a16="http://schemas.microsoft.com/office/drawing/2014/main" xmlns="" id="{11F419C6-B4EA-49ED-AC32-C3F074DBC2C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001" name="Text Box 1">
          <a:extLst>
            <a:ext uri="{FF2B5EF4-FFF2-40B4-BE49-F238E27FC236}">
              <a16:creationId xmlns:a16="http://schemas.microsoft.com/office/drawing/2014/main" xmlns="" id="{B794D4DB-45BE-40E6-AC48-AFC513FEFE4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002" name="Text Box 1">
          <a:extLst>
            <a:ext uri="{FF2B5EF4-FFF2-40B4-BE49-F238E27FC236}">
              <a16:creationId xmlns:a16="http://schemas.microsoft.com/office/drawing/2014/main" xmlns="" id="{97164E2F-62C6-4621-A73A-5C3C9359555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003" name="Text Box 1">
          <a:extLst>
            <a:ext uri="{FF2B5EF4-FFF2-40B4-BE49-F238E27FC236}">
              <a16:creationId xmlns:a16="http://schemas.microsoft.com/office/drawing/2014/main" xmlns="" id="{F9FAA12B-948F-4327-9A2A-6D891C8797D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004" name="Text Box 1">
          <a:extLst>
            <a:ext uri="{FF2B5EF4-FFF2-40B4-BE49-F238E27FC236}">
              <a16:creationId xmlns:a16="http://schemas.microsoft.com/office/drawing/2014/main" xmlns="" id="{8E3BE1F4-AA8E-4F69-ADEA-0B446798998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005" name="Text Box 1">
          <a:extLst>
            <a:ext uri="{FF2B5EF4-FFF2-40B4-BE49-F238E27FC236}">
              <a16:creationId xmlns:a16="http://schemas.microsoft.com/office/drawing/2014/main" xmlns="" id="{9AE78C79-A19E-4CC9-9339-943648D8872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006" name="Text Box 1">
          <a:extLst>
            <a:ext uri="{FF2B5EF4-FFF2-40B4-BE49-F238E27FC236}">
              <a16:creationId xmlns:a16="http://schemas.microsoft.com/office/drawing/2014/main" xmlns="" id="{1252FBA9-99CB-4D10-9697-56E244998A3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007" name="Text Box 1">
          <a:extLst>
            <a:ext uri="{FF2B5EF4-FFF2-40B4-BE49-F238E27FC236}">
              <a16:creationId xmlns:a16="http://schemas.microsoft.com/office/drawing/2014/main" xmlns="" id="{08F94550-B32C-44F0-B731-402D408B8C3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008" name="Text Box 1">
          <a:extLst>
            <a:ext uri="{FF2B5EF4-FFF2-40B4-BE49-F238E27FC236}">
              <a16:creationId xmlns:a16="http://schemas.microsoft.com/office/drawing/2014/main" xmlns="" id="{9FC2E40C-82A7-4557-A0E0-70406441139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009" name="Text Box 1">
          <a:extLst>
            <a:ext uri="{FF2B5EF4-FFF2-40B4-BE49-F238E27FC236}">
              <a16:creationId xmlns:a16="http://schemas.microsoft.com/office/drawing/2014/main" xmlns="" id="{2C68C191-DF52-4011-982F-3415B80A3F2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010" name="Text Box 1">
          <a:extLst>
            <a:ext uri="{FF2B5EF4-FFF2-40B4-BE49-F238E27FC236}">
              <a16:creationId xmlns:a16="http://schemas.microsoft.com/office/drawing/2014/main" xmlns="" id="{2A4000C7-7FED-4F9A-B1F6-1E84A880A1C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011" name="Text Box 1">
          <a:extLst>
            <a:ext uri="{FF2B5EF4-FFF2-40B4-BE49-F238E27FC236}">
              <a16:creationId xmlns:a16="http://schemas.microsoft.com/office/drawing/2014/main" xmlns="" id="{ABE053F7-3E91-400A-BC97-319761BD8FC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012" name="Text Box 1">
          <a:extLst>
            <a:ext uri="{FF2B5EF4-FFF2-40B4-BE49-F238E27FC236}">
              <a16:creationId xmlns:a16="http://schemas.microsoft.com/office/drawing/2014/main" xmlns="" id="{5C2E319F-C5B3-4406-91B5-64D78D503D9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013" name="Text Box 1">
          <a:extLst>
            <a:ext uri="{FF2B5EF4-FFF2-40B4-BE49-F238E27FC236}">
              <a16:creationId xmlns:a16="http://schemas.microsoft.com/office/drawing/2014/main" xmlns="" id="{642E4C5C-8331-4D9F-8557-C542E623356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014" name="Text Box 1">
          <a:extLst>
            <a:ext uri="{FF2B5EF4-FFF2-40B4-BE49-F238E27FC236}">
              <a16:creationId xmlns:a16="http://schemas.microsoft.com/office/drawing/2014/main" xmlns="" id="{0C7E6F3C-EED3-477B-8DF8-2CA4158DC41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015" name="Text Box 1">
          <a:extLst>
            <a:ext uri="{FF2B5EF4-FFF2-40B4-BE49-F238E27FC236}">
              <a16:creationId xmlns:a16="http://schemas.microsoft.com/office/drawing/2014/main" xmlns="" id="{B35DD6F3-AF35-4D95-ADE7-FF93F9AD2F6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016" name="Text Box 1">
          <a:extLst>
            <a:ext uri="{FF2B5EF4-FFF2-40B4-BE49-F238E27FC236}">
              <a16:creationId xmlns:a16="http://schemas.microsoft.com/office/drawing/2014/main" xmlns="" id="{70755690-EFF0-41E4-A9A2-3A1A82CC072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017" name="Text Box 1">
          <a:extLst>
            <a:ext uri="{FF2B5EF4-FFF2-40B4-BE49-F238E27FC236}">
              <a16:creationId xmlns:a16="http://schemas.microsoft.com/office/drawing/2014/main" xmlns="" id="{9EC187F1-908F-4ECE-9B8B-53FBAD2473B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018" name="Text Box 1">
          <a:extLst>
            <a:ext uri="{FF2B5EF4-FFF2-40B4-BE49-F238E27FC236}">
              <a16:creationId xmlns:a16="http://schemas.microsoft.com/office/drawing/2014/main" xmlns="" id="{5FE92518-B85E-4C17-B563-5847C2E17BA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019" name="Text Box 1">
          <a:extLst>
            <a:ext uri="{FF2B5EF4-FFF2-40B4-BE49-F238E27FC236}">
              <a16:creationId xmlns:a16="http://schemas.microsoft.com/office/drawing/2014/main" xmlns="" id="{072E9BE1-8FB1-4F9B-8465-14080F2030A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020" name="Text Box 1">
          <a:extLst>
            <a:ext uri="{FF2B5EF4-FFF2-40B4-BE49-F238E27FC236}">
              <a16:creationId xmlns:a16="http://schemas.microsoft.com/office/drawing/2014/main" xmlns="" id="{1702664E-802C-4E49-9705-0AD55E54EC1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021" name="Text Box 1">
          <a:extLst>
            <a:ext uri="{FF2B5EF4-FFF2-40B4-BE49-F238E27FC236}">
              <a16:creationId xmlns:a16="http://schemas.microsoft.com/office/drawing/2014/main" xmlns="" id="{8846C353-6680-4378-8EBB-82A5D29D328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022" name="Text Box 1">
          <a:extLst>
            <a:ext uri="{FF2B5EF4-FFF2-40B4-BE49-F238E27FC236}">
              <a16:creationId xmlns:a16="http://schemas.microsoft.com/office/drawing/2014/main" xmlns="" id="{273F3E4D-2393-4EDA-8255-B5BF2BF45CA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023" name="Text Box 1">
          <a:extLst>
            <a:ext uri="{FF2B5EF4-FFF2-40B4-BE49-F238E27FC236}">
              <a16:creationId xmlns:a16="http://schemas.microsoft.com/office/drawing/2014/main" xmlns="" id="{00198E8B-8A11-48DB-B3EC-5C83ADD08C3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024" name="Text Box 1">
          <a:extLst>
            <a:ext uri="{FF2B5EF4-FFF2-40B4-BE49-F238E27FC236}">
              <a16:creationId xmlns:a16="http://schemas.microsoft.com/office/drawing/2014/main" xmlns="" id="{84BF07DE-7F7A-4E3B-9576-3F6BD012134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xmlns="" id="{8EB219EC-0AD8-4FB4-A25C-1E8C8364FEC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026" name="Text Box 1">
          <a:extLst>
            <a:ext uri="{FF2B5EF4-FFF2-40B4-BE49-F238E27FC236}">
              <a16:creationId xmlns:a16="http://schemas.microsoft.com/office/drawing/2014/main" xmlns="" id="{EDF7D954-726E-4CED-88EC-90A0233274A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027" name="Text Box 1">
          <a:extLst>
            <a:ext uri="{FF2B5EF4-FFF2-40B4-BE49-F238E27FC236}">
              <a16:creationId xmlns:a16="http://schemas.microsoft.com/office/drawing/2014/main" xmlns="" id="{751AD278-60C1-4CD4-80A2-ACE5D3A0417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028" name="Text Box 1">
          <a:extLst>
            <a:ext uri="{FF2B5EF4-FFF2-40B4-BE49-F238E27FC236}">
              <a16:creationId xmlns:a16="http://schemas.microsoft.com/office/drawing/2014/main" xmlns="" id="{F8EEB6FE-6194-41F1-9D3C-40844956F5C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029" name="Text Box 1">
          <a:extLst>
            <a:ext uri="{FF2B5EF4-FFF2-40B4-BE49-F238E27FC236}">
              <a16:creationId xmlns:a16="http://schemas.microsoft.com/office/drawing/2014/main" xmlns="" id="{16AE8C94-CB6E-496D-839E-39405EE33331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030" name="Text Box 1">
          <a:extLst>
            <a:ext uri="{FF2B5EF4-FFF2-40B4-BE49-F238E27FC236}">
              <a16:creationId xmlns:a16="http://schemas.microsoft.com/office/drawing/2014/main" xmlns="" id="{05427C0F-791F-45EB-9753-24B0DE248F0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031" name="Text Box 1">
          <a:extLst>
            <a:ext uri="{FF2B5EF4-FFF2-40B4-BE49-F238E27FC236}">
              <a16:creationId xmlns:a16="http://schemas.microsoft.com/office/drawing/2014/main" xmlns="" id="{E60E1797-5590-4191-962E-4B1A7AF1DBF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032" name="Text Box 1">
          <a:extLst>
            <a:ext uri="{FF2B5EF4-FFF2-40B4-BE49-F238E27FC236}">
              <a16:creationId xmlns:a16="http://schemas.microsoft.com/office/drawing/2014/main" xmlns="" id="{50BB6414-366C-4C84-AF93-5510D4F4200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033" name="Text Box 1">
          <a:extLst>
            <a:ext uri="{FF2B5EF4-FFF2-40B4-BE49-F238E27FC236}">
              <a16:creationId xmlns:a16="http://schemas.microsoft.com/office/drawing/2014/main" xmlns="" id="{17772EBE-A190-43E1-B25E-4A60AAEA93C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034" name="Text Box 1">
          <a:extLst>
            <a:ext uri="{FF2B5EF4-FFF2-40B4-BE49-F238E27FC236}">
              <a16:creationId xmlns:a16="http://schemas.microsoft.com/office/drawing/2014/main" xmlns="" id="{2E7FCBF4-D176-45B0-B29C-CF010F6EE52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035" name="Text Box 1">
          <a:extLst>
            <a:ext uri="{FF2B5EF4-FFF2-40B4-BE49-F238E27FC236}">
              <a16:creationId xmlns:a16="http://schemas.microsoft.com/office/drawing/2014/main" xmlns="" id="{92A819C6-0001-4D15-986B-BE051B4A73A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036" name="Text Box 1">
          <a:extLst>
            <a:ext uri="{FF2B5EF4-FFF2-40B4-BE49-F238E27FC236}">
              <a16:creationId xmlns:a16="http://schemas.microsoft.com/office/drawing/2014/main" xmlns="" id="{6ED44D7A-EFC4-4BEE-BEDB-7B17E6B7481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037" name="Text Box 1">
          <a:extLst>
            <a:ext uri="{FF2B5EF4-FFF2-40B4-BE49-F238E27FC236}">
              <a16:creationId xmlns:a16="http://schemas.microsoft.com/office/drawing/2014/main" xmlns="" id="{8C9E43CF-170A-4083-BFB9-2A201A088BF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038" name="Text Box 1">
          <a:extLst>
            <a:ext uri="{FF2B5EF4-FFF2-40B4-BE49-F238E27FC236}">
              <a16:creationId xmlns:a16="http://schemas.microsoft.com/office/drawing/2014/main" xmlns="" id="{E4C026DA-E13B-4A3A-96A8-1AAF4E7C2AD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039" name="Text Box 1">
          <a:extLst>
            <a:ext uri="{FF2B5EF4-FFF2-40B4-BE49-F238E27FC236}">
              <a16:creationId xmlns:a16="http://schemas.microsoft.com/office/drawing/2014/main" xmlns="" id="{C315686B-A0F3-4B72-BEE9-01D7C1BFB66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040" name="Text Box 1">
          <a:extLst>
            <a:ext uri="{FF2B5EF4-FFF2-40B4-BE49-F238E27FC236}">
              <a16:creationId xmlns:a16="http://schemas.microsoft.com/office/drawing/2014/main" xmlns="" id="{100AC51D-F19B-4D2B-936D-90B16B3795B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041" name="Text Box 1">
          <a:extLst>
            <a:ext uri="{FF2B5EF4-FFF2-40B4-BE49-F238E27FC236}">
              <a16:creationId xmlns:a16="http://schemas.microsoft.com/office/drawing/2014/main" xmlns="" id="{0E76F0E5-D1DA-4288-81BD-9558DF503E2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042" name="Text Box 1">
          <a:extLst>
            <a:ext uri="{FF2B5EF4-FFF2-40B4-BE49-F238E27FC236}">
              <a16:creationId xmlns:a16="http://schemas.microsoft.com/office/drawing/2014/main" xmlns="" id="{6855617C-C26E-48F6-AD54-78731D0D04F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043" name="Text Box 1">
          <a:extLst>
            <a:ext uri="{FF2B5EF4-FFF2-40B4-BE49-F238E27FC236}">
              <a16:creationId xmlns:a16="http://schemas.microsoft.com/office/drawing/2014/main" xmlns="" id="{8506125C-2489-46B8-B5CC-FCB0B938A3F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044" name="Text Box 1">
          <a:extLst>
            <a:ext uri="{FF2B5EF4-FFF2-40B4-BE49-F238E27FC236}">
              <a16:creationId xmlns:a16="http://schemas.microsoft.com/office/drawing/2014/main" xmlns="" id="{F95CF374-209C-4B06-AAA2-69BA5059843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045" name="Text Box 1">
          <a:extLst>
            <a:ext uri="{FF2B5EF4-FFF2-40B4-BE49-F238E27FC236}">
              <a16:creationId xmlns:a16="http://schemas.microsoft.com/office/drawing/2014/main" xmlns="" id="{C1706109-2056-4999-BCB5-210D4BA5EE5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046" name="Text Box 1">
          <a:extLst>
            <a:ext uri="{FF2B5EF4-FFF2-40B4-BE49-F238E27FC236}">
              <a16:creationId xmlns:a16="http://schemas.microsoft.com/office/drawing/2014/main" xmlns="" id="{06C82E35-8523-424D-876F-AD936D62D1D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047" name="Text Box 1">
          <a:extLst>
            <a:ext uri="{FF2B5EF4-FFF2-40B4-BE49-F238E27FC236}">
              <a16:creationId xmlns:a16="http://schemas.microsoft.com/office/drawing/2014/main" xmlns="" id="{56FBC176-78C0-482E-8A85-73D55491D93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048" name="Text Box 1">
          <a:extLst>
            <a:ext uri="{FF2B5EF4-FFF2-40B4-BE49-F238E27FC236}">
              <a16:creationId xmlns:a16="http://schemas.microsoft.com/office/drawing/2014/main" xmlns="" id="{3148376C-C4CC-405D-BA31-5D889DF7345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049" name="Text Box 1">
          <a:extLst>
            <a:ext uri="{FF2B5EF4-FFF2-40B4-BE49-F238E27FC236}">
              <a16:creationId xmlns:a16="http://schemas.microsoft.com/office/drawing/2014/main" xmlns="" id="{37CA42FD-92F4-4541-8292-0CAD764B45C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050" name="Text Box 1">
          <a:extLst>
            <a:ext uri="{FF2B5EF4-FFF2-40B4-BE49-F238E27FC236}">
              <a16:creationId xmlns:a16="http://schemas.microsoft.com/office/drawing/2014/main" xmlns="" id="{10C9E83B-3BC4-4B61-A6F0-F8C1CF7668E1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051" name="Text Box 1">
          <a:extLst>
            <a:ext uri="{FF2B5EF4-FFF2-40B4-BE49-F238E27FC236}">
              <a16:creationId xmlns:a16="http://schemas.microsoft.com/office/drawing/2014/main" xmlns="" id="{B66031BB-F049-43AB-9C26-7C104E5070D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052" name="Text Box 1">
          <a:extLst>
            <a:ext uri="{FF2B5EF4-FFF2-40B4-BE49-F238E27FC236}">
              <a16:creationId xmlns:a16="http://schemas.microsoft.com/office/drawing/2014/main" xmlns="" id="{9417C1E8-ED48-4F5A-B25B-570B4B5CB34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053" name="Text Box 1">
          <a:extLst>
            <a:ext uri="{FF2B5EF4-FFF2-40B4-BE49-F238E27FC236}">
              <a16:creationId xmlns:a16="http://schemas.microsoft.com/office/drawing/2014/main" xmlns="" id="{245D3782-2D06-4CDD-B544-A8380355021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054" name="Text Box 1">
          <a:extLst>
            <a:ext uri="{FF2B5EF4-FFF2-40B4-BE49-F238E27FC236}">
              <a16:creationId xmlns:a16="http://schemas.microsoft.com/office/drawing/2014/main" xmlns="" id="{C90D447E-50D1-402C-AC09-658D88D7A8E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055" name="Text Box 1">
          <a:extLst>
            <a:ext uri="{FF2B5EF4-FFF2-40B4-BE49-F238E27FC236}">
              <a16:creationId xmlns:a16="http://schemas.microsoft.com/office/drawing/2014/main" xmlns="" id="{5A96E46D-F6DB-4BD9-98D4-FF35CB14000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056" name="Text Box 1">
          <a:extLst>
            <a:ext uri="{FF2B5EF4-FFF2-40B4-BE49-F238E27FC236}">
              <a16:creationId xmlns:a16="http://schemas.microsoft.com/office/drawing/2014/main" xmlns="" id="{DB4F9F0F-10A5-4260-B50D-9BD1516D77A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057" name="Text Box 1">
          <a:extLst>
            <a:ext uri="{FF2B5EF4-FFF2-40B4-BE49-F238E27FC236}">
              <a16:creationId xmlns:a16="http://schemas.microsoft.com/office/drawing/2014/main" xmlns="" id="{ECDDF685-09F6-43F1-95EF-92C388B23F61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058" name="Text Box 1">
          <a:extLst>
            <a:ext uri="{FF2B5EF4-FFF2-40B4-BE49-F238E27FC236}">
              <a16:creationId xmlns:a16="http://schemas.microsoft.com/office/drawing/2014/main" xmlns="" id="{E5760A1E-8C27-43BB-ADDC-4FB365B35CA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059" name="Text Box 1">
          <a:extLst>
            <a:ext uri="{FF2B5EF4-FFF2-40B4-BE49-F238E27FC236}">
              <a16:creationId xmlns:a16="http://schemas.microsoft.com/office/drawing/2014/main" xmlns="" id="{1ABE0EAB-3A5E-4D1A-BE43-1802C5EF518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060" name="Text Box 1">
          <a:extLst>
            <a:ext uri="{FF2B5EF4-FFF2-40B4-BE49-F238E27FC236}">
              <a16:creationId xmlns:a16="http://schemas.microsoft.com/office/drawing/2014/main" xmlns="" id="{221ED339-C067-4E18-BAD3-0B292F7FE44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061" name="Text Box 1">
          <a:extLst>
            <a:ext uri="{FF2B5EF4-FFF2-40B4-BE49-F238E27FC236}">
              <a16:creationId xmlns:a16="http://schemas.microsoft.com/office/drawing/2014/main" xmlns="" id="{56F60BB1-6F5F-4CC7-8D91-84C93E2CB6D1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062" name="Text Box 1">
          <a:extLst>
            <a:ext uri="{FF2B5EF4-FFF2-40B4-BE49-F238E27FC236}">
              <a16:creationId xmlns:a16="http://schemas.microsoft.com/office/drawing/2014/main" xmlns="" id="{E61585FD-B95F-4B70-A847-514623A8F97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063" name="Text Box 1">
          <a:extLst>
            <a:ext uri="{FF2B5EF4-FFF2-40B4-BE49-F238E27FC236}">
              <a16:creationId xmlns:a16="http://schemas.microsoft.com/office/drawing/2014/main" xmlns="" id="{CB61F9D2-E810-4B58-B500-E353F27A132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064" name="Text Box 1">
          <a:extLst>
            <a:ext uri="{FF2B5EF4-FFF2-40B4-BE49-F238E27FC236}">
              <a16:creationId xmlns:a16="http://schemas.microsoft.com/office/drawing/2014/main" xmlns="" id="{ADA82BED-1BB3-4151-9E25-B305BF2434F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065" name="Text Box 1">
          <a:extLst>
            <a:ext uri="{FF2B5EF4-FFF2-40B4-BE49-F238E27FC236}">
              <a16:creationId xmlns:a16="http://schemas.microsoft.com/office/drawing/2014/main" xmlns="" id="{2A9E2CF8-F4DA-4490-947E-B31BA71650B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066" name="Text Box 1">
          <a:extLst>
            <a:ext uri="{FF2B5EF4-FFF2-40B4-BE49-F238E27FC236}">
              <a16:creationId xmlns:a16="http://schemas.microsoft.com/office/drawing/2014/main" xmlns="" id="{DD30DD77-1A71-4D78-824C-03868D94E22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067" name="Text Box 1">
          <a:extLst>
            <a:ext uri="{FF2B5EF4-FFF2-40B4-BE49-F238E27FC236}">
              <a16:creationId xmlns:a16="http://schemas.microsoft.com/office/drawing/2014/main" xmlns="" id="{3DEB8E20-EFF8-46B8-8D06-12B20465F2E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068" name="Text Box 1">
          <a:extLst>
            <a:ext uri="{FF2B5EF4-FFF2-40B4-BE49-F238E27FC236}">
              <a16:creationId xmlns:a16="http://schemas.microsoft.com/office/drawing/2014/main" xmlns="" id="{DD6EF79E-5F48-4B58-9CEF-FD720126F90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069" name="Text Box 1">
          <a:extLst>
            <a:ext uri="{FF2B5EF4-FFF2-40B4-BE49-F238E27FC236}">
              <a16:creationId xmlns:a16="http://schemas.microsoft.com/office/drawing/2014/main" xmlns="" id="{1EBE5559-51BA-4128-9366-017E82B40F2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070" name="Text Box 1">
          <a:extLst>
            <a:ext uri="{FF2B5EF4-FFF2-40B4-BE49-F238E27FC236}">
              <a16:creationId xmlns:a16="http://schemas.microsoft.com/office/drawing/2014/main" xmlns="" id="{3217882F-1B61-4817-979B-2B774E24BB6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071" name="Text Box 1">
          <a:extLst>
            <a:ext uri="{FF2B5EF4-FFF2-40B4-BE49-F238E27FC236}">
              <a16:creationId xmlns:a16="http://schemas.microsoft.com/office/drawing/2014/main" xmlns="" id="{3043974E-479B-4BBA-8EDC-BF0B9F6A9CC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072" name="Text Box 1">
          <a:extLst>
            <a:ext uri="{FF2B5EF4-FFF2-40B4-BE49-F238E27FC236}">
              <a16:creationId xmlns:a16="http://schemas.microsoft.com/office/drawing/2014/main" xmlns="" id="{376E538E-0C13-4674-B562-7B5A1EFE1D9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073" name="Text Box 1">
          <a:extLst>
            <a:ext uri="{FF2B5EF4-FFF2-40B4-BE49-F238E27FC236}">
              <a16:creationId xmlns:a16="http://schemas.microsoft.com/office/drawing/2014/main" xmlns="" id="{5B99ACCF-FF15-49B6-B893-21E9D20E3FC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074" name="Text Box 1">
          <a:extLst>
            <a:ext uri="{FF2B5EF4-FFF2-40B4-BE49-F238E27FC236}">
              <a16:creationId xmlns:a16="http://schemas.microsoft.com/office/drawing/2014/main" xmlns="" id="{5422F739-18DC-47A3-A4B1-FDDA8634416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075" name="Text Box 1">
          <a:extLst>
            <a:ext uri="{FF2B5EF4-FFF2-40B4-BE49-F238E27FC236}">
              <a16:creationId xmlns:a16="http://schemas.microsoft.com/office/drawing/2014/main" xmlns="" id="{24EAB4DC-D627-40F1-99B5-8AD9AD2C1A91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076" name="Text Box 1">
          <a:extLst>
            <a:ext uri="{FF2B5EF4-FFF2-40B4-BE49-F238E27FC236}">
              <a16:creationId xmlns:a16="http://schemas.microsoft.com/office/drawing/2014/main" xmlns="" id="{9B074638-E042-4AD8-B3A5-F705BF8571C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077" name="Text Box 1">
          <a:extLst>
            <a:ext uri="{FF2B5EF4-FFF2-40B4-BE49-F238E27FC236}">
              <a16:creationId xmlns:a16="http://schemas.microsoft.com/office/drawing/2014/main" xmlns="" id="{93B2673C-8619-45C9-8FD8-6104B42A854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078" name="Text Box 1">
          <a:extLst>
            <a:ext uri="{FF2B5EF4-FFF2-40B4-BE49-F238E27FC236}">
              <a16:creationId xmlns:a16="http://schemas.microsoft.com/office/drawing/2014/main" xmlns="" id="{7085468B-E756-40EF-BE98-AC86090C328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079" name="Text Box 1">
          <a:extLst>
            <a:ext uri="{FF2B5EF4-FFF2-40B4-BE49-F238E27FC236}">
              <a16:creationId xmlns:a16="http://schemas.microsoft.com/office/drawing/2014/main" xmlns="" id="{DDC15B98-C5E9-4572-B744-A6A67C8E79D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080" name="Text Box 1">
          <a:extLst>
            <a:ext uri="{FF2B5EF4-FFF2-40B4-BE49-F238E27FC236}">
              <a16:creationId xmlns:a16="http://schemas.microsoft.com/office/drawing/2014/main" xmlns="" id="{0AD3CFB9-07F8-45F9-8132-5879F3F563B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081" name="Text Box 1">
          <a:extLst>
            <a:ext uri="{FF2B5EF4-FFF2-40B4-BE49-F238E27FC236}">
              <a16:creationId xmlns:a16="http://schemas.microsoft.com/office/drawing/2014/main" xmlns="" id="{C68FD149-53B9-4248-915B-BA2BB07CC6C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082" name="Text Box 1">
          <a:extLst>
            <a:ext uri="{FF2B5EF4-FFF2-40B4-BE49-F238E27FC236}">
              <a16:creationId xmlns:a16="http://schemas.microsoft.com/office/drawing/2014/main" xmlns="" id="{44EBFE1A-FC91-4190-920C-ACFE5E4BEB3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083" name="Text Box 1">
          <a:extLst>
            <a:ext uri="{FF2B5EF4-FFF2-40B4-BE49-F238E27FC236}">
              <a16:creationId xmlns:a16="http://schemas.microsoft.com/office/drawing/2014/main" xmlns="" id="{DFD5F552-8468-4C51-B2E9-48945AFA277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084" name="Text Box 1">
          <a:extLst>
            <a:ext uri="{FF2B5EF4-FFF2-40B4-BE49-F238E27FC236}">
              <a16:creationId xmlns:a16="http://schemas.microsoft.com/office/drawing/2014/main" xmlns="" id="{2044BFAA-805C-4EDF-85CF-1CD390ACB66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085" name="Text Box 1">
          <a:extLst>
            <a:ext uri="{FF2B5EF4-FFF2-40B4-BE49-F238E27FC236}">
              <a16:creationId xmlns:a16="http://schemas.microsoft.com/office/drawing/2014/main" xmlns="" id="{2133B3D5-C47A-4CAD-AD86-D649C88BF37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086" name="Text Box 1">
          <a:extLst>
            <a:ext uri="{FF2B5EF4-FFF2-40B4-BE49-F238E27FC236}">
              <a16:creationId xmlns:a16="http://schemas.microsoft.com/office/drawing/2014/main" xmlns="" id="{2520F61F-ADB4-4BF8-B0E2-13E08EC799A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087" name="Text Box 1">
          <a:extLst>
            <a:ext uri="{FF2B5EF4-FFF2-40B4-BE49-F238E27FC236}">
              <a16:creationId xmlns:a16="http://schemas.microsoft.com/office/drawing/2014/main" xmlns="" id="{691F87E5-02CE-4867-83F2-824A3F23EC4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088" name="Text Box 1">
          <a:extLst>
            <a:ext uri="{FF2B5EF4-FFF2-40B4-BE49-F238E27FC236}">
              <a16:creationId xmlns:a16="http://schemas.microsoft.com/office/drawing/2014/main" xmlns="" id="{723AFB33-E1B3-46FE-BE73-2C7401D9264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089" name="Text Box 1">
          <a:extLst>
            <a:ext uri="{FF2B5EF4-FFF2-40B4-BE49-F238E27FC236}">
              <a16:creationId xmlns:a16="http://schemas.microsoft.com/office/drawing/2014/main" xmlns="" id="{EF4CA6CE-116E-4807-909F-3C67A37BC18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090" name="Text Box 1">
          <a:extLst>
            <a:ext uri="{FF2B5EF4-FFF2-40B4-BE49-F238E27FC236}">
              <a16:creationId xmlns:a16="http://schemas.microsoft.com/office/drawing/2014/main" xmlns="" id="{5C01AEAB-723C-4105-B8F9-A5CC4017F49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091" name="Text Box 1">
          <a:extLst>
            <a:ext uri="{FF2B5EF4-FFF2-40B4-BE49-F238E27FC236}">
              <a16:creationId xmlns:a16="http://schemas.microsoft.com/office/drawing/2014/main" xmlns="" id="{271E492C-0968-497E-B762-812E8473B81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092" name="Text Box 1">
          <a:extLst>
            <a:ext uri="{FF2B5EF4-FFF2-40B4-BE49-F238E27FC236}">
              <a16:creationId xmlns:a16="http://schemas.microsoft.com/office/drawing/2014/main" xmlns="" id="{6EE12C33-56B5-48E2-BCA9-E49199DA07E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093" name="Text Box 1">
          <a:extLst>
            <a:ext uri="{FF2B5EF4-FFF2-40B4-BE49-F238E27FC236}">
              <a16:creationId xmlns:a16="http://schemas.microsoft.com/office/drawing/2014/main" xmlns="" id="{02DEC6A9-443D-4052-AE61-ABFDF4B25871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094" name="Text Box 1">
          <a:extLst>
            <a:ext uri="{FF2B5EF4-FFF2-40B4-BE49-F238E27FC236}">
              <a16:creationId xmlns:a16="http://schemas.microsoft.com/office/drawing/2014/main" xmlns="" id="{2B5B15BF-7ACF-4451-A901-D431428E29C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095" name="Text Box 1">
          <a:extLst>
            <a:ext uri="{FF2B5EF4-FFF2-40B4-BE49-F238E27FC236}">
              <a16:creationId xmlns:a16="http://schemas.microsoft.com/office/drawing/2014/main" xmlns="" id="{D0148DA2-5052-4D15-AFD1-DE9BDACA3DF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096" name="Text Box 1">
          <a:extLst>
            <a:ext uri="{FF2B5EF4-FFF2-40B4-BE49-F238E27FC236}">
              <a16:creationId xmlns:a16="http://schemas.microsoft.com/office/drawing/2014/main" xmlns="" id="{4B8A8587-3981-4BF8-9044-C5BC78C9881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097" name="Text Box 1">
          <a:extLst>
            <a:ext uri="{FF2B5EF4-FFF2-40B4-BE49-F238E27FC236}">
              <a16:creationId xmlns:a16="http://schemas.microsoft.com/office/drawing/2014/main" xmlns="" id="{104D0E8B-83B5-4B7C-BCD7-74B8787D027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098" name="Text Box 1">
          <a:extLst>
            <a:ext uri="{FF2B5EF4-FFF2-40B4-BE49-F238E27FC236}">
              <a16:creationId xmlns:a16="http://schemas.microsoft.com/office/drawing/2014/main" xmlns="" id="{4E663565-8AC8-4084-908F-C0D97F5986C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099" name="Text Box 1">
          <a:extLst>
            <a:ext uri="{FF2B5EF4-FFF2-40B4-BE49-F238E27FC236}">
              <a16:creationId xmlns:a16="http://schemas.microsoft.com/office/drawing/2014/main" xmlns="" id="{2633B384-B1BA-4DCA-987D-16BC888E8E6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100" name="Text Box 1">
          <a:extLst>
            <a:ext uri="{FF2B5EF4-FFF2-40B4-BE49-F238E27FC236}">
              <a16:creationId xmlns:a16="http://schemas.microsoft.com/office/drawing/2014/main" xmlns="" id="{FEDDD193-D44A-49EB-B4D5-03680CD8876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101" name="Text Box 1">
          <a:extLst>
            <a:ext uri="{FF2B5EF4-FFF2-40B4-BE49-F238E27FC236}">
              <a16:creationId xmlns:a16="http://schemas.microsoft.com/office/drawing/2014/main" xmlns="" id="{F449ED44-7D7F-4D9C-B8E2-E88FD606F31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102" name="Text Box 1">
          <a:extLst>
            <a:ext uri="{FF2B5EF4-FFF2-40B4-BE49-F238E27FC236}">
              <a16:creationId xmlns:a16="http://schemas.microsoft.com/office/drawing/2014/main" xmlns="" id="{F75D996F-FA16-4D1D-8BD5-5F1FE41C94A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103" name="Text Box 1">
          <a:extLst>
            <a:ext uri="{FF2B5EF4-FFF2-40B4-BE49-F238E27FC236}">
              <a16:creationId xmlns:a16="http://schemas.microsoft.com/office/drawing/2014/main" xmlns="" id="{DDB92C7D-230D-4FA6-ACF7-E19F8140EA7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104" name="Text Box 1">
          <a:extLst>
            <a:ext uri="{FF2B5EF4-FFF2-40B4-BE49-F238E27FC236}">
              <a16:creationId xmlns:a16="http://schemas.microsoft.com/office/drawing/2014/main" xmlns="" id="{EE641F3F-7ED1-4B66-B83D-7FCDFAFB7A0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105" name="Text Box 1">
          <a:extLst>
            <a:ext uri="{FF2B5EF4-FFF2-40B4-BE49-F238E27FC236}">
              <a16:creationId xmlns:a16="http://schemas.microsoft.com/office/drawing/2014/main" xmlns="" id="{3CC6E1EF-8650-4514-87F8-8595B594965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106" name="Text Box 1">
          <a:extLst>
            <a:ext uri="{FF2B5EF4-FFF2-40B4-BE49-F238E27FC236}">
              <a16:creationId xmlns:a16="http://schemas.microsoft.com/office/drawing/2014/main" xmlns="" id="{76F323C0-56E6-4AA8-BF39-46A2C6CD0AA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107" name="Text Box 1">
          <a:extLst>
            <a:ext uri="{FF2B5EF4-FFF2-40B4-BE49-F238E27FC236}">
              <a16:creationId xmlns:a16="http://schemas.microsoft.com/office/drawing/2014/main" xmlns="" id="{3749E254-FE93-4501-B1EB-090DD6914A9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108" name="Text Box 1">
          <a:extLst>
            <a:ext uri="{FF2B5EF4-FFF2-40B4-BE49-F238E27FC236}">
              <a16:creationId xmlns:a16="http://schemas.microsoft.com/office/drawing/2014/main" xmlns="" id="{5FBC2F46-90FD-4DE3-BFBC-0A73A49726A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109" name="Text Box 1">
          <a:extLst>
            <a:ext uri="{FF2B5EF4-FFF2-40B4-BE49-F238E27FC236}">
              <a16:creationId xmlns:a16="http://schemas.microsoft.com/office/drawing/2014/main" xmlns="" id="{74722348-33F5-469B-96C5-9A3D4DEA8C5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110" name="Text Box 1">
          <a:extLst>
            <a:ext uri="{FF2B5EF4-FFF2-40B4-BE49-F238E27FC236}">
              <a16:creationId xmlns:a16="http://schemas.microsoft.com/office/drawing/2014/main" xmlns="" id="{0ED27C13-D97E-4C61-8718-4FCBD799F4F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111" name="Text Box 1">
          <a:extLst>
            <a:ext uri="{FF2B5EF4-FFF2-40B4-BE49-F238E27FC236}">
              <a16:creationId xmlns:a16="http://schemas.microsoft.com/office/drawing/2014/main" xmlns="" id="{14B3F4E2-64A9-4324-8977-AB73E921394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112" name="Text Box 1">
          <a:extLst>
            <a:ext uri="{FF2B5EF4-FFF2-40B4-BE49-F238E27FC236}">
              <a16:creationId xmlns:a16="http://schemas.microsoft.com/office/drawing/2014/main" xmlns="" id="{6FA821D0-3E06-4460-AEEA-369E59BD721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113" name="Text Box 1">
          <a:extLst>
            <a:ext uri="{FF2B5EF4-FFF2-40B4-BE49-F238E27FC236}">
              <a16:creationId xmlns:a16="http://schemas.microsoft.com/office/drawing/2014/main" xmlns="" id="{38D47F0C-6455-4740-A10C-15F32A3CA51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114" name="Text Box 1">
          <a:extLst>
            <a:ext uri="{FF2B5EF4-FFF2-40B4-BE49-F238E27FC236}">
              <a16:creationId xmlns:a16="http://schemas.microsoft.com/office/drawing/2014/main" xmlns="" id="{2D4DF33F-B017-489A-991E-E91934ACDDE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115" name="Text Box 1">
          <a:extLst>
            <a:ext uri="{FF2B5EF4-FFF2-40B4-BE49-F238E27FC236}">
              <a16:creationId xmlns:a16="http://schemas.microsoft.com/office/drawing/2014/main" xmlns="" id="{EE822E47-F637-4C71-9D62-5E9B2FDAACF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116" name="Text Box 1">
          <a:extLst>
            <a:ext uri="{FF2B5EF4-FFF2-40B4-BE49-F238E27FC236}">
              <a16:creationId xmlns:a16="http://schemas.microsoft.com/office/drawing/2014/main" xmlns="" id="{4EF21EC1-1AD3-4CF6-934F-8EA5DD06D3B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117" name="Text Box 1">
          <a:extLst>
            <a:ext uri="{FF2B5EF4-FFF2-40B4-BE49-F238E27FC236}">
              <a16:creationId xmlns:a16="http://schemas.microsoft.com/office/drawing/2014/main" xmlns="" id="{A2E19FE3-15BD-4597-ADAC-37BE9373449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118" name="Text Box 1">
          <a:extLst>
            <a:ext uri="{FF2B5EF4-FFF2-40B4-BE49-F238E27FC236}">
              <a16:creationId xmlns:a16="http://schemas.microsoft.com/office/drawing/2014/main" xmlns="" id="{C9F75B62-72CB-478A-929F-6CA10A46EB8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119" name="Text Box 1">
          <a:extLst>
            <a:ext uri="{FF2B5EF4-FFF2-40B4-BE49-F238E27FC236}">
              <a16:creationId xmlns:a16="http://schemas.microsoft.com/office/drawing/2014/main" xmlns="" id="{D4856C40-B7B1-4577-B0AA-FD98F2A659C1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120" name="Text Box 1">
          <a:extLst>
            <a:ext uri="{FF2B5EF4-FFF2-40B4-BE49-F238E27FC236}">
              <a16:creationId xmlns:a16="http://schemas.microsoft.com/office/drawing/2014/main" xmlns="" id="{2B7EE0ED-6C8C-4DCF-9796-29A5E0CDA1C1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121" name="Text Box 1">
          <a:extLst>
            <a:ext uri="{FF2B5EF4-FFF2-40B4-BE49-F238E27FC236}">
              <a16:creationId xmlns:a16="http://schemas.microsoft.com/office/drawing/2014/main" xmlns="" id="{75EAF68A-BFE8-4637-B59E-7D6670BB137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122" name="Text Box 1">
          <a:extLst>
            <a:ext uri="{FF2B5EF4-FFF2-40B4-BE49-F238E27FC236}">
              <a16:creationId xmlns:a16="http://schemas.microsoft.com/office/drawing/2014/main" xmlns="" id="{434EA8E5-8477-45E6-BD36-4CE7648FECE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123" name="Text Box 1">
          <a:extLst>
            <a:ext uri="{FF2B5EF4-FFF2-40B4-BE49-F238E27FC236}">
              <a16:creationId xmlns:a16="http://schemas.microsoft.com/office/drawing/2014/main" xmlns="" id="{7B85A132-5173-44E8-8971-72919F47057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124" name="Text Box 1">
          <a:extLst>
            <a:ext uri="{FF2B5EF4-FFF2-40B4-BE49-F238E27FC236}">
              <a16:creationId xmlns:a16="http://schemas.microsoft.com/office/drawing/2014/main" xmlns="" id="{7112B4F5-6DF7-46A3-80FD-4C43387C24C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125" name="Text Box 1">
          <a:extLst>
            <a:ext uri="{FF2B5EF4-FFF2-40B4-BE49-F238E27FC236}">
              <a16:creationId xmlns:a16="http://schemas.microsoft.com/office/drawing/2014/main" xmlns="" id="{5D6A7316-48FB-4D48-87AF-E132F2A7DAC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126" name="Text Box 1">
          <a:extLst>
            <a:ext uri="{FF2B5EF4-FFF2-40B4-BE49-F238E27FC236}">
              <a16:creationId xmlns:a16="http://schemas.microsoft.com/office/drawing/2014/main" xmlns="" id="{3E9174DB-7FD2-4BD6-BF49-E7E3F2A4C3A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127" name="Text Box 1">
          <a:extLst>
            <a:ext uri="{FF2B5EF4-FFF2-40B4-BE49-F238E27FC236}">
              <a16:creationId xmlns:a16="http://schemas.microsoft.com/office/drawing/2014/main" xmlns="" id="{A40FBAB1-26A8-4ED0-9DE2-62E88FC64D8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128" name="Text Box 1">
          <a:extLst>
            <a:ext uri="{FF2B5EF4-FFF2-40B4-BE49-F238E27FC236}">
              <a16:creationId xmlns:a16="http://schemas.microsoft.com/office/drawing/2014/main" xmlns="" id="{806626FB-3FE8-4217-A29E-438A3EFD559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129" name="Text Box 1">
          <a:extLst>
            <a:ext uri="{FF2B5EF4-FFF2-40B4-BE49-F238E27FC236}">
              <a16:creationId xmlns:a16="http://schemas.microsoft.com/office/drawing/2014/main" xmlns="" id="{BFD536D1-BD5B-4C23-B509-30D80A8D0D3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130" name="Text Box 1">
          <a:extLst>
            <a:ext uri="{FF2B5EF4-FFF2-40B4-BE49-F238E27FC236}">
              <a16:creationId xmlns:a16="http://schemas.microsoft.com/office/drawing/2014/main" xmlns="" id="{E70AD9FC-1D5A-473A-AAA5-45389B0EFE2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131" name="Text Box 1">
          <a:extLst>
            <a:ext uri="{FF2B5EF4-FFF2-40B4-BE49-F238E27FC236}">
              <a16:creationId xmlns:a16="http://schemas.microsoft.com/office/drawing/2014/main" xmlns="" id="{5F7579C2-0364-4071-958C-C3990D5B2D7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132" name="Text Box 1">
          <a:extLst>
            <a:ext uri="{FF2B5EF4-FFF2-40B4-BE49-F238E27FC236}">
              <a16:creationId xmlns:a16="http://schemas.microsoft.com/office/drawing/2014/main" xmlns="" id="{B0C7BA7F-39E1-4AA0-A84A-25ACA8E1A47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133" name="Text Box 1">
          <a:extLst>
            <a:ext uri="{FF2B5EF4-FFF2-40B4-BE49-F238E27FC236}">
              <a16:creationId xmlns:a16="http://schemas.microsoft.com/office/drawing/2014/main" xmlns="" id="{F72FB07A-DC6D-4606-ACA9-C5D476147CF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134" name="Text Box 1">
          <a:extLst>
            <a:ext uri="{FF2B5EF4-FFF2-40B4-BE49-F238E27FC236}">
              <a16:creationId xmlns:a16="http://schemas.microsoft.com/office/drawing/2014/main" xmlns="" id="{70738DB2-67D3-40BC-9A4F-166E9CDF7D5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135" name="Text Box 1">
          <a:extLst>
            <a:ext uri="{FF2B5EF4-FFF2-40B4-BE49-F238E27FC236}">
              <a16:creationId xmlns:a16="http://schemas.microsoft.com/office/drawing/2014/main" xmlns="" id="{F6FA579C-47B2-489B-A0D0-48DD97797F7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136" name="Text Box 1">
          <a:extLst>
            <a:ext uri="{FF2B5EF4-FFF2-40B4-BE49-F238E27FC236}">
              <a16:creationId xmlns:a16="http://schemas.microsoft.com/office/drawing/2014/main" xmlns="" id="{E570CA9B-D6CE-4A99-8A3B-98C384FDE85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137" name="Text Box 1">
          <a:extLst>
            <a:ext uri="{FF2B5EF4-FFF2-40B4-BE49-F238E27FC236}">
              <a16:creationId xmlns:a16="http://schemas.microsoft.com/office/drawing/2014/main" xmlns="" id="{4B77EDA0-467C-4504-BB0F-0176EF4A4D4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138" name="Text Box 1">
          <a:extLst>
            <a:ext uri="{FF2B5EF4-FFF2-40B4-BE49-F238E27FC236}">
              <a16:creationId xmlns:a16="http://schemas.microsoft.com/office/drawing/2014/main" xmlns="" id="{D46FE140-344B-4D12-A85E-482F3034F7A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139" name="Text Box 1">
          <a:extLst>
            <a:ext uri="{FF2B5EF4-FFF2-40B4-BE49-F238E27FC236}">
              <a16:creationId xmlns:a16="http://schemas.microsoft.com/office/drawing/2014/main" xmlns="" id="{59361504-37F6-4E30-B52A-2A8A7678CAE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140" name="Text Box 1">
          <a:extLst>
            <a:ext uri="{FF2B5EF4-FFF2-40B4-BE49-F238E27FC236}">
              <a16:creationId xmlns:a16="http://schemas.microsoft.com/office/drawing/2014/main" xmlns="" id="{B20B3650-5181-4499-946D-8085D293B8B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141" name="Text Box 1">
          <a:extLst>
            <a:ext uri="{FF2B5EF4-FFF2-40B4-BE49-F238E27FC236}">
              <a16:creationId xmlns:a16="http://schemas.microsoft.com/office/drawing/2014/main" xmlns="" id="{18234957-F4B8-4550-832E-81084F98982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142" name="Text Box 1">
          <a:extLst>
            <a:ext uri="{FF2B5EF4-FFF2-40B4-BE49-F238E27FC236}">
              <a16:creationId xmlns:a16="http://schemas.microsoft.com/office/drawing/2014/main" xmlns="" id="{EB8C348B-6B64-4015-8884-A69FA60A32F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143" name="Text Box 1">
          <a:extLst>
            <a:ext uri="{FF2B5EF4-FFF2-40B4-BE49-F238E27FC236}">
              <a16:creationId xmlns:a16="http://schemas.microsoft.com/office/drawing/2014/main" xmlns="" id="{1A3E361B-8815-4B03-AD7D-DD225B58A6B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144" name="Text Box 1">
          <a:extLst>
            <a:ext uri="{FF2B5EF4-FFF2-40B4-BE49-F238E27FC236}">
              <a16:creationId xmlns:a16="http://schemas.microsoft.com/office/drawing/2014/main" xmlns="" id="{2D28EF14-9FDC-44C1-9463-AE9EE749885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145" name="Text Box 1">
          <a:extLst>
            <a:ext uri="{FF2B5EF4-FFF2-40B4-BE49-F238E27FC236}">
              <a16:creationId xmlns:a16="http://schemas.microsoft.com/office/drawing/2014/main" xmlns="" id="{03DA7EC9-D524-4CC4-97BF-DAE65F9DE7F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146" name="Text Box 1">
          <a:extLst>
            <a:ext uri="{FF2B5EF4-FFF2-40B4-BE49-F238E27FC236}">
              <a16:creationId xmlns:a16="http://schemas.microsoft.com/office/drawing/2014/main" xmlns="" id="{5DB91D8D-F7DD-4BD5-8E1B-5B31CD8C9E3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147" name="Text Box 1">
          <a:extLst>
            <a:ext uri="{FF2B5EF4-FFF2-40B4-BE49-F238E27FC236}">
              <a16:creationId xmlns:a16="http://schemas.microsoft.com/office/drawing/2014/main" xmlns="" id="{B862CD05-755D-409F-9FDB-B8E47C74461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148" name="Text Box 1">
          <a:extLst>
            <a:ext uri="{FF2B5EF4-FFF2-40B4-BE49-F238E27FC236}">
              <a16:creationId xmlns:a16="http://schemas.microsoft.com/office/drawing/2014/main" xmlns="" id="{FDCCFF41-154A-4D9E-A2C9-54798CC0319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149" name="Text Box 1">
          <a:extLst>
            <a:ext uri="{FF2B5EF4-FFF2-40B4-BE49-F238E27FC236}">
              <a16:creationId xmlns:a16="http://schemas.microsoft.com/office/drawing/2014/main" xmlns="" id="{75E6EBF9-E95B-4F94-99C0-F2A2000088C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150" name="Text Box 1">
          <a:extLst>
            <a:ext uri="{FF2B5EF4-FFF2-40B4-BE49-F238E27FC236}">
              <a16:creationId xmlns:a16="http://schemas.microsoft.com/office/drawing/2014/main" xmlns="" id="{FD79BE84-65E3-426E-931C-CF79377CAAE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151" name="Text Box 1">
          <a:extLst>
            <a:ext uri="{FF2B5EF4-FFF2-40B4-BE49-F238E27FC236}">
              <a16:creationId xmlns:a16="http://schemas.microsoft.com/office/drawing/2014/main" xmlns="" id="{E667D537-4671-4978-B76D-EACBB285D1F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152" name="Text Box 1">
          <a:extLst>
            <a:ext uri="{FF2B5EF4-FFF2-40B4-BE49-F238E27FC236}">
              <a16:creationId xmlns:a16="http://schemas.microsoft.com/office/drawing/2014/main" xmlns="" id="{907BB59C-068B-4D37-AFC1-5D6A832B099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153" name="Text Box 1">
          <a:extLst>
            <a:ext uri="{FF2B5EF4-FFF2-40B4-BE49-F238E27FC236}">
              <a16:creationId xmlns:a16="http://schemas.microsoft.com/office/drawing/2014/main" xmlns="" id="{E59BEF05-A2D4-492B-BCDD-33D8DF9AB8E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154" name="Text Box 1">
          <a:extLst>
            <a:ext uri="{FF2B5EF4-FFF2-40B4-BE49-F238E27FC236}">
              <a16:creationId xmlns:a16="http://schemas.microsoft.com/office/drawing/2014/main" xmlns="" id="{6D106C82-86B4-4EB6-8292-A84F94C4BBC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155" name="Text Box 1">
          <a:extLst>
            <a:ext uri="{FF2B5EF4-FFF2-40B4-BE49-F238E27FC236}">
              <a16:creationId xmlns:a16="http://schemas.microsoft.com/office/drawing/2014/main" xmlns="" id="{E47DF67F-AB73-4853-9A2A-410AD508458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156" name="Text Box 1">
          <a:extLst>
            <a:ext uri="{FF2B5EF4-FFF2-40B4-BE49-F238E27FC236}">
              <a16:creationId xmlns:a16="http://schemas.microsoft.com/office/drawing/2014/main" xmlns="" id="{5C9B256D-7BD7-474B-8E43-2D9F24D6080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157" name="Text Box 1">
          <a:extLst>
            <a:ext uri="{FF2B5EF4-FFF2-40B4-BE49-F238E27FC236}">
              <a16:creationId xmlns:a16="http://schemas.microsoft.com/office/drawing/2014/main" xmlns="" id="{CC018CFB-BBC2-4E6E-8CB4-F501BA8F884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158" name="Text Box 1">
          <a:extLst>
            <a:ext uri="{FF2B5EF4-FFF2-40B4-BE49-F238E27FC236}">
              <a16:creationId xmlns:a16="http://schemas.microsoft.com/office/drawing/2014/main" xmlns="" id="{3D9FF282-4BD8-4992-8ACF-987195F23BB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159" name="Text Box 1">
          <a:extLst>
            <a:ext uri="{FF2B5EF4-FFF2-40B4-BE49-F238E27FC236}">
              <a16:creationId xmlns:a16="http://schemas.microsoft.com/office/drawing/2014/main" xmlns="" id="{FF26E930-7D25-4138-BCE4-1DD0898C4A8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160" name="Text Box 1">
          <a:extLst>
            <a:ext uri="{FF2B5EF4-FFF2-40B4-BE49-F238E27FC236}">
              <a16:creationId xmlns:a16="http://schemas.microsoft.com/office/drawing/2014/main" xmlns="" id="{C4F673A1-EB78-45C8-993D-639531BDD4A1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161" name="Text Box 1">
          <a:extLst>
            <a:ext uri="{FF2B5EF4-FFF2-40B4-BE49-F238E27FC236}">
              <a16:creationId xmlns:a16="http://schemas.microsoft.com/office/drawing/2014/main" xmlns="" id="{18EFAE85-287C-4BD4-8577-DFC7B5B3BA6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162" name="Text Box 1">
          <a:extLst>
            <a:ext uri="{FF2B5EF4-FFF2-40B4-BE49-F238E27FC236}">
              <a16:creationId xmlns:a16="http://schemas.microsoft.com/office/drawing/2014/main" xmlns="" id="{0E63C5E0-C2D4-4EC4-BA06-6FC6184F517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163" name="Text Box 1">
          <a:extLst>
            <a:ext uri="{FF2B5EF4-FFF2-40B4-BE49-F238E27FC236}">
              <a16:creationId xmlns:a16="http://schemas.microsoft.com/office/drawing/2014/main" xmlns="" id="{5FED99B3-C4FF-4985-A03A-4E78F8489ED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164" name="Text Box 1">
          <a:extLst>
            <a:ext uri="{FF2B5EF4-FFF2-40B4-BE49-F238E27FC236}">
              <a16:creationId xmlns:a16="http://schemas.microsoft.com/office/drawing/2014/main" xmlns="" id="{F7C50581-6134-4C3E-9F7B-2012AADD6A6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165" name="Text Box 1">
          <a:extLst>
            <a:ext uri="{FF2B5EF4-FFF2-40B4-BE49-F238E27FC236}">
              <a16:creationId xmlns:a16="http://schemas.microsoft.com/office/drawing/2014/main" xmlns="" id="{D7DB174C-E549-4E1D-A0CF-46BBBCF1626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166" name="Text Box 1">
          <a:extLst>
            <a:ext uri="{FF2B5EF4-FFF2-40B4-BE49-F238E27FC236}">
              <a16:creationId xmlns:a16="http://schemas.microsoft.com/office/drawing/2014/main" xmlns="" id="{6DB051A9-3EF1-4021-852A-59562271698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167" name="Text Box 1">
          <a:extLst>
            <a:ext uri="{FF2B5EF4-FFF2-40B4-BE49-F238E27FC236}">
              <a16:creationId xmlns:a16="http://schemas.microsoft.com/office/drawing/2014/main" xmlns="" id="{CE25723F-CE46-425A-A04B-EC1E96153B3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168" name="Text Box 1">
          <a:extLst>
            <a:ext uri="{FF2B5EF4-FFF2-40B4-BE49-F238E27FC236}">
              <a16:creationId xmlns:a16="http://schemas.microsoft.com/office/drawing/2014/main" xmlns="" id="{9E9C71D0-F9A9-4DF8-BA77-F95D384B3C2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169" name="Text Box 1">
          <a:extLst>
            <a:ext uri="{FF2B5EF4-FFF2-40B4-BE49-F238E27FC236}">
              <a16:creationId xmlns:a16="http://schemas.microsoft.com/office/drawing/2014/main" xmlns="" id="{F663F605-E0D2-4F1D-A6E5-9C1FBE7CBE3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170" name="Text Box 1">
          <a:extLst>
            <a:ext uri="{FF2B5EF4-FFF2-40B4-BE49-F238E27FC236}">
              <a16:creationId xmlns:a16="http://schemas.microsoft.com/office/drawing/2014/main" xmlns="" id="{229D92E8-BED2-4CA0-93D7-79A14083AB6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171" name="Text Box 1">
          <a:extLst>
            <a:ext uri="{FF2B5EF4-FFF2-40B4-BE49-F238E27FC236}">
              <a16:creationId xmlns:a16="http://schemas.microsoft.com/office/drawing/2014/main" xmlns="" id="{91494209-EFFF-4DCD-B12E-2F49B79E02F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172" name="Text Box 1">
          <a:extLst>
            <a:ext uri="{FF2B5EF4-FFF2-40B4-BE49-F238E27FC236}">
              <a16:creationId xmlns:a16="http://schemas.microsoft.com/office/drawing/2014/main" xmlns="" id="{20445B3F-4E71-4655-8497-AB31BE4CBA0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173" name="Text Box 1">
          <a:extLst>
            <a:ext uri="{FF2B5EF4-FFF2-40B4-BE49-F238E27FC236}">
              <a16:creationId xmlns:a16="http://schemas.microsoft.com/office/drawing/2014/main" xmlns="" id="{18C605D3-5B59-488E-B398-6B34055634E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174" name="Text Box 1">
          <a:extLst>
            <a:ext uri="{FF2B5EF4-FFF2-40B4-BE49-F238E27FC236}">
              <a16:creationId xmlns:a16="http://schemas.microsoft.com/office/drawing/2014/main" xmlns="" id="{D4BCD8D1-453D-4C70-8449-14B47D6432C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175" name="Text Box 1">
          <a:extLst>
            <a:ext uri="{FF2B5EF4-FFF2-40B4-BE49-F238E27FC236}">
              <a16:creationId xmlns:a16="http://schemas.microsoft.com/office/drawing/2014/main" xmlns="" id="{582B7626-599D-48D8-9C37-70C2C338385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176" name="Text Box 1">
          <a:extLst>
            <a:ext uri="{FF2B5EF4-FFF2-40B4-BE49-F238E27FC236}">
              <a16:creationId xmlns:a16="http://schemas.microsoft.com/office/drawing/2014/main" xmlns="" id="{4D42856F-A1B1-4F54-8259-81EC1486BA5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177" name="Text Box 1">
          <a:extLst>
            <a:ext uri="{FF2B5EF4-FFF2-40B4-BE49-F238E27FC236}">
              <a16:creationId xmlns:a16="http://schemas.microsoft.com/office/drawing/2014/main" xmlns="" id="{67329DB6-948C-4739-8163-2E61A5C7EDE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178" name="Text Box 1">
          <a:extLst>
            <a:ext uri="{FF2B5EF4-FFF2-40B4-BE49-F238E27FC236}">
              <a16:creationId xmlns:a16="http://schemas.microsoft.com/office/drawing/2014/main" xmlns="" id="{FEA22C99-E3EF-4487-AB00-03307FB4300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179" name="Text Box 1">
          <a:extLst>
            <a:ext uri="{FF2B5EF4-FFF2-40B4-BE49-F238E27FC236}">
              <a16:creationId xmlns:a16="http://schemas.microsoft.com/office/drawing/2014/main" xmlns="" id="{7C3062FB-1D3C-4AC2-A718-55B62BEAE151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180" name="Text Box 1">
          <a:extLst>
            <a:ext uri="{FF2B5EF4-FFF2-40B4-BE49-F238E27FC236}">
              <a16:creationId xmlns:a16="http://schemas.microsoft.com/office/drawing/2014/main" xmlns="" id="{44F29873-9235-4280-AC71-51A6C508C16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181" name="Text Box 1">
          <a:extLst>
            <a:ext uri="{FF2B5EF4-FFF2-40B4-BE49-F238E27FC236}">
              <a16:creationId xmlns:a16="http://schemas.microsoft.com/office/drawing/2014/main" xmlns="" id="{6BA1F521-B5D6-4195-AB46-45789AC9193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182" name="Text Box 1">
          <a:extLst>
            <a:ext uri="{FF2B5EF4-FFF2-40B4-BE49-F238E27FC236}">
              <a16:creationId xmlns:a16="http://schemas.microsoft.com/office/drawing/2014/main" xmlns="" id="{1A83FA47-A58A-4893-B173-B88C735F368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183" name="Text Box 1">
          <a:extLst>
            <a:ext uri="{FF2B5EF4-FFF2-40B4-BE49-F238E27FC236}">
              <a16:creationId xmlns:a16="http://schemas.microsoft.com/office/drawing/2014/main" xmlns="" id="{F6473576-6527-4699-822B-B34F3550DD7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184" name="Text Box 1">
          <a:extLst>
            <a:ext uri="{FF2B5EF4-FFF2-40B4-BE49-F238E27FC236}">
              <a16:creationId xmlns:a16="http://schemas.microsoft.com/office/drawing/2014/main" xmlns="" id="{79D3260C-E52C-4275-A02B-9CE28C2FA68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185" name="Text Box 1">
          <a:extLst>
            <a:ext uri="{FF2B5EF4-FFF2-40B4-BE49-F238E27FC236}">
              <a16:creationId xmlns:a16="http://schemas.microsoft.com/office/drawing/2014/main" xmlns="" id="{AC2CE48C-C4FB-4E5F-A7AF-E77E63BE57C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186" name="Text Box 1">
          <a:extLst>
            <a:ext uri="{FF2B5EF4-FFF2-40B4-BE49-F238E27FC236}">
              <a16:creationId xmlns:a16="http://schemas.microsoft.com/office/drawing/2014/main" xmlns="" id="{FC5D2485-3054-4C34-981E-EF5E4DF7065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187" name="Text Box 1">
          <a:extLst>
            <a:ext uri="{FF2B5EF4-FFF2-40B4-BE49-F238E27FC236}">
              <a16:creationId xmlns:a16="http://schemas.microsoft.com/office/drawing/2014/main" xmlns="" id="{639D6277-059D-4BA9-A5E3-CE451981F94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188" name="Text Box 1">
          <a:extLst>
            <a:ext uri="{FF2B5EF4-FFF2-40B4-BE49-F238E27FC236}">
              <a16:creationId xmlns:a16="http://schemas.microsoft.com/office/drawing/2014/main" xmlns="" id="{8276DF07-15DD-44DD-8B34-90860975E6A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189" name="Text Box 1">
          <a:extLst>
            <a:ext uri="{FF2B5EF4-FFF2-40B4-BE49-F238E27FC236}">
              <a16:creationId xmlns:a16="http://schemas.microsoft.com/office/drawing/2014/main" xmlns="" id="{5FA9DEA1-C4FC-4233-A443-7887F180322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190" name="Text Box 1">
          <a:extLst>
            <a:ext uri="{FF2B5EF4-FFF2-40B4-BE49-F238E27FC236}">
              <a16:creationId xmlns:a16="http://schemas.microsoft.com/office/drawing/2014/main" xmlns="" id="{46D4B383-ADE0-4858-9BE0-F2C0F79DDCD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191" name="Text Box 1">
          <a:extLst>
            <a:ext uri="{FF2B5EF4-FFF2-40B4-BE49-F238E27FC236}">
              <a16:creationId xmlns:a16="http://schemas.microsoft.com/office/drawing/2014/main" xmlns="" id="{310CD289-5B4C-4C3E-BD29-A6DCF052FB4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192" name="Text Box 1">
          <a:extLst>
            <a:ext uri="{FF2B5EF4-FFF2-40B4-BE49-F238E27FC236}">
              <a16:creationId xmlns:a16="http://schemas.microsoft.com/office/drawing/2014/main" xmlns="" id="{15EAB0C5-E559-4738-812F-4FE603FAD57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193" name="Text Box 1">
          <a:extLst>
            <a:ext uri="{FF2B5EF4-FFF2-40B4-BE49-F238E27FC236}">
              <a16:creationId xmlns:a16="http://schemas.microsoft.com/office/drawing/2014/main" xmlns="" id="{6061F846-A9DB-4B53-893E-ECBB3BA5D8C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194" name="Text Box 1">
          <a:extLst>
            <a:ext uri="{FF2B5EF4-FFF2-40B4-BE49-F238E27FC236}">
              <a16:creationId xmlns:a16="http://schemas.microsoft.com/office/drawing/2014/main" xmlns="" id="{4C6428EF-4187-4EC0-B0C2-6F10BB3C03E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195" name="Text Box 1">
          <a:extLst>
            <a:ext uri="{FF2B5EF4-FFF2-40B4-BE49-F238E27FC236}">
              <a16:creationId xmlns:a16="http://schemas.microsoft.com/office/drawing/2014/main" xmlns="" id="{E36341DD-C332-48E4-9208-7F611B103D3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196" name="Text Box 1">
          <a:extLst>
            <a:ext uri="{FF2B5EF4-FFF2-40B4-BE49-F238E27FC236}">
              <a16:creationId xmlns:a16="http://schemas.microsoft.com/office/drawing/2014/main" xmlns="" id="{D9A42D77-46C2-4BF4-B7C9-EA385EF714D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197" name="Text Box 1">
          <a:extLst>
            <a:ext uri="{FF2B5EF4-FFF2-40B4-BE49-F238E27FC236}">
              <a16:creationId xmlns:a16="http://schemas.microsoft.com/office/drawing/2014/main" xmlns="" id="{A65424F6-1257-42DA-A885-B118F1F9739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198" name="Text Box 1">
          <a:extLst>
            <a:ext uri="{FF2B5EF4-FFF2-40B4-BE49-F238E27FC236}">
              <a16:creationId xmlns:a16="http://schemas.microsoft.com/office/drawing/2014/main" xmlns="" id="{CBBF0B1A-8A67-49C5-9DF4-3DEE4C29E061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199" name="Text Box 1">
          <a:extLst>
            <a:ext uri="{FF2B5EF4-FFF2-40B4-BE49-F238E27FC236}">
              <a16:creationId xmlns:a16="http://schemas.microsoft.com/office/drawing/2014/main" xmlns="" id="{DCD461FB-E705-4BFC-AC89-60AFB03ACF5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200" name="Text Box 1">
          <a:extLst>
            <a:ext uri="{FF2B5EF4-FFF2-40B4-BE49-F238E27FC236}">
              <a16:creationId xmlns:a16="http://schemas.microsoft.com/office/drawing/2014/main" xmlns="" id="{19FA9750-D404-4299-9286-9B03DA49A47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201" name="Text Box 1">
          <a:extLst>
            <a:ext uri="{FF2B5EF4-FFF2-40B4-BE49-F238E27FC236}">
              <a16:creationId xmlns:a16="http://schemas.microsoft.com/office/drawing/2014/main" xmlns="" id="{ED1D4FC3-D7F5-46DC-B329-BDB86EE274D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202" name="Text Box 1">
          <a:extLst>
            <a:ext uri="{FF2B5EF4-FFF2-40B4-BE49-F238E27FC236}">
              <a16:creationId xmlns:a16="http://schemas.microsoft.com/office/drawing/2014/main" xmlns="" id="{DB3E85DD-364A-4429-9A36-3C4445DE1E9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203" name="Text Box 1">
          <a:extLst>
            <a:ext uri="{FF2B5EF4-FFF2-40B4-BE49-F238E27FC236}">
              <a16:creationId xmlns:a16="http://schemas.microsoft.com/office/drawing/2014/main" xmlns="" id="{5C1F4AAE-1570-4941-9B45-6600C52CD8F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204" name="Text Box 1">
          <a:extLst>
            <a:ext uri="{FF2B5EF4-FFF2-40B4-BE49-F238E27FC236}">
              <a16:creationId xmlns:a16="http://schemas.microsoft.com/office/drawing/2014/main" xmlns="" id="{7F5652CA-BF28-41BC-9440-C7FFF1023AD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205" name="Text Box 1">
          <a:extLst>
            <a:ext uri="{FF2B5EF4-FFF2-40B4-BE49-F238E27FC236}">
              <a16:creationId xmlns:a16="http://schemas.microsoft.com/office/drawing/2014/main" xmlns="" id="{167793E9-DED7-4F8D-B7C2-A5FD6FD3034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206" name="Text Box 1">
          <a:extLst>
            <a:ext uri="{FF2B5EF4-FFF2-40B4-BE49-F238E27FC236}">
              <a16:creationId xmlns:a16="http://schemas.microsoft.com/office/drawing/2014/main" xmlns="" id="{5B2E29FF-EBAD-4BAD-BAFA-2171751591E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207" name="Text Box 1">
          <a:extLst>
            <a:ext uri="{FF2B5EF4-FFF2-40B4-BE49-F238E27FC236}">
              <a16:creationId xmlns:a16="http://schemas.microsoft.com/office/drawing/2014/main" xmlns="" id="{4AEDD538-0329-4E2E-9FB9-D4282F15BE7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208" name="Text Box 1">
          <a:extLst>
            <a:ext uri="{FF2B5EF4-FFF2-40B4-BE49-F238E27FC236}">
              <a16:creationId xmlns:a16="http://schemas.microsoft.com/office/drawing/2014/main" xmlns="" id="{04673ED4-1EEB-45D8-AC71-B548AA6B4C0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209" name="Text Box 1">
          <a:extLst>
            <a:ext uri="{FF2B5EF4-FFF2-40B4-BE49-F238E27FC236}">
              <a16:creationId xmlns:a16="http://schemas.microsoft.com/office/drawing/2014/main" xmlns="" id="{7E98B37E-0C51-44A6-A3C5-94868BB7DC3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210" name="Text Box 1">
          <a:extLst>
            <a:ext uri="{FF2B5EF4-FFF2-40B4-BE49-F238E27FC236}">
              <a16:creationId xmlns:a16="http://schemas.microsoft.com/office/drawing/2014/main" xmlns="" id="{C48D3203-6523-4849-84F0-927C51138B4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211" name="Text Box 1">
          <a:extLst>
            <a:ext uri="{FF2B5EF4-FFF2-40B4-BE49-F238E27FC236}">
              <a16:creationId xmlns:a16="http://schemas.microsoft.com/office/drawing/2014/main" xmlns="" id="{7658E533-0AC6-4C1D-B2BD-64214923555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212" name="Text Box 1">
          <a:extLst>
            <a:ext uri="{FF2B5EF4-FFF2-40B4-BE49-F238E27FC236}">
              <a16:creationId xmlns:a16="http://schemas.microsoft.com/office/drawing/2014/main" xmlns="" id="{A68C6DB1-932A-4082-8D5C-6C7D4344CBC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213" name="Text Box 1">
          <a:extLst>
            <a:ext uri="{FF2B5EF4-FFF2-40B4-BE49-F238E27FC236}">
              <a16:creationId xmlns:a16="http://schemas.microsoft.com/office/drawing/2014/main" xmlns="" id="{19D58F55-9A0A-4412-89C8-7F03976627B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214" name="Text Box 1">
          <a:extLst>
            <a:ext uri="{FF2B5EF4-FFF2-40B4-BE49-F238E27FC236}">
              <a16:creationId xmlns:a16="http://schemas.microsoft.com/office/drawing/2014/main" xmlns="" id="{192B010E-FDAB-40F8-8DCE-945DB6C17CA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215" name="Text Box 1">
          <a:extLst>
            <a:ext uri="{FF2B5EF4-FFF2-40B4-BE49-F238E27FC236}">
              <a16:creationId xmlns:a16="http://schemas.microsoft.com/office/drawing/2014/main" xmlns="" id="{69475385-6942-4A06-8854-2DD59F1D78C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216" name="Text Box 1">
          <a:extLst>
            <a:ext uri="{FF2B5EF4-FFF2-40B4-BE49-F238E27FC236}">
              <a16:creationId xmlns:a16="http://schemas.microsoft.com/office/drawing/2014/main" xmlns="" id="{BFAEA333-D7CA-4784-8643-1AE35CB0752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217" name="Text Box 1">
          <a:extLst>
            <a:ext uri="{FF2B5EF4-FFF2-40B4-BE49-F238E27FC236}">
              <a16:creationId xmlns:a16="http://schemas.microsoft.com/office/drawing/2014/main" xmlns="" id="{FF7E86D7-AFAA-45F6-929C-EF73E4CE2BB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218" name="Text Box 1">
          <a:extLst>
            <a:ext uri="{FF2B5EF4-FFF2-40B4-BE49-F238E27FC236}">
              <a16:creationId xmlns:a16="http://schemas.microsoft.com/office/drawing/2014/main" xmlns="" id="{12C7BCD4-FF72-4546-9DA2-A6017596232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219" name="Text Box 1">
          <a:extLst>
            <a:ext uri="{FF2B5EF4-FFF2-40B4-BE49-F238E27FC236}">
              <a16:creationId xmlns:a16="http://schemas.microsoft.com/office/drawing/2014/main" xmlns="" id="{8277E2B8-39D4-492B-9533-4A9E455AC1B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220" name="Text Box 1">
          <a:extLst>
            <a:ext uri="{FF2B5EF4-FFF2-40B4-BE49-F238E27FC236}">
              <a16:creationId xmlns:a16="http://schemas.microsoft.com/office/drawing/2014/main" xmlns="" id="{C756D824-72B1-4C52-9BAB-CE2923612F5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221" name="Text Box 1">
          <a:extLst>
            <a:ext uri="{FF2B5EF4-FFF2-40B4-BE49-F238E27FC236}">
              <a16:creationId xmlns:a16="http://schemas.microsoft.com/office/drawing/2014/main" xmlns="" id="{87CB6895-66D8-4051-82B5-C55BB556A45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222" name="Text Box 1">
          <a:extLst>
            <a:ext uri="{FF2B5EF4-FFF2-40B4-BE49-F238E27FC236}">
              <a16:creationId xmlns:a16="http://schemas.microsoft.com/office/drawing/2014/main" xmlns="" id="{1C2122C7-CC55-4EAE-9C66-7525C764EE2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223" name="Text Box 1">
          <a:extLst>
            <a:ext uri="{FF2B5EF4-FFF2-40B4-BE49-F238E27FC236}">
              <a16:creationId xmlns:a16="http://schemas.microsoft.com/office/drawing/2014/main" xmlns="" id="{2FE3BBFF-E224-435B-A5B3-CBF749DE3B2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224" name="Text Box 1">
          <a:extLst>
            <a:ext uri="{FF2B5EF4-FFF2-40B4-BE49-F238E27FC236}">
              <a16:creationId xmlns:a16="http://schemas.microsoft.com/office/drawing/2014/main" xmlns="" id="{3D945032-D52F-4F8F-8E2E-656D2631552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225" name="Text Box 1">
          <a:extLst>
            <a:ext uri="{FF2B5EF4-FFF2-40B4-BE49-F238E27FC236}">
              <a16:creationId xmlns:a16="http://schemas.microsoft.com/office/drawing/2014/main" xmlns="" id="{512E6842-711D-4051-B7E5-A7DE6F688C2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226" name="Text Box 1">
          <a:extLst>
            <a:ext uri="{FF2B5EF4-FFF2-40B4-BE49-F238E27FC236}">
              <a16:creationId xmlns:a16="http://schemas.microsoft.com/office/drawing/2014/main" xmlns="" id="{EBEA319D-F310-4699-82AC-15A0707293D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227" name="Text Box 1">
          <a:extLst>
            <a:ext uri="{FF2B5EF4-FFF2-40B4-BE49-F238E27FC236}">
              <a16:creationId xmlns:a16="http://schemas.microsoft.com/office/drawing/2014/main" xmlns="" id="{708753F7-BB08-4DC4-B6E9-2DB91167D9F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228" name="Text Box 1">
          <a:extLst>
            <a:ext uri="{FF2B5EF4-FFF2-40B4-BE49-F238E27FC236}">
              <a16:creationId xmlns:a16="http://schemas.microsoft.com/office/drawing/2014/main" xmlns="" id="{4A02868D-9EC3-4E1C-BE58-CF224EDCB4B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229" name="Text Box 1">
          <a:extLst>
            <a:ext uri="{FF2B5EF4-FFF2-40B4-BE49-F238E27FC236}">
              <a16:creationId xmlns:a16="http://schemas.microsoft.com/office/drawing/2014/main" xmlns="" id="{E86EBF0C-7376-4461-8359-E305F682BCB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230" name="Text Box 1">
          <a:extLst>
            <a:ext uri="{FF2B5EF4-FFF2-40B4-BE49-F238E27FC236}">
              <a16:creationId xmlns:a16="http://schemas.microsoft.com/office/drawing/2014/main" xmlns="" id="{B98C79D1-DF4B-4B8E-8172-4001BDF0501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231" name="Text Box 1">
          <a:extLst>
            <a:ext uri="{FF2B5EF4-FFF2-40B4-BE49-F238E27FC236}">
              <a16:creationId xmlns:a16="http://schemas.microsoft.com/office/drawing/2014/main" xmlns="" id="{D1348469-B484-45E8-8CAF-53C36A4745E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232" name="Text Box 1">
          <a:extLst>
            <a:ext uri="{FF2B5EF4-FFF2-40B4-BE49-F238E27FC236}">
              <a16:creationId xmlns:a16="http://schemas.microsoft.com/office/drawing/2014/main" xmlns="" id="{FE7A7EB5-7473-4A0A-B5B5-5376E5DE658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233" name="Text Box 1">
          <a:extLst>
            <a:ext uri="{FF2B5EF4-FFF2-40B4-BE49-F238E27FC236}">
              <a16:creationId xmlns:a16="http://schemas.microsoft.com/office/drawing/2014/main" xmlns="" id="{510B8B78-12AD-44A2-821F-DA9B2DB0590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234" name="Text Box 1">
          <a:extLst>
            <a:ext uri="{FF2B5EF4-FFF2-40B4-BE49-F238E27FC236}">
              <a16:creationId xmlns:a16="http://schemas.microsoft.com/office/drawing/2014/main" xmlns="" id="{325ADF26-CAEA-4D19-9B56-5345AA20EE5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235" name="Text Box 1">
          <a:extLst>
            <a:ext uri="{FF2B5EF4-FFF2-40B4-BE49-F238E27FC236}">
              <a16:creationId xmlns:a16="http://schemas.microsoft.com/office/drawing/2014/main" xmlns="" id="{228D1715-7488-4250-8DBB-5D45E89B76A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236" name="Text Box 1">
          <a:extLst>
            <a:ext uri="{FF2B5EF4-FFF2-40B4-BE49-F238E27FC236}">
              <a16:creationId xmlns:a16="http://schemas.microsoft.com/office/drawing/2014/main" xmlns="" id="{B6D5C296-A36B-48D4-83C5-F475C2A2085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237" name="Text Box 1">
          <a:extLst>
            <a:ext uri="{FF2B5EF4-FFF2-40B4-BE49-F238E27FC236}">
              <a16:creationId xmlns:a16="http://schemas.microsoft.com/office/drawing/2014/main" xmlns="" id="{187C212F-96A5-4030-A221-4B0F44B669A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238" name="Text Box 1">
          <a:extLst>
            <a:ext uri="{FF2B5EF4-FFF2-40B4-BE49-F238E27FC236}">
              <a16:creationId xmlns:a16="http://schemas.microsoft.com/office/drawing/2014/main" xmlns="" id="{AC2CC7EC-E345-4816-A620-681E46D4A5B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239" name="Text Box 1">
          <a:extLst>
            <a:ext uri="{FF2B5EF4-FFF2-40B4-BE49-F238E27FC236}">
              <a16:creationId xmlns:a16="http://schemas.microsoft.com/office/drawing/2014/main" xmlns="" id="{C8D03D6C-BF27-4A74-B404-9E1B89A1890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240" name="Text Box 1">
          <a:extLst>
            <a:ext uri="{FF2B5EF4-FFF2-40B4-BE49-F238E27FC236}">
              <a16:creationId xmlns:a16="http://schemas.microsoft.com/office/drawing/2014/main" xmlns="" id="{6881F57E-0DC2-43C4-8D88-D99AFA31BA0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241" name="Text Box 1">
          <a:extLst>
            <a:ext uri="{FF2B5EF4-FFF2-40B4-BE49-F238E27FC236}">
              <a16:creationId xmlns:a16="http://schemas.microsoft.com/office/drawing/2014/main" xmlns="" id="{40C21844-81A9-492F-8A70-50B137D1C24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242" name="Text Box 1">
          <a:extLst>
            <a:ext uri="{FF2B5EF4-FFF2-40B4-BE49-F238E27FC236}">
              <a16:creationId xmlns:a16="http://schemas.microsoft.com/office/drawing/2014/main" xmlns="" id="{9233686E-CE29-4D7A-B952-C09BE85CFBF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243" name="Text Box 1">
          <a:extLst>
            <a:ext uri="{FF2B5EF4-FFF2-40B4-BE49-F238E27FC236}">
              <a16:creationId xmlns:a16="http://schemas.microsoft.com/office/drawing/2014/main" xmlns="" id="{20FA2CEE-49AF-4868-A7B4-54E2D2DE73C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244" name="Text Box 1">
          <a:extLst>
            <a:ext uri="{FF2B5EF4-FFF2-40B4-BE49-F238E27FC236}">
              <a16:creationId xmlns:a16="http://schemas.microsoft.com/office/drawing/2014/main" xmlns="" id="{910CB4A2-E6EC-4358-8BB5-BDF8A7DB90F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245" name="Text Box 1">
          <a:extLst>
            <a:ext uri="{FF2B5EF4-FFF2-40B4-BE49-F238E27FC236}">
              <a16:creationId xmlns:a16="http://schemas.microsoft.com/office/drawing/2014/main" xmlns="" id="{8D39B4B1-4798-4202-A74F-9519FECE2EA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246" name="Text Box 1">
          <a:extLst>
            <a:ext uri="{FF2B5EF4-FFF2-40B4-BE49-F238E27FC236}">
              <a16:creationId xmlns:a16="http://schemas.microsoft.com/office/drawing/2014/main" xmlns="" id="{BF5A4E14-24D4-4B6D-B979-4E9F35A9B011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247" name="Text Box 1">
          <a:extLst>
            <a:ext uri="{FF2B5EF4-FFF2-40B4-BE49-F238E27FC236}">
              <a16:creationId xmlns:a16="http://schemas.microsoft.com/office/drawing/2014/main" xmlns="" id="{F7A6C669-C7E5-42A6-8EAC-AED12246E8E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248" name="Text Box 1">
          <a:extLst>
            <a:ext uri="{FF2B5EF4-FFF2-40B4-BE49-F238E27FC236}">
              <a16:creationId xmlns:a16="http://schemas.microsoft.com/office/drawing/2014/main" xmlns="" id="{AE2792A9-7ED3-45E0-8350-37203B2774F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249" name="Text Box 1">
          <a:extLst>
            <a:ext uri="{FF2B5EF4-FFF2-40B4-BE49-F238E27FC236}">
              <a16:creationId xmlns:a16="http://schemas.microsoft.com/office/drawing/2014/main" xmlns="" id="{75350992-244B-417F-9D83-32A0D4B1EAF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250" name="Text Box 1">
          <a:extLst>
            <a:ext uri="{FF2B5EF4-FFF2-40B4-BE49-F238E27FC236}">
              <a16:creationId xmlns:a16="http://schemas.microsoft.com/office/drawing/2014/main" xmlns="" id="{5DCD46E1-2FD3-4768-AFD6-15E32AF8C75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251" name="Text Box 1">
          <a:extLst>
            <a:ext uri="{FF2B5EF4-FFF2-40B4-BE49-F238E27FC236}">
              <a16:creationId xmlns:a16="http://schemas.microsoft.com/office/drawing/2014/main" xmlns="" id="{141D3C4D-D175-4A01-B53D-94A77361A8D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252" name="Text Box 1">
          <a:extLst>
            <a:ext uri="{FF2B5EF4-FFF2-40B4-BE49-F238E27FC236}">
              <a16:creationId xmlns:a16="http://schemas.microsoft.com/office/drawing/2014/main" xmlns="" id="{C23FB2FA-B638-48F1-ADF2-AC7A9951146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253" name="Text Box 1">
          <a:extLst>
            <a:ext uri="{FF2B5EF4-FFF2-40B4-BE49-F238E27FC236}">
              <a16:creationId xmlns:a16="http://schemas.microsoft.com/office/drawing/2014/main" xmlns="" id="{E8F34ADA-B6F8-48B6-ACB0-3C08479B945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254" name="Text Box 1">
          <a:extLst>
            <a:ext uri="{FF2B5EF4-FFF2-40B4-BE49-F238E27FC236}">
              <a16:creationId xmlns:a16="http://schemas.microsoft.com/office/drawing/2014/main" xmlns="" id="{0D6C9AB0-904B-4C82-B40F-C68BD1F4EF4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255" name="Text Box 1">
          <a:extLst>
            <a:ext uri="{FF2B5EF4-FFF2-40B4-BE49-F238E27FC236}">
              <a16:creationId xmlns:a16="http://schemas.microsoft.com/office/drawing/2014/main" xmlns="" id="{B068A500-7C00-4062-ADB6-9BA85180AC1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256" name="Text Box 1">
          <a:extLst>
            <a:ext uri="{FF2B5EF4-FFF2-40B4-BE49-F238E27FC236}">
              <a16:creationId xmlns:a16="http://schemas.microsoft.com/office/drawing/2014/main" xmlns="" id="{288A22AE-F5AD-479F-AB75-F4DDAFE16C3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257" name="Text Box 1">
          <a:extLst>
            <a:ext uri="{FF2B5EF4-FFF2-40B4-BE49-F238E27FC236}">
              <a16:creationId xmlns:a16="http://schemas.microsoft.com/office/drawing/2014/main" xmlns="" id="{AE071CFD-6A8D-463A-A251-104C9F0E487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258" name="Text Box 1">
          <a:extLst>
            <a:ext uri="{FF2B5EF4-FFF2-40B4-BE49-F238E27FC236}">
              <a16:creationId xmlns:a16="http://schemas.microsoft.com/office/drawing/2014/main" xmlns="" id="{CF4C22A6-8CF5-47C3-82CC-B5EBEEF4134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259" name="Text Box 1">
          <a:extLst>
            <a:ext uri="{FF2B5EF4-FFF2-40B4-BE49-F238E27FC236}">
              <a16:creationId xmlns:a16="http://schemas.microsoft.com/office/drawing/2014/main" xmlns="" id="{6A734C99-2D55-4BB2-BC42-FDCEA08AB7C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260" name="Text Box 1">
          <a:extLst>
            <a:ext uri="{FF2B5EF4-FFF2-40B4-BE49-F238E27FC236}">
              <a16:creationId xmlns:a16="http://schemas.microsoft.com/office/drawing/2014/main" xmlns="" id="{85B631FC-D995-45C3-BB52-7108A40C560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261" name="Text Box 1">
          <a:extLst>
            <a:ext uri="{FF2B5EF4-FFF2-40B4-BE49-F238E27FC236}">
              <a16:creationId xmlns:a16="http://schemas.microsoft.com/office/drawing/2014/main" xmlns="" id="{85DCD24F-62DD-4114-A48E-2B94DEB48C0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262" name="Text Box 1">
          <a:extLst>
            <a:ext uri="{FF2B5EF4-FFF2-40B4-BE49-F238E27FC236}">
              <a16:creationId xmlns:a16="http://schemas.microsoft.com/office/drawing/2014/main" xmlns="" id="{CF0602E4-4AEA-43B7-911B-D1E505BAD0F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263" name="Text Box 1">
          <a:extLst>
            <a:ext uri="{FF2B5EF4-FFF2-40B4-BE49-F238E27FC236}">
              <a16:creationId xmlns:a16="http://schemas.microsoft.com/office/drawing/2014/main" xmlns="" id="{DB1FBB87-0DE8-4DC5-B4A8-9E0F13C9C02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264" name="Text Box 1">
          <a:extLst>
            <a:ext uri="{FF2B5EF4-FFF2-40B4-BE49-F238E27FC236}">
              <a16:creationId xmlns:a16="http://schemas.microsoft.com/office/drawing/2014/main" xmlns="" id="{A7C70087-8360-4745-A2E8-7F9775329E2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265" name="Text Box 1">
          <a:extLst>
            <a:ext uri="{FF2B5EF4-FFF2-40B4-BE49-F238E27FC236}">
              <a16:creationId xmlns:a16="http://schemas.microsoft.com/office/drawing/2014/main" xmlns="" id="{0D17FF7F-F8C8-4301-9621-A380FFFF1C0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266" name="Text Box 1">
          <a:extLst>
            <a:ext uri="{FF2B5EF4-FFF2-40B4-BE49-F238E27FC236}">
              <a16:creationId xmlns:a16="http://schemas.microsoft.com/office/drawing/2014/main" xmlns="" id="{4007A26E-958E-4890-B0A5-4721542E961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267" name="Text Box 1">
          <a:extLst>
            <a:ext uri="{FF2B5EF4-FFF2-40B4-BE49-F238E27FC236}">
              <a16:creationId xmlns:a16="http://schemas.microsoft.com/office/drawing/2014/main" xmlns="" id="{CB3DBBC0-037A-4483-9CC4-DFD2030F873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268" name="Text Box 1">
          <a:extLst>
            <a:ext uri="{FF2B5EF4-FFF2-40B4-BE49-F238E27FC236}">
              <a16:creationId xmlns:a16="http://schemas.microsoft.com/office/drawing/2014/main" xmlns="" id="{135F94EF-08F3-4E1F-AC70-7A7951BFA0F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269" name="Text Box 1">
          <a:extLst>
            <a:ext uri="{FF2B5EF4-FFF2-40B4-BE49-F238E27FC236}">
              <a16:creationId xmlns:a16="http://schemas.microsoft.com/office/drawing/2014/main" xmlns="" id="{9C3B83FF-7BE6-4F93-8A68-156DABEF487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270" name="Text Box 1">
          <a:extLst>
            <a:ext uri="{FF2B5EF4-FFF2-40B4-BE49-F238E27FC236}">
              <a16:creationId xmlns:a16="http://schemas.microsoft.com/office/drawing/2014/main" xmlns="" id="{DB6B630E-FB4A-473C-AD9A-37857477305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271" name="Text Box 1">
          <a:extLst>
            <a:ext uri="{FF2B5EF4-FFF2-40B4-BE49-F238E27FC236}">
              <a16:creationId xmlns:a16="http://schemas.microsoft.com/office/drawing/2014/main" xmlns="" id="{C5F5B810-B031-465F-A130-D5E93AB37FA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272" name="Text Box 1">
          <a:extLst>
            <a:ext uri="{FF2B5EF4-FFF2-40B4-BE49-F238E27FC236}">
              <a16:creationId xmlns:a16="http://schemas.microsoft.com/office/drawing/2014/main" xmlns="" id="{88700A69-A0DA-4333-8B5D-1D3E9A91CC61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273" name="Text Box 1">
          <a:extLst>
            <a:ext uri="{FF2B5EF4-FFF2-40B4-BE49-F238E27FC236}">
              <a16:creationId xmlns:a16="http://schemas.microsoft.com/office/drawing/2014/main" xmlns="" id="{A983DF90-71E3-420F-8E62-95212AE76FB1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274" name="Text Box 1">
          <a:extLst>
            <a:ext uri="{FF2B5EF4-FFF2-40B4-BE49-F238E27FC236}">
              <a16:creationId xmlns:a16="http://schemas.microsoft.com/office/drawing/2014/main" xmlns="" id="{E56745F1-CFD4-474B-AEEA-11A842D5D8C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275" name="Text Box 1">
          <a:extLst>
            <a:ext uri="{FF2B5EF4-FFF2-40B4-BE49-F238E27FC236}">
              <a16:creationId xmlns:a16="http://schemas.microsoft.com/office/drawing/2014/main" xmlns="" id="{8B439A8C-5F4C-4330-AA4B-532C9CB078C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276" name="Text Box 1">
          <a:extLst>
            <a:ext uri="{FF2B5EF4-FFF2-40B4-BE49-F238E27FC236}">
              <a16:creationId xmlns:a16="http://schemas.microsoft.com/office/drawing/2014/main" xmlns="" id="{99BF0C52-F649-4597-8574-97F4482481F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277" name="Text Box 1">
          <a:extLst>
            <a:ext uri="{FF2B5EF4-FFF2-40B4-BE49-F238E27FC236}">
              <a16:creationId xmlns:a16="http://schemas.microsoft.com/office/drawing/2014/main" xmlns="" id="{2EB95E10-D8C0-4DEA-994F-56561166284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278" name="Text Box 1">
          <a:extLst>
            <a:ext uri="{FF2B5EF4-FFF2-40B4-BE49-F238E27FC236}">
              <a16:creationId xmlns:a16="http://schemas.microsoft.com/office/drawing/2014/main" xmlns="" id="{EC5EC7A5-A941-4043-9714-4BD38B807561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279" name="Text Box 1">
          <a:extLst>
            <a:ext uri="{FF2B5EF4-FFF2-40B4-BE49-F238E27FC236}">
              <a16:creationId xmlns:a16="http://schemas.microsoft.com/office/drawing/2014/main" xmlns="" id="{E4908494-B61B-4E93-9D22-55A01F170BF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280" name="Text Box 1">
          <a:extLst>
            <a:ext uri="{FF2B5EF4-FFF2-40B4-BE49-F238E27FC236}">
              <a16:creationId xmlns:a16="http://schemas.microsoft.com/office/drawing/2014/main" xmlns="" id="{7F8B7EC3-EAB3-41E9-B2B9-17E25045F41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281" name="Text Box 1">
          <a:extLst>
            <a:ext uri="{FF2B5EF4-FFF2-40B4-BE49-F238E27FC236}">
              <a16:creationId xmlns:a16="http://schemas.microsoft.com/office/drawing/2014/main" xmlns="" id="{2311F441-07BB-4B94-BD75-5C4BE2B2781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282" name="Text Box 1">
          <a:extLst>
            <a:ext uri="{FF2B5EF4-FFF2-40B4-BE49-F238E27FC236}">
              <a16:creationId xmlns:a16="http://schemas.microsoft.com/office/drawing/2014/main" xmlns="" id="{EB89EA87-1B85-4A65-B548-24367E699D3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283" name="Text Box 1">
          <a:extLst>
            <a:ext uri="{FF2B5EF4-FFF2-40B4-BE49-F238E27FC236}">
              <a16:creationId xmlns:a16="http://schemas.microsoft.com/office/drawing/2014/main" xmlns="" id="{6B124B49-1C82-4835-9A25-5736523E6151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284" name="Text Box 1">
          <a:extLst>
            <a:ext uri="{FF2B5EF4-FFF2-40B4-BE49-F238E27FC236}">
              <a16:creationId xmlns:a16="http://schemas.microsoft.com/office/drawing/2014/main" xmlns="" id="{89DE730F-33AB-41BB-882B-355747E4FC6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285" name="Text Box 1">
          <a:extLst>
            <a:ext uri="{FF2B5EF4-FFF2-40B4-BE49-F238E27FC236}">
              <a16:creationId xmlns:a16="http://schemas.microsoft.com/office/drawing/2014/main" xmlns="" id="{CB2A668B-679D-4DCF-A697-BA670EEAA35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286" name="Text Box 1">
          <a:extLst>
            <a:ext uri="{FF2B5EF4-FFF2-40B4-BE49-F238E27FC236}">
              <a16:creationId xmlns:a16="http://schemas.microsoft.com/office/drawing/2014/main" xmlns="" id="{224A061A-F1F5-4140-9513-E2BE58440DF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287" name="Text Box 1">
          <a:extLst>
            <a:ext uri="{FF2B5EF4-FFF2-40B4-BE49-F238E27FC236}">
              <a16:creationId xmlns:a16="http://schemas.microsoft.com/office/drawing/2014/main" xmlns="" id="{7D45C105-999D-40E8-8438-5EECDC47391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288" name="Text Box 1">
          <a:extLst>
            <a:ext uri="{FF2B5EF4-FFF2-40B4-BE49-F238E27FC236}">
              <a16:creationId xmlns:a16="http://schemas.microsoft.com/office/drawing/2014/main" xmlns="" id="{2B001639-6ABD-4C4B-A6C8-8BF2E1CDC41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289" name="Text Box 1">
          <a:extLst>
            <a:ext uri="{FF2B5EF4-FFF2-40B4-BE49-F238E27FC236}">
              <a16:creationId xmlns:a16="http://schemas.microsoft.com/office/drawing/2014/main" xmlns="" id="{6C85278F-4894-49F3-9B3C-085893E2A5F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290" name="Text Box 1">
          <a:extLst>
            <a:ext uri="{FF2B5EF4-FFF2-40B4-BE49-F238E27FC236}">
              <a16:creationId xmlns:a16="http://schemas.microsoft.com/office/drawing/2014/main" xmlns="" id="{4CE5AAC9-473A-4F42-B781-016A6827E14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291" name="Text Box 1">
          <a:extLst>
            <a:ext uri="{FF2B5EF4-FFF2-40B4-BE49-F238E27FC236}">
              <a16:creationId xmlns:a16="http://schemas.microsoft.com/office/drawing/2014/main" xmlns="" id="{70720EF9-73F5-48CC-BB2D-A2FF422859D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292" name="Text Box 1">
          <a:extLst>
            <a:ext uri="{FF2B5EF4-FFF2-40B4-BE49-F238E27FC236}">
              <a16:creationId xmlns:a16="http://schemas.microsoft.com/office/drawing/2014/main" xmlns="" id="{02EB32E0-6FCA-45D8-8D2B-7847F305CB5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293" name="Text Box 1">
          <a:extLst>
            <a:ext uri="{FF2B5EF4-FFF2-40B4-BE49-F238E27FC236}">
              <a16:creationId xmlns:a16="http://schemas.microsoft.com/office/drawing/2014/main" xmlns="" id="{68149C1B-7104-4F41-AEB5-53A100ECA86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294" name="Text Box 1">
          <a:extLst>
            <a:ext uri="{FF2B5EF4-FFF2-40B4-BE49-F238E27FC236}">
              <a16:creationId xmlns:a16="http://schemas.microsoft.com/office/drawing/2014/main" xmlns="" id="{258EFF06-5D7C-4798-981A-0A2EE98F900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295" name="Text Box 1">
          <a:extLst>
            <a:ext uri="{FF2B5EF4-FFF2-40B4-BE49-F238E27FC236}">
              <a16:creationId xmlns:a16="http://schemas.microsoft.com/office/drawing/2014/main" xmlns="" id="{559F87AE-AB50-4C06-BCF5-341AD070A80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296" name="Text Box 1">
          <a:extLst>
            <a:ext uri="{FF2B5EF4-FFF2-40B4-BE49-F238E27FC236}">
              <a16:creationId xmlns:a16="http://schemas.microsoft.com/office/drawing/2014/main" xmlns="" id="{710E8CD1-8FC9-47C6-8937-9A7769AD3BD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297" name="Text Box 1">
          <a:extLst>
            <a:ext uri="{FF2B5EF4-FFF2-40B4-BE49-F238E27FC236}">
              <a16:creationId xmlns:a16="http://schemas.microsoft.com/office/drawing/2014/main" xmlns="" id="{F9995620-9DF1-4F61-AC8B-0C38CCDF38C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298" name="Text Box 1">
          <a:extLst>
            <a:ext uri="{FF2B5EF4-FFF2-40B4-BE49-F238E27FC236}">
              <a16:creationId xmlns:a16="http://schemas.microsoft.com/office/drawing/2014/main" xmlns="" id="{2D8F6B58-0552-432A-97AF-2E2A705E3E9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299" name="Text Box 1">
          <a:extLst>
            <a:ext uri="{FF2B5EF4-FFF2-40B4-BE49-F238E27FC236}">
              <a16:creationId xmlns:a16="http://schemas.microsoft.com/office/drawing/2014/main" xmlns="" id="{8F2A4128-6DB3-4C3B-A1B1-FB6DC3242D2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300" name="Text Box 1">
          <a:extLst>
            <a:ext uri="{FF2B5EF4-FFF2-40B4-BE49-F238E27FC236}">
              <a16:creationId xmlns:a16="http://schemas.microsoft.com/office/drawing/2014/main" xmlns="" id="{18CD8F66-6866-42F0-B9B7-18D20CE4966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301" name="Text Box 1">
          <a:extLst>
            <a:ext uri="{FF2B5EF4-FFF2-40B4-BE49-F238E27FC236}">
              <a16:creationId xmlns:a16="http://schemas.microsoft.com/office/drawing/2014/main" xmlns="" id="{F1747BB7-32C1-4CE3-9BDB-18B65C66FA1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302" name="Text Box 1">
          <a:extLst>
            <a:ext uri="{FF2B5EF4-FFF2-40B4-BE49-F238E27FC236}">
              <a16:creationId xmlns:a16="http://schemas.microsoft.com/office/drawing/2014/main" xmlns="" id="{6DFA4FAF-B7D3-4E93-8271-66E5FDA0599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303" name="Text Box 1">
          <a:extLst>
            <a:ext uri="{FF2B5EF4-FFF2-40B4-BE49-F238E27FC236}">
              <a16:creationId xmlns:a16="http://schemas.microsoft.com/office/drawing/2014/main" xmlns="" id="{42C08659-3D6B-4F1E-8D2E-DEC1AFC1F17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304" name="Text Box 1">
          <a:extLst>
            <a:ext uri="{FF2B5EF4-FFF2-40B4-BE49-F238E27FC236}">
              <a16:creationId xmlns:a16="http://schemas.microsoft.com/office/drawing/2014/main" xmlns="" id="{2E770B94-3E8B-4329-AF8B-4E80871BD6E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305" name="Text Box 1">
          <a:extLst>
            <a:ext uri="{FF2B5EF4-FFF2-40B4-BE49-F238E27FC236}">
              <a16:creationId xmlns:a16="http://schemas.microsoft.com/office/drawing/2014/main" xmlns="" id="{9CE0B732-CD75-4588-9D87-91C265C0963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306" name="Text Box 1">
          <a:extLst>
            <a:ext uri="{FF2B5EF4-FFF2-40B4-BE49-F238E27FC236}">
              <a16:creationId xmlns:a16="http://schemas.microsoft.com/office/drawing/2014/main" xmlns="" id="{97E15245-B0EC-4B3C-BC16-0A70834D680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307" name="Text Box 1">
          <a:extLst>
            <a:ext uri="{FF2B5EF4-FFF2-40B4-BE49-F238E27FC236}">
              <a16:creationId xmlns:a16="http://schemas.microsoft.com/office/drawing/2014/main" xmlns="" id="{3BCB16B4-82F6-4167-93A2-83E04DE4148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308" name="Text Box 1">
          <a:extLst>
            <a:ext uri="{FF2B5EF4-FFF2-40B4-BE49-F238E27FC236}">
              <a16:creationId xmlns:a16="http://schemas.microsoft.com/office/drawing/2014/main" xmlns="" id="{266669B9-8A8D-4998-9DFC-F8E2FAD5AC7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309" name="Text Box 1">
          <a:extLst>
            <a:ext uri="{FF2B5EF4-FFF2-40B4-BE49-F238E27FC236}">
              <a16:creationId xmlns:a16="http://schemas.microsoft.com/office/drawing/2014/main" xmlns="" id="{729BEBCC-F2AB-4F53-94E9-9305F6DD35C1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310" name="Text Box 1">
          <a:extLst>
            <a:ext uri="{FF2B5EF4-FFF2-40B4-BE49-F238E27FC236}">
              <a16:creationId xmlns:a16="http://schemas.microsoft.com/office/drawing/2014/main" xmlns="" id="{926438F7-55E5-407F-88B4-71046B45F39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311" name="Text Box 1">
          <a:extLst>
            <a:ext uri="{FF2B5EF4-FFF2-40B4-BE49-F238E27FC236}">
              <a16:creationId xmlns:a16="http://schemas.microsoft.com/office/drawing/2014/main" xmlns="" id="{25CDCE9C-5763-4BD8-9BD8-CB41E9A54EC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312" name="Text Box 1">
          <a:extLst>
            <a:ext uri="{FF2B5EF4-FFF2-40B4-BE49-F238E27FC236}">
              <a16:creationId xmlns:a16="http://schemas.microsoft.com/office/drawing/2014/main" xmlns="" id="{FDA93752-7A91-4D85-8A9F-D491B5A8788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313" name="Text Box 1">
          <a:extLst>
            <a:ext uri="{FF2B5EF4-FFF2-40B4-BE49-F238E27FC236}">
              <a16:creationId xmlns:a16="http://schemas.microsoft.com/office/drawing/2014/main" xmlns="" id="{37CDEB71-7F7A-49E0-8A9D-CE61A87AE9F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314" name="Text Box 1">
          <a:extLst>
            <a:ext uri="{FF2B5EF4-FFF2-40B4-BE49-F238E27FC236}">
              <a16:creationId xmlns:a16="http://schemas.microsoft.com/office/drawing/2014/main" xmlns="" id="{429585DA-7859-48A1-83D0-4C360951DFC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315" name="Text Box 1">
          <a:extLst>
            <a:ext uri="{FF2B5EF4-FFF2-40B4-BE49-F238E27FC236}">
              <a16:creationId xmlns:a16="http://schemas.microsoft.com/office/drawing/2014/main" xmlns="" id="{C0FD2A10-C383-4416-8B45-4FC1BD66017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316" name="Text Box 1">
          <a:extLst>
            <a:ext uri="{FF2B5EF4-FFF2-40B4-BE49-F238E27FC236}">
              <a16:creationId xmlns:a16="http://schemas.microsoft.com/office/drawing/2014/main" xmlns="" id="{0F2F0913-A9B7-41F3-B089-725AC188F74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317" name="Text Box 1">
          <a:extLst>
            <a:ext uri="{FF2B5EF4-FFF2-40B4-BE49-F238E27FC236}">
              <a16:creationId xmlns:a16="http://schemas.microsoft.com/office/drawing/2014/main" xmlns="" id="{912BCC5F-B59E-44B5-BE42-70ECDFD1C9E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318" name="Text Box 1">
          <a:extLst>
            <a:ext uri="{FF2B5EF4-FFF2-40B4-BE49-F238E27FC236}">
              <a16:creationId xmlns:a16="http://schemas.microsoft.com/office/drawing/2014/main" xmlns="" id="{9D384A5D-0695-4477-BBF3-E96009C3FD1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319" name="Text Box 1">
          <a:extLst>
            <a:ext uri="{FF2B5EF4-FFF2-40B4-BE49-F238E27FC236}">
              <a16:creationId xmlns:a16="http://schemas.microsoft.com/office/drawing/2014/main" xmlns="" id="{56FF8905-795F-468C-817A-BB7DA2E2F22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320" name="Text Box 1">
          <a:extLst>
            <a:ext uri="{FF2B5EF4-FFF2-40B4-BE49-F238E27FC236}">
              <a16:creationId xmlns:a16="http://schemas.microsoft.com/office/drawing/2014/main" xmlns="" id="{CE2937B6-EE8C-44D5-9568-DC0A1C4CCA1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321" name="Text Box 1">
          <a:extLst>
            <a:ext uri="{FF2B5EF4-FFF2-40B4-BE49-F238E27FC236}">
              <a16:creationId xmlns:a16="http://schemas.microsoft.com/office/drawing/2014/main" xmlns="" id="{1234F2D8-5001-408D-A576-EAD4FDAED22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322" name="Text Box 1">
          <a:extLst>
            <a:ext uri="{FF2B5EF4-FFF2-40B4-BE49-F238E27FC236}">
              <a16:creationId xmlns:a16="http://schemas.microsoft.com/office/drawing/2014/main" xmlns="" id="{24DCC56E-CA6A-41DD-815D-C701F9D5AC2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323" name="Text Box 1">
          <a:extLst>
            <a:ext uri="{FF2B5EF4-FFF2-40B4-BE49-F238E27FC236}">
              <a16:creationId xmlns:a16="http://schemas.microsoft.com/office/drawing/2014/main" xmlns="" id="{EE75CB92-D694-47E0-90EA-2232CA1AE65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324" name="Text Box 1">
          <a:extLst>
            <a:ext uri="{FF2B5EF4-FFF2-40B4-BE49-F238E27FC236}">
              <a16:creationId xmlns:a16="http://schemas.microsoft.com/office/drawing/2014/main" xmlns="" id="{D24CA52F-6247-4B89-9808-844B39DF9A4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325" name="Text Box 1">
          <a:extLst>
            <a:ext uri="{FF2B5EF4-FFF2-40B4-BE49-F238E27FC236}">
              <a16:creationId xmlns:a16="http://schemas.microsoft.com/office/drawing/2014/main" xmlns="" id="{04CFA331-951F-467C-BB38-2B1A9E9292D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326" name="Text Box 1">
          <a:extLst>
            <a:ext uri="{FF2B5EF4-FFF2-40B4-BE49-F238E27FC236}">
              <a16:creationId xmlns:a16="http://schemas.microsoft.com/office/drawing/2014/main" xmlns="" id="{D184AFF3-E464-444D-B1F8-4EC5EF0D223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327" name="Text Box 1">
          <a:extLst>
            <a:ext uri="{FF2B5EF4-FFF2-40B4-BE49-F238E27FC236}">
              <a16:creationId xmlns:a16="http://schemas.microsoft.com/office/drawing/2014/main" xmlns="" id="{2E6A7E9F-DC83-4103-8467-03BDA53161F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328" name="Text Box 1">
          <a:extLst>
            <a:ext uri="{FF2B5EF4-FFF2-40B4-BE49-F238E27FC236}">
              <a16:creationId xmlns:a16="http://schemas.microsoft.com/office/drawing/2014/main" xmlns="" id="{0D5216C1-C8D2-4166-A050-100980E018B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329" name="Text Box 1">
          <a:extLst>
            <a:ext uri="{FF2B5EF4-FFF2-40B4-BE49-F238E27FC236}">
              <a16:creationId xmlns:a16="http://schemas.microsoft.com/office/drawing/2014/main" xmlns="" id="{7D2192E4-1E57-41EB-9C2A-DA2FFFC521E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330" name="Text Box 1">
          <a:extLst>
            <a:ext uri="{FF2B5EF4-FFF2-40B4-BE49-F238E27FC236}">
              <a16:creationId xmlns:a16="http://schemas.microsoft.com/office/drawing/2014/main" xmlns="" id="{8376F763-F8A5-43C7-AA63-A1D6467B4D8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331" name="Text Box 1">
          <a:extLst>
            <a:ext uri="{FF2B5EF4-FFF2-40B4-BE49-F238E27FC236}">
              <a16:creationId xmlns:a16="http://schemas.microsoft.com/office/drawing/2014/main" xmlns="" id="{969215AB-CA99-4892-A1DA-45DD4FADD35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332" name="Text Box 1">
          <a:extLst>
            <a:ext uri="{FF2B5EF4-FFF2-40B4-BE49-F238E27FC236}">
              <a16:creationId xmlns:a16="http://schemas.microsoft.com/office/drawing/2014/main" xmlns="" id="{1CA843A6-CB1A-4B77-A9E4-92BF00AF0D4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333" name="Text Box 1">
          <a:extLst>
            <a:ext uri="{FF2B5EF4-FFF2-40B4-BE49-F238E27FC236}">
              <a16:creationId xmlns:a16="http://schemas.microsoft.com/office/drawing/2014/main" xmlns="" id="{FDDB7B85-E38C-4233-9171-EFE2CC359B9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334" name="Text Box 1">
          <a:extLst>
            <a:ext uri="{FF2B5EF4-FFF2-40B4-BE49-F238E27FC236}">
              <a16:creationId xmlns:a16="http://schemas.microsoft.com/office/drawing/2014/main" xmlns="" id="{13358C33-9265-4219-AE9A-1E8870034DB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335" name="Text Box 1">
          <a:extLst>
            <a:ext uri="{FF2B5EF4-FFF2-40B4-BE49-F238E27FC236}">
              <a16:creationId xmlns:a16="http://schemas.microsoft.com/office/drawing/2014/main" xmlns="" id="{0C5EC5C9-0222-4B8B-B8E7-7B3287B5276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336" name="Text Box 1">
          <a:extLst>
            <a:ext uri="{FF2B5EF4-FFF2-40B4-BE49-F238E27FC236}">
              <a16:creationId xmlns:a16="http://schemas.microsoft.com/office/drawing/2014/main" xmlns="" id="{A4DA91D1-B060-4B5B-8058-3145C8465C0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337" name="Text Box 1">
          <a:extLst>
            <a:ext uri="{FF2B5EF4-FFF2-40B4-BE49-F238E27FC236}">
              <a16:creationId xmlns:a16="http://schemas.microsoft.com/office/drawing/2014/main" xmlns="" id="{8EC24232-F0ED-49D7-9CB2-17EF5BD3F39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338" name="Text Box 1">
          <a:extLst>
            <a:ext uri="{FF2B5EF4-FFF2-40B4-BE49-F238E27FC236}">
              <a16:creationId xmlns:a16="http://schemas.microsoft.com/office/drawing/2014/main" xmlns="" id="{2C04D19E-8AEB-4FB9-921B-1A0D96A0A90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339" name="Text Box 1">
          <a:extLst>
            <a:ext uri="{FF2B5EF4-FFF2-40B4-BE49-F238E27FC236}">
              <a16:creationId xmlns:a16="http://schemas.microsoft.com/office/drawing/2014/main" xmlns="" id="{F3947AC8-68F5-4269-A0FF-4AD78BFAAB6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340" name="Text Box 1">
          <a:extLst>
            <a:ext uri="{FF2B5EF4-FFF2-40B4-BE49-F238E27FC236}">
              <a16:creationId xmlns:a16="http://schemas.microsoft.com/office/drawing/2014/main" xmlns="" id="{49E203C5-D971-4A86-AFBE-F7E3803A85B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341" name="Text Box 1">
          <a:extLst>
            <a:ext uri="{FF2B5EF4-FFF2-40B4-BE49-F238E27FC236}">
              <a16:creationId xmlns:a16="http://schemas.microsoft.com/office/drawing/2014/main" xmlns="" id="{D0DF7C07-ADA8-40DE-BC7D-4F581549049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342" name="Text Box 1">
          <a:extLst>
            <a:ext uri="{FF2B5EF4-FFF2-40B4-BE49-F238E27FC236}">
              <a16:creationId xmlns:a16="http://schemas.microsoft.com/office/drawing/2014/main" xmlns="" id="{0198DEBE-C657-4461-96FD-1088B8C82E9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343" name="Text Box 1">
          <a:extLst>
            <a:ext uri="{FF2B5EF4-FFF2-40B4-BE49-F238E27FC236}">
              <a16:creationId xmlns:a16="http://schemas.microsoft.com/office/drawing/2014/main" xmlns="" id="{2851C3A0-E89E-4022-A51C-3261306F451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344" name="Text Box 1">
          <a:extLst>
            <a:ext uri="{FF2B5EF4-FFF2-40B4-BE49-F238E27FC236}">
              <a16:creationId xmlns:a16="http://schemas.microsoft.com/office/drawing/2014/main" xmlns="" id="{0F6209E7-42B9-4901-AB81-83A944D27C2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345" name="Text Box 1">
          <a:extLst>
            <a:ext uri="{FF2B5EF4-FFF2-40B4-BE49-F238E27FC236}">
              <a16:creationId xmlns:a16="http://schemas.microsoft.com/office/drawing/2014/main" xmlns="" id="{44CE08D4-EC9E-4F00-B457-3547C653AEF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346" name="Text Box 1">
          <a:extLst>
            <a:ext uri="{FF2B5EF4-FFF2-40B4-BE49-F238E27FC236}">
              <a16:creationId xmlns:a16="http://schemas.microsoft.com/office/drawing/2014/main" xmlns="" id="{2A4DA0CE-A427-451B-BC14-2E23622D166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347" name="Text Box 1">
          <a:extLst>
            <a:ext uri="{FF2B5EF4-FFF2-40B4-BE49-F238E27FC236}">
              <a16:creationId xmlns:a16="http://schemas.microsoft.com/office/drawing/2014/main" xmlns="" id="{4E41A8C2-6786-4A14-A53B-AB19F1D0E74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348" name="Text Box 1">
          <a:extLst>
            <a:ext uri="{FF2B5EF4-FFF2-40B4-BE49-F238E27FC236}">
              <a16:creationId xmlns:a16="http://schemas.microsoft.com/office/drawing/2014/main" xmlns="" id="{C93FFDBC-E238-44A2-B661-CF2BBFE9F97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349" name="Text Box 1">
          <a:extLst>
            <a:ext uri="{FF2B5EF4-FFF2-40B4-BE49-F238E27FC236}">
              <a16:creationId xmlns:a16="http://schemas.microsoft.com/office/drawing/2014/main" xmlns="" id="{C4EDF8B9-C900-4EEC-A255-96E18FD2787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350" name="Text Box 1">
          <a:extLst>
            <a:ext uri="{FF2B5EF4-FFF2-40B4-BE49-F238E27FC236}">
              <a16:creationId xmlns:a16="http://schemas.microsoft.com/office/drawing/2014/main" xmlns="" id="{F951B3F4-B4A6-408E-9E17-DB5FBA230641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351" name="Text Box 1">
          <a:extLst>
            <a:ext uri="{FF2B5EF4-FFF2-40B4-BE49-F238E27FC236}">
              <a16:creationId xmlns:a16="http://schemas.microsoft.com/office/drawing/2014/main" xmlns="" id="{459D77BE-A2E9-44AF-833C-FFA44D1C210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352" name="Text Box 1">
          <a:extLst>
            <a:ext uri="{FF2B5EF4-FFF2-40B4-BE49-F238E27FC236}">
              <a16:creationId xmlns:a16="http://schemas.microsoft.com/office/drawing/2014/main" xmlns="" id="{E46FA30D-D2DF-4360-A249-2ED570C0B9A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353" name="Text Box 1">
          <a:extLst>
            <a:ext uri="{FF2B5EF4-FFF2-40B4-BE49-F238E27FC236}">
              <a16:creationId xmlns:a16="http://schemas.microsoft.com/office/drawing/2014/main" xmlns="" id="{48904C43-377E-4FC1-986F-AE71456A270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354" name="Text Box 1">
          <a:extLst>
            <a:ext uri="{FF2B5EF4-FFF2-40B4-BE49-F238E27FC236}">
              <a16:creationId xmlns:a16="http://schemas.microsoft.com/office/drawing/2014/main" xmlns="" id="{8B984ADF-0927-4ADF-8DA4-0DF48F9C728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355" name="Text Box 1">
          <a:extLst>
            <a:ext uri="{FF2B5EF4-FFF2-40B4-BE49-F238E27FC236}">
              <a16:creationId xmlns:a16="http://schemas.microsoft.com/office/drawing/2014/main" xmlns="" id="{1C3128A4-83B6-4892-B894-ACC336EA075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356" name="Text Box 1">
          <a:extLst>
            <a:ext uri="{FF2B5EF4-FFF2-40B4-BE49-F238E27FC236}">
              <a16:creationId xmlns:a16="http://schemas.microsoft.com/office/drawing/2014/main" xmlns="" id="{E9E7571D-7967-4C0C-9B0D-6E126291025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357" name="Text Box 1">
          <a:extLst>
            <a:ext uri="{FF2B5EF4-FFF2-40B4-BE49-F238E27FC236}">
              <a16:creationId xmlns:a16="http://schemas.microsoft.com/office/drawing/2014/main" xmlns="" id="{5769B896-C81E-4163-AFCC-85CB153ABED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358" name="Text Box 1">
          <a:extLst>
            <a:ext uri="{FF2B5EF4-FFF2-40B4-BE49-F238E27FC236}">
              <a16:creationId xmlns:a16="http://schemas.microsoft.com/office/drawing/2014/main" xmlns="" id="{53913C74-674C-4E13-8058-9EC218A34DE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359" name="Text Box 1">
          <a:extLst>
            <a:ext uri="{FF2B5EF4-FFF2-40B4-BE49-F238E27FC236}">
              <a16:creationId xmlns:a16="http://schemas.microsoft.com/office/drawing/2014/main" xmlns="" id="{A2036640-3C05-459C-A396-7321CD2B312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360" name="Text Box 1">
          <a:extLst>
            <a:ext uri="{FF2B5EF4-FFF2-40B4-BE49-F238E27FC236}">
              <a16:creationId xmlns:a16="http://schemas.microsoft.com/office/drawing/2014/main" xmlns="" id="{8D780558-8B0B-49A7-8067-4BD8AAEC1D7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361" name="Text Box 1">
          <a:extLst>
            <a:ext uri="{FF2B5EF4-FFF2-40B4-BE49-F238E27FC236}">
              <a16:creationId xmlns:a16="http://schemas.microsoft.com/office/drawing/2014/main" xmlns="" id="{7BA06336-F21F-44AE-9D56-31A2FB73B1C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362" name="Text Box 1">
          <a:extLst>
            <a:ext uri="{FF2B5EF4-FFF2-40B4-BE49-F238E27FC236}">
              <a16:creationId xmlns:a16="http://schemas.microsoft.com/office/drawing/2014/main" xmlns="" id="{A40C65EA-73D1-4D1F-B9CF-47026DAE49D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363" name="Text Box 1">
          <a:extLst>
            <a:ext uri="{FF2B5EF4-FFF2-40B4-BE49-F238E27FC236}">
              <a16:creationId xmlns:a16="http://schemas.microsoft.com/office/drawing/2014/main" xmlns="" id="{AED3044F-0D33-4DA7-A576-900103B5323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364" name="Text Box 1">
          <a:extLst>
            <a:ext uri="{FF2B5EF4-FFF2-40B4-BE49-F238E27FC236}">
              <a16:creationId xmlns:a16="http://schemas.microsoft.com/office/drawing/2014/main" xmlns="" id="{13CFB919-78B7-4FF4-9D6C-0F6FDA05931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365" name="Text Box 1">
          <a:extLst>
            <a:ext uri="{FF2B5EF4-FFF2-40B4-BE49-F238E27FC236}">
              <a16:creationId xmlns:a16="http://schemas.microsoft.com/office/drawing/2014/main" xmlns="" id="{8F17EA0A-BF26-4666-B606-A76AE0E87F6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366" name="Text Box 1">
          <a:extLst>
            <a:ext uri="{FF2B5EF4-FFF2-40B4-BE49-F238E27FC236}">
              <a16:creationId xmlns:a16="http://schemas.microsoft.com/office/drawing/2014/main" xmlns="" id="{EA9E5A5C-C022-45CF-AAE3-3C2D7F5161A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367" name="Text Box 1">
          <a:extLst>
            <a:ext uri="{FF2B5EF4-FFF2-40B4-BE49-F238E27FC236}">
              <a16:creationId xmlns:a16="http://schemas.microsoft.com/office/drawing/2014/main" xmlns="" id="{F95FDB27-3AAF-444A-8493-AB97C2ADDC2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368" name="Text Box 1">
          <a:extLst>
            <a:ext uri="{FF2B5EF4-FFF2-40B4-BE49-F238E27FC236}">
              <a16:creationId xmlns:a16="http://schemas.microsoft.com/office/drawing/2014/main" xmlns="" id="{CD7B33B8-9E35-4379-9A9B-F3078B8519F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369" name="Text Box 1">
          <a:extLst>
            <a:ext uri="{FF2B5EF4-FFF2-40B4-BE49-F238E27FC236}">
              <a16:creationId xmlns:a16="http://schemas.microsoft.com/office/drawing/2014/main" xmlns="" id="{6BCC2A13-85AF-4CA1-8634-1794E5895B6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370" name="Text Box 1">
          <a:extLst>
            <a:ext uri="{FF2B5EF4-FFF2-40B4-BE49-F238E27FC236}">
              <a16:creationId xmlns:a16="http://schemas.microsoft.com/office/drawing/2014/main" xmlns="" id="{4ABD4517-2037-4A24-A81D-0167E97A338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371" name="Text Box 1">
          <a:extLst>
            <a:ext uri="{FF2B5EF4-FFF2-40B4-BE49-F238E27FC236}">
              <a16:creationId xmlns:a16="http://schemas.microsoft.com/office/drawing/2014/main" xmlns="" id="{6E06EEEC-B8FB-4C94-8E83-145C61B6C16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372" name="Text Box 1">
          <a:extLst>
            <a:ext uri="{FF2B5EF4-FFF2-40B4-BE49-F238E27FC236}">
              <a16:creationId xmlns:a16="http://schemas.microsoft.com/office/drawing/2014/main" xmlns="" id="{C3F21178-33DB-42C7-A91D-97DE5208D15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373" name="Text Box 1">
          <a:extLst>
            <a:ext uri="{FF2B5EF4-FFF2-40B4-BE49-F238E27FC236}">
              <a16:creationId xmlns:a16="http://schemas.microsoft.com/office/drawing/2014/main" xmlns="" id="{12E8FECD-8016-4296-9CEC-0E91DD300B5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374" name="Text Box 1">
          <a:extLst>
            <a:ext uri="{FF2B5EF4-FFF2-40B4-BE49-F238E27FC236}">
              <a16:creationId xmlns:a16="http://schemas.microsoft.com/office/drawing/2014/main" xmlns="" id="{3D519828-A04A-433F-8528-A6D4498C3C2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375" name="Text Box 1">
          <a:extLst>
            <a:ext uri="{FF2B5EF4-FFF2-40B4-BE49-F238E27FC236}">
              <a16:creationId xmlns:a16="http://schemas.microsoft.com/office/drawing/2014/main" xmlns="" id="{2CF7A42A-E221-443C-A4CF-1AE3345F61C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376" name="Text Box 1">
          <a:extLst>
            <a:ext uri="{FF2B5EF4-FFF2-40B4-BE49-F238E27FC236}">
              <a16:creationId xmlns:a16="http://schemas.microsoft.com/office/drawing/2014/main" xmlns="" id="{5C501749-4634-4926-98BA-2405666600C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377" name="Text Box 1">
          <a:extLst>
            <a:ext uri="{FF2B5EF4-FFF2-40B4-BE49-F238E27FC236}">
              <a16:creationId xmlns:a16="http://schemas.microsoft.com/office/drawing/2014/main" xmlns="" id="{FCCD4FD9-2D76-48ED-AE10-056693506E9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378" name="Text Box 1">
          <a:extLst>
            <a:ext uri="{FF2B5EF4-FFF2-40B4-BE49-F238E27FC236}">
              <a16:creationId xmlns:a16="http://schemas.microsoft.com/office/drawing/2014/main" xmlns="" id="{A9999C35-8A6E-4B24-AE65-FBCD26B410C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379" name="Text Box 1">
          <a:extLst>
            <a:ext uri="{FF2B5EF4-FFF2-40B4-BE49-F238E27FC236}">
              <a16:creationId xmlns:a16="http://schemas.microsoft.com/office/drawing/2014/main" xmlns="" id="{6A0C45CD-64F6-4A15-A2A1-C66E28A0BBD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380" name="Text Box 1">
          <a:extLst>
            <a:ext uri="{FF2B5EF4-FFF2-40B4-BE49-F238E27FC236}">
              <a16:creationId xmlns:a16="http://schemas.microsoft.com/office/drawing/2014/main" xmlns="" id="{0209E465-85BE-476A-BD36-E16F5BFD55E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381" name="Text Box 1">
          <a:extLst>
            <a:ext uri="{FF2B5EF4-FFF2-40B4-BE49-F238E27FC236}">
              <a16:creationId xmlns:a16="http://schemas.microsoft.com/office/drawing/2014/main" xmlns="" id="{01EDF85F-CC54-471D-972A-23BC288075E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382" name="Text Box 1">
          <a:extLst>
            <a:ext uri="{FF2B5EF4-FFF2-40B4-BE49-F238E27FC236}">
              <a16:creationId xmlns:a16="http://schemas.microsoft.com/office/drawing/2014/main" xmlns="" id="{3165F0C7-E34B-4221-8BB2-3366D27FAB7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383" name="Text Box 1">
          <a:extLst>
            <a:ext uri="{FF2B5EF4-FFF2-40B4-BE49-F238E27FC236}">
              <a16:creationId xmlns:a16="http://schemas.microsoft.com/office/drawing/2014/main" xmlns="" id="{887A4E48-C0D0-4921-85B2-AE952BB4B6B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384" name="Text Box 1">
          <a:extLst>
            <a:ext uri="{FF2B5EF4-FFF2-40B4-BE49-F238E27FC236}">
              <a16:creationId xmlns:a16="http://schemas.microsoft.com/office/drawing/2014/main" xmlns="" id="{224F6BB4-E5B0-471F-A5EA-B56394D88AA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385" name="Text Box 1">
          <a:extLst>
            <a:ext uri="{FF2B5EF4-FFF2-40B4-BE49-F238E27FC236}">
              <a16:creationId xmlns:a16="http://schemas.microsoft.com/office/drawing/2014/main" xmlns="" id="{51E2C395-DF0E-4484-8D97-C6EFBB2B8DB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386" name="Text Box 1">
          <a:extLst>
            <a:ext uri="{FF2B5EF4-FFF2-40B4-BE49-F238E27FC236}">
              <a16:creationId xmlns:a16="http://schemas.microsoft.com/office/drawing/2014/main" xmlns="" id="{7B58FF54-5D25-4068-9A26-D3D1C4F3987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387" name="Text Box 1">
          <a:extLst>
            <a:ext uri="{FF2B5EF4-FFF2-40B4-BE49-F238E27FC236}">
              <a16:creationId xmlns:a16="http://schemas.microsoft.com/office/drawing/2014/main" xmlns="" id="{ED09BA69-3854-47C8-AB16-3FC68F73EF6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388" name="Text Box 1">
          <a:extLst>
            <a:ext uri="{FF2B5EF4-FFF2-40B4-BE49-F238E27FC236}">
              <a16:creationId xmlns:a16="http://schemas.microsoft.com/office/drawing/2014/main" xmlns="" id="{22CAA231-20FC-49D0-B6DB-906B55051E9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389" name="Text Box 1">
          <a:extLst>
            <a:ext uri="{FF2B5EF4-FFF2-40B4-BE49-F238E27FC236}">
              <a16:creationId xmlns:a16="http://schemas.microsoft.com/office/drawing/2014/main" xmlns="" id="{427BE63A-B6FC-4080-9E31-7AC82BA633C1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390" name="Text Box 1">
          <a:extLst>
            <a:ext uri="{FF2B5EF4-FFF2-40B4-BE49-F238E27FC236}">
              <a16:creationId xmlns:a16="http://schemas.microsoft.com/office/drawing/2014/main" xmlns="" id="{6E74BB80-8ECB-409D-B4F0-E53E72BAD93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391" name="Text Box 1">
          <a:extLst>
            <a:ext uri="{FF2B5EF4-FFF2-40B4-BE49-F238E27FC236}">
              <a16:creationId xmlns:a16="http://schemas.microsoft.com/office/drawing/2014/main" xmlns="" id="{669D571F-30F3-490A-841B-CB1133E7664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392" name="Text Box 1">
          <a:extLst>
            <a:ext uri="{FF2B5EF4-FFF2-40B4-BE49-F238E27FC236}">
              <a16:creationId xmlns:a16="http://schemas.microsoft.com/office/drawing/2014/main" xmlns="" id="{47D19D4E-127D-403B-8ADE-33EE6119B8D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393" name="Text Box 1">
          <a:extLst>
            <a:ext uri="{FF2B5EF4-FFF2-40B4-BE49-F238E27FC236}">
              <a16:creationId xmlns:a16="http://schemas.microsoft.com/office/drawing/2014/main" xmlns="" id="{8F953FDA-2139-4B81-B23A-38869E7FCC6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394" name="Text Box 1">
          <a:extLst>
            <a:ext uri="{FF2B5EF4-FFF2-40B4-BE49-F238E27FC236}">
              <a16:creationId xmlns:a16="http://schemas.microsoft.com/office/drawing/2014/main" xmlns="" id="{FB2012E3-EAF5-4522-98D4-F911F8088B8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395" name="Text Box 1">
          <a:extLst>
            <a:ext uri="{FF2B5EF4-FFF2-40B4-BE49-F238E27FC236}">
              <a16:creationId xmlns:a16="http://schemas.microsoft.com/office/drawing/2014/main" xmlns="" id="{50B247C9-4DC8-44A5-99DB-C7A143BF04B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396" name="Text Box 1">
          <a:extLst>
            <a:ext uri="{FF2B5EF4-FFF2-40B4-BE49-F238E27FC236}">
              <a16:creationId xmlns:a16="http://schemas.microsoft.com/office/drawing/2014/main" xmlns="" id="{4991DC72-65C9-4E89-9436-E3E61875E59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397" name="Text Box 1">
          <a:extLst>
            <a:ext uri="{FF2B5EF4-FFF2-40B4-BE49-F238E27FC236}">
              <a16:creationId xmlns:a16="http://schemas.microsoft.com/office/drawing/2014/main" xmlns="" id="{4A636E81-8A0C-4D45-BA66-B2F00D4E5EC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398" name="Text Box 1">
          <a:extLst>
            <a:ext uri="{FF2B5EF4-FFF2-40B4-BE49-F238E27FC236}">
              <a16:creationId xmlns:a16="http://schemas.microsoft.com/office/drawing/2014/main" xmlns="" id="{670CDD77-8B42-4C16-B326-F96F6BEF25F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399" name="Text Box 1">
          <a:extLst>
            <a:ext uri="{FF2B5EF4-FFF2-40B4-BE49-F238E27FC236}">
              <a16:creationId xmlns:a16="http://schemas.microsoft.com/office/drawing/2014/main" xmlns="" id="{53B91933-923A-44D5-AAB9-CA6C4DADC77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400" name="Text Box 1">
          <a:extLst>
            <a:ext uri="{FF2B5EF4-FFF2-40B4-BE49-F238E27FC236}">
              <a16:creationId xmlns:a16="http://schemas.microsoft.com/office/drawing/2014/main" xmlns="" id="{9E559ED3-D95D-4747-B840-680C197293A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401" name="Text Box 1">
          <a:extLst>
            <a:ext uri="{FF2B5EF4-FFF2-40B4-BE49-F238E27FC236}">
              <a16:creationId xmlns:a16="http://schemas.microsoft.com/office/drawing/2014/main" xmlns="" id="{7400B637-DE9D-45DA-AD39-5CD90A151F4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402" name="Text Box 1">
          <a:extLst>
            <a:ext uri="{FF2B5EF4-FFF2-40B4-BE49-F238E27FC236}">
              <a16:creationId xmlns:a16="http://schemas.microsoft.com/office/drawing/2014/main" xmlns="" id="{D3FDA42A-F214-4647-B876-D5EEE45FCC0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403" name="Text Box 1">
          <a:extLst>
            <a:ext uri="{FF2B5EF4-FFF2-40B4-BE49-F238E27FC236}">
              <a16:creationId xmlns:a16="http://schemas.microsoft.com/office/drawing/2014/main" xmlns="" id="{EA85B87E-ED4C-4F9E-8A2E-51CDB9BEF3E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404" name="Text Box 1">
          <a:extLst>
            <a:ext uri="{FF2B5EF4-FFF2-40B4-BE49-F238E27FC236}">
              <a16:creationId xmlns:a16="http://schemas.microsoft.com/office/drawing/2014/main" xmlns="" id="{69257EDB-5271-4475-9A78-DF500F6D6BE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405" name="Text Box 1">
          <a:extLst>
            <a:ext uri="{FF2B5EF4-FFF2-40B4-BE49-F238E27FC236}">
              <a16:creationId xmlns:a16="http://schemas.microsoft.com/office/drawing/2014/main" xmlns="" id="{368B6315-DDEC-410E-BCBE-38022E4027C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406" name="Text Box 1">
          <a:extLst>
            <a:ext uri="{FF2B5EF4-FFF2-40B4-BE49-F238E27FC236}">
              <a16:creationId xmlns:a16="http://schemas.microsoft.com/office/drawing/2014/main" xmlns="" id="{3207A223-9042-4D86-AD56-BCBF22E6EA41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407" name="Text Box 1">
          <a:extLst>
            <a:ext uri="{FF2B5EF4-FFF2-40B4-BE49-F238E27FC236}">
              <a16:creationId xmlns:a16="http://schemas.microsoft.com/office/drawing/2014/main" xmlns="" id="{79EFC7E5-1F0E-4947-BEEF-EE3D7C4427B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408" name="Text Box 1">
          <a:extLst>
            <a:ext uri="{FF2B5EF4-FFF2-40B4-BE49-F238E27FC236}">
              <a16:creationId xmlns:a16="http://schemas.microsoft.com/office/drawing/2014/main" xmlns="" id="{1184F960-8D34-4C37-ADBC-E6410DF18A9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409" name="Text Box 1">
          <a:extLst>
            <a:ext uri="{FF2B5EF4-FFF2-40B4-BE49-F238E27FC236}">
              <a16:creationId xmlns:a16="http://schemas.microsoft.com/office/drawing/2014/main" xmlns="" id="{DCEF193E-3CAA-42FD-B9BE-B59925B8FF7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410" name="Text Box 1">
          <a:extLst>
            <a:ext uri="{FF2B5EF4-FFF2-40B4-BE49-F238E27FC236}">
              <a16:creationId xmlns:a16="http://schemas.microsoft.com/office/drawing/2014/main" xmlns="" id="{EAD201D7-4DB3-40F4-94F1-861892AF40D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411" name="Text Box 1">
          <a:extLst>
            <a:ext uri="{FF2B5EF4-FFF2-40B4-BE49-F238E27FC236}">
              <a16:creationId xmlns:a16="http://schemas.microsoft.com/office/drawing/2014/main" xmlns="" id="{F24A65EE-D5E5-4255-8C8A-D28FA23D846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412" name="Text Box 1">
          <a:extLst>
            <a:ext uri="{FF2B5EF4-FFF2-40B4-BE49-F238E27FC236}">
              <a16:creationId xmlns:a16="http://schemas.microsoft.com/office/drawing/2014/main" xmlns="" id="{BA067A11-407E-4141-B54E-4638DBAFE6E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413" name="Text Box 1">
          <a:extLst>
            <a:ext uri="{FF2B5EF4-FFF2-40B4-BE49-F238E27FC236}">
              <a16:creationId xmlns:a16="http://schemas.microsoft.com/office/drawing/2014/main" xmlns="" id="{41B249D6-AC6F-4B6F-AC46-C9FBA3573E0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414" name="Text Box 1">
          <a:extLst>
            <a:ext uri="{FF2B5EF4-FFF2-40B4-BE49-F238E27FC236}">
              <a16:creationId xmlns:a16="http://schemas.microsoft.com/office/drawing/2014/main" xmlns="" id="{9575787C-9261-423A-8DB3-95464F8F0481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415" name="Text Box 1">
          <a:extLst>
            <a:ext uri="{FF2B5EF4-FFF2-40B4-BE49-F238E27FC236}">
              <a16:creationId xmlns:a16="http://schemas.microsoft.com/office/drawing/2014/main" xmlns="" id="{476351E2-5E85-4E19-9E1A-ADD23C2E75D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416" name="Text Box 1">
          <a:extLst>
            <a:ext uri="{FF2B5EF4-FFF2-40B4-BE49-F238E27FC236}">
              <a16:creationId xmlns:a16="http://schemas.microsoft.com/office/drawing/2014/main" xmlns="" id="{9820857F-E9B7-46BD-BC3B-448EBB23188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417" name="Text Box 1">
          <a:extLst>
            <a:ext uri="{FF2B5EF4-FFF2-40B4-BE49-F238E27FC236}">
              <a16:creationId xmlns:a16="http://schemas.microsoft.com/office/drawing/2014/main" xmlns="" id="{38D1C73A-A882-4D5B-A678-82B86B6AC48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418" name="Text Box 1">
          <a:extLst>
            <a:ext uri="{FF2B5EF4-FFF2-40B4-BE49-F238E27FC236}">
              <a16:creationId xmlns:a16="http://schemas.microsoft.com/office/drawing/2014/main" xmlns="" id="{35DD6C5B-D127-4907-B9F5-1A32D144082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419" name="Text Box 1">
          <a:extLst>
            <a:ext uri="{FF2B5EF4-FFF2-40B4-BE49-F238E27FC236}">
              <a16:creationId xmlns:a16="http://schemas.microsoft.com/office/drawing/2014/main" xmlns="" id="{58C7FA21-3180-4040-B3D7-2DBCCEF3008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420" name="Text Box 1">
          <a:extLst>
            <a:ext uri="{FF2B5EF4-FFF2-40B4-BE49-F238E27FC236}">
              <a16:creationId xmlns:a16="http://schemas.microsoft.com/office/drawing/2014/main" xmlns="" id="{5C3A7CDD-52DE-44D1-B4A5-4F296AA07AF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421" name="Text Box 1">
          <a:extLst>
            <a:ext uri="{FF2B5EF4-FFF2-40B4-BE49-F238E27FC236}">
              <a16:creationId xmlns:a16="http://schemas.microsoft.com/office/drawing/2014/main" xmlns="" id="{402BA52D-DCA9-476D-A668-C2FC94925FA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422" name="Text Box 1">
          <a:extLst>
            <a:ext uri="{FF2B5EF4-FFF2-40B4-BE49-F238E27FC236}">
              <a16:creationId xmlns:a16="http://schemas.microsoft.com/office/drawing/2014/main" xmlns="" id="{1ED70ED9-6F48-48BE-8307-26E62B2048D1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423" name="Text Box 1">
          <a:extLst>
            <a:ext uri="{FF2B5EF4-FFF2-40B4-BE49-F238E27FC236}">
              <a16:creationId xmlns:a16="http://schemas.microsoft.com/office/drawing/2014/main" xmlns="" id="{C628031D-FCA3-418D-A4C7-5E0B295C4F3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424" name="Text Box 1">
          <a:extLst>
            <a:ext uri="{FF2B5EF4-FFF2-40B4-BE49-F238E27FC236}">
              <a16:creationId xmlns:a16="http://schemas.microsoft.com/office/drawing/2014/main" xmlns="" id="{4CB085A7-3F8C-4625-AEC4-F37E3A8C9C9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425" name="Text Box 1">
          <a:extLst>
            <a:ext uri="{FF2B5EF4-FFF2-40B4-BE49-F238E27FC236}">
              <a16:creationId xmlns:a16="http://schemas.microsoft.com/office/drawing/2014/main" xmlns="" id="{B08BA75B-43B4-4591-8479-77E0CF4323C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426" name="Text Box 1">
          <a:extLst>
            <a:ext uri="{FF2B5EF4-FFF2-40B4-BE49-F238E27FC236}">
              <a16:creationId xmlns:a16="http://schemas.microsoft.com/office/drawing/2014/main" xmlns="" id="{C923CB05-E3FD-40D4-A929-C0641A7D871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427" name="Text Box 1">
          <a:extLst>
            <a:ext uri="{FF2B5EF4-FFF2-40B4-BE49-F238E27FC236}">
              <a16:creationId xmlns:a16="http://schemas.microsoft.com/office/drawing/2014/main" xmlns="" id="{46334889-37FB-447B-9964-FD63712CBA81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428" name="Text Box 1">
          <a:extLst>
            <a:ext uri="{FF2B5EF4-FFF2-40B4-BE49-F238E27FC236}">
              <a16:creationId xmlns:a16="http://schemas.microsoft.com/office/drawing/2014/main" xmlns="" id="{98B15048-A8B0-4364-8310-4E6BE7545FC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429" name="Text Box 1">
          <a:extLst>
            <a:ext uri="{FF2B5EF4-FFF2-40B4-BE49-F238E27FC236}">
              <a16:creationId xmlns:a16="http://schemas.microsoft.com/office/drawing/2014/main" xmlns="" id="{F8834563-5905-4657-A769-64375A64773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430" name="Text Box 1">
          <a:extLst>
            <a:ext uri="{FF2B5EF4-FFF2-40B4-BE49-F238E27FC236}">
              <a16:creationId xmlns:a16="http://schemas.microsoft.com/office/drawing/2014/main" xmlns="" id="{7E2A041C-811E-4A30-B769-1A488FC46C2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431" name="Text Box 1">
          <a:extLst>
            <a:ext uri="{FF2B5EF4-FFF2-40B4-BE49-F238E27FC236}">
              <a16:creationId xmlns:a16="http://schemas.microsoft.com/office/drawing/2014/main" xmlns="" id="{913193B2-560E-4C4C-9EA7-90A2520B8CB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432" name="Text Box 1">
          <a:extLst>
            <a:ext uri="{FF2B5EF4-FFF2-40B4-BE49-F238E27FC236}">
              <a16:creationId xmlns:a16="http://schemas.microsoft.com/office/drawing/2014/main" xmlns="" id="{CEA57EE5-4F94-4674-BDDC-D07AC7EAD79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433" name="Text Box 1">
          <a:extLst>
            <a:ext uri="{FF2B5EF4-FFF2-40B4-BE49-F238E27FC236}">
              <a16:creationId xmlns:a16="http://schemas.microsoft.com/office/drawing/2014/main" xmlns="" id="{87177AF9-FFF6-4DDA-8644-D573E200E12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434" name="Text Box 1">
          <a:extLst>
            <a:ext uri="{FF2B5EF4-FFF2-40B4-BE49-F238E27FC236}">
              <a16:creationId xmlns:a16="http://schemas.microsoft.com/office/drawing/2014/main" xmlns="" id="{881C3AD7-7EAE-4092-9558-54D982A5857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435" name="Text Box 1">
          <a:extLst>
            <a:ext uri="{FF2B5EF4-FFF2-40B4-BE49-F238E27FC236}">
              <a16:creationId xmlns:a16="http://schemas.microsoft.com/office/drawing/2014/main" xmlns="" id="{9C832652-CCDA-417C-B61B-C8825F20689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436" name="Text Box 1">
          <a:extLst>
            <a:ext uri="{FF2B5EF4-FFF2-40B4-BE49-F238E27FC236}">
              <a16:creationId xmlns:a16="http://schemas.microsoft.com/office/drawing/2014/main" xmlns="" id="{3105E315-0E5F-4DFA-9E9B-6A6E72188A2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437" name="Text Box 1">
          <a:extLst>
            <a:ext uri="{FF2B5EF4-FFF2-40B4-BE49-F238E27FC236}">
              <a16:creationId xmlns:a16="http://schemas.microsoft.com/office/drawing/2014/main" xmlns="" id="{A99CCC36-3650-4093-9B97-D04AD600797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438" name="Text Box 1">
          <a:extLst>
            <a:ext uri="{FF2B5EF4-FFF2-40B4-BE49-F238E27FC236}">
              <a16:creationId xmlns:a16="http://schemas.microsoft.com/office/drawing/2014/main" xmlns="" id="{C7F77C82-A2E6-45DF-9625-E6A8CBB8125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439" name="Text Box 1">
          <a:extLst>
            <a:ext uri="{FF2B5EF4-FFF2-40B4-BE49-F238E27FC236}">
              <a16:creationId xmlns:a16="http://schemas.microsoft.com/office/drawing/2014/main" xmlns="" id="{7D9D90E2-8EC0-48C4-9080-22CBFAB77841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440" name="Text Box 1">
          <a:extLst>
            <a:ext uri="{FF2B5EF4-FFF2-40B4-BE49-F238E27FC236}">
              <a16:creationId xmlns:a16="http://schemas.microsoft.com/office/drawing/2014/main" xmlns="" id="{73AF0BE9-41F4-4C82-BDA3-C00DE53EE39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441" name="Text Box 1">
          <a:extLst>
            <a:ext uri="{FF2B5EF4-FFF2-40B4-BE49-F238E27FC236}">
              <a16:creationId xmlns:a16="http://schemas.microsoft.com/office/drawing/2014/main" xmlns="" id="{85B2E651-685C-429E-824F-77642FF64031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442" name="Text Box 1">
          <a:extLst>
            <a:ext uri="{FF2B5EF4-FFF2-40B4-BE49-F238E27FC236}">
              <a16:creationId xmlns:a16="http://schemas.microsoft.com/office/drawing/2014/main" xmlns="" id="{B8FB0935-C907-43B3-8FA3-0DECC511654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443" name="Text Box 1">
          <a:extLst>
            <a:ext uri="{FF2B5EF4-FFF2-40B4-BE49-F238E27FC236}">
              <a16:creationId xmlns:a16="http://schemas.microsoft.com/office/drawing/2014/main" xmlns="" id="{298E1815-A00E-4A48-B3B8-0BE48F04066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444" name="Text Box 1">
          <a:extLst>
            <a:ext uri="{FF2B5EF4-FFF2-40B4-BE49-F238E27FC236}">
              <a16:creationId xmlns:a16="http://schemas.microsoft.com/office/drawing/2014/main" xmlns="" id="{0D01DE1B-B1ED-4E02-8923-89B58040276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62843"/>
    <xdr:sp macro="" textlink="">
      <xdr:nvSpPr>
        <xdr:cNvPr id="1445" name="Text Box 1">
          <a:extLst>
            <a:ext uri="{FF2B5EF4-FFF2-40B4-BE49-F238E27FC236}">
              <a16:creationId xmlns:a16="http://schemas.microsoft.com/office/drawing/2014/main" xmlns="" id="{3354A635-9C53-4D6E-8287-D1397823C27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628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53318"/>
    <xdr:sp macro="" textlink="">
      <xdr:nvSpPr>
        <xdr:cNvPr id="1446" name="Text Box 1">
          <a:extLst>
            <a:ext uri="{FF2B5EF4-FFF2-40B4-BE49-F238E27FC236}">
              <a16:creationId xmlns:a16="http://schemas.microsoft.com/office/drawing/2014/main" xmlns="" id="{C3366082-8A16-4A08-B33C-1C9B63C9270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533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53318"/>
    <xdr:sp macro="" textlink="">
      <xdr:nvSpPr>
        <xdr:cNvPr id="1447" name="Text Box 1">
          <a:extLst>
            <a:ext uri="{FF2B5EF4-FFF2-40B4-BE49-F238E27FC236}">
              <a16:creationId xmlns:a16="http://schemas.microsoft.com/office/drawing/2014/main" xmlns="" id="{C8549BD5-C2A9-44E4-9D6E-4B04228654D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533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53318"/>
    <xdr:sp macro="" textlink="">
      <xdr:nvSpPr>
        <xdr:cNvPr id="1448" name="Text Box 1">
          <a:extLst>
            <a:ext uri="{FF2B5EF4-FFF2-40B4-BE49-F238E27FC236}">
              <a16:creationId xmlns:a16="http://schemas.microsoft.com/office/drawing/2014/main" xmlns="" id="{D5C8E684-E71C-4B12-A8CD-0FB8076D81E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533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53318"/>
    <xdr:sp macro="" textlink="">
      <xdr:nvSpPr>
        <xdr:cNvPr id="1449" name="Text Box 1">
          <a:extLst>
            <a:ext uri="{FF2B5EF4-FFF2-40B4-BE49-F238E27FC236}">
              <a16:creationId xmlns:a16="http://schemas.microsoft.com/office/drawing/2014/main" xmlns="" id="{96B4AD71-2437-4A4E-AD6A-E0F02278CC9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533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1450" name="Text Box 1">
          <a:extLst>
            <a:ext uri="{FF2B5EF4-FFF2-40B4-BE49-F238E27FC236}">
              <a16:creationId xmlns:a16="http://schemas.microsoft.com/office/drawing/2014/main" xmlns="" id="{831F1EB0-FC21-4274-9741-3396BF94A63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1451" name="Text Box 1">
          <a:extLst>
            <a:ext uri="{FF2B5EF4-FFF2-40B4-BE49-F238E27FC236}">
              <a16:creationId xmlns:a16="http://schemas.microsoft.com/office/drawing/2014/main" xmlns="" id="{0A7E2B1C-541C-4AAF-B7E7-C8529B85F52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1452" name="Text Box 1">
          <a:extLst>
            <a:ext uri="{FF2B5EF4-FFF2-40B4-BE49-F238E27FC236}">
              <a16:creationId xmlns:a16="http://schemas.microsoft.com/office/drawing/2014/main" xmlns="" id="{B2332AA8-C00F-45CB-8820-87C0AA73D4A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1453" name="Text Box 1">
          <a:extLst>
            <a:ext uri="{FF2B5EF4-FFF2-40B4-BE49-F238E27FC236}">
              <a16:creationId xmlns:a16="http://schemas.microsoft.com/office/drawing/2014/main" xmlns="" id="{354F5692-DBFF-478D-B41D-0EF3E837EF8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1454" name="Text Box 1">
          <a:extLst>
            <a:ext uri="{FF2B5EF4-FFF2-40B4-BE49-F238E27FC236}">
              <a16:creationId xmlns:a16="http://schemas.microsoft.com/office/drawing/2014/main" xmlns="" id="{4691249D-6FB1-4E38-ABC0-BCD1ED8AA27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1455" name="Text Box 1">
          <a:extLst>
            <a:ext uri="{FF2B5EF4-FFF2-40B4-BE49-F238E27FC236}">
              <a16:creationId xmlns:a16="http://schemas.microsoft.com/office/drawing/2014/main" xmlns="" id="{73D9ECAA-4C95-4617-8F33-98C531B2817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1456" name="Text Box 1">
          <a:extLst>
            <a:ext uri="{FF2B5EF4-FFF2-40B4-BE49-F238E27FC236}">
              <a16:creationId xmlns:a16="http://schemas.microsoft.com/office/drawing/2014/main" xmlns="" id="{F1457495-03E9-4667-90A0-1535FAEABD6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1457" name="Text Box 1">
          <a:extLst>
            <a:ext uri="{FF2B5EF4-FFF2-40B4-BE49-F238E27FC236}">
              <a16:creationId xmlns:a16="http://schemas.microsoft.com/office/drawing/2014/main" xmlns="" id="{F5C0C92E-0793-4BAC-A735-DC85783B69B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1458" name="Text Box 1">
          <a:extLst>
            <a:ext uri="{FF2B5EF4-FFF2-40B4-BE49-F238E27FC236}">
              <a16:creationId xmlns:a16="http://schemas.microsoft.com/office/drawing/2014/main" xmlns="" id="{F336E633-030F-466C-A80F-937D9248596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1459" name="Text Box 1">
          <a:extLst>
            <a:ext uri="{FF2B5EF4-FFF2-40B4-BE49-F238E27FC236}">
              <a16:creationId xmlns:a16="http://schemas.microsoft.com/office/drawing/2014/main" xmlns="" id="{264278D3-A212-47BC-B2D9-863BC3F4B07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1460" name="Text Box 1">
          <a:extLst>
            <a:ext uri="{FF2B5EF4-FFF2-40B4-BE49-F238E27FC236}">
              <a16:creationId xmlns:a16="http://schemas.microsoft.com/office/drawing/2014/main" xmlns="" id="{E0457C5C-6615-479E-BA59-0D631AC1261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1461" name="Text Box 1">
          <a:extLst>
            <a:ext uri="{FF2B5EF4-FFF2-40B4-BE49-F238E27FC236}">
              <a16:creationId xmlns:a16="http://schemas.microsoft.com/office/drawing/2014/main" xmlns="" id="{434557EC-49D8-4862-B4EC-DA6A4E62FEC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1462" name="Text Box 1">
          <a:extLst>
            <a:ext uri="{FF2B5EF4-FFF2-40B4-BE49-F238E27FC236}">
              <a16:creationId xmlns:a16="http://schemas.microsoft.com/office/drawing/2014/main" xmlns="" id="{FF399229-229B-4688-918D-AD61CAF765F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1463" name="Text Box 1">
          <a:extLst>
            <a:ext uri="{FF2B5EF4-FFF2-40B4-BE49-F238E27FC236}">
              <a16:creationId xmlns:a16="http://schemas.microsoft.com/office/drawing/2014/main" xmlns="" id="{A93F354F-2312-4530-AAEA-C87F26864461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1464" name="Text Box 1">
          <a:extLst>
            <a:ext uri="{FF2B5EF4-FFF2-40B4-BE49-F238E27FC236}">
              <a16:creationId xmlns:a16="http://schemas.microsoft.com/office/drawing/2014/main" xmlns="" id="{64DDED96-F968-491F-B569-28890BBA334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1465" name="Text Box 1">
          <a:extLst>
            <a:ext uri="{FF2B5EF4-FFF2-40B4-BE49-F238E27FC236}">
              <a16:creationId xmlns:a16="http://schemas.microsoft.com/office/drawing/2014/main" xmlns="" id="{D9DA109F-A527-4DD7-AC86-72A407FEA19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62843"/>
    <xdr:sp macro="" textlink="">
      <xdr:nvSpPr>
        <xdr:cNvPr id="1466" name="Text Box 1">
          <a:extLst>
            <a:ext uri="{FF2B5EF4-FFF2-40B4-BE49-F238E27FC236}">
              <a16:creationId xmlns:a16="http://schemas.microsoft.com/office/drawing/2014/main" xmlns="" id="{922CFE77-14BF-4DB9-BF47-439BE8F8756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628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62843"/>
    <xdr:sp macro="" textlink="">
      <xdr:nvSpPr>
        <xdr:cNvPr id="1467" name="Text Box 1">
          <a:extLst>
            <a:ext uri="{FF2B5EF4-FFF2-40B4-BE49-F238E27FC236}">
              <a16:creationId xmlns:a16="http://schemas.microsoft.com/office/drawing/2014/main" xmlns="" id="{6DA1F49F-9FAC-4D62-9061-886A77CD13D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628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1468" name="Text Box 1">
          <a:extLst>
            <a:ext uri="{FF2B5EF4-FFF2-40B4-BE49-F238E27FC236}">
              <a16:creationId xmlns:a16="http://schemas.microsoft.com/office/drawing/2014/main" xmlns="" id="{4DDD1B5C-3EAE-4A6D-8F51-C0EE51E581D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1469" name="Text Box 1">
          <a:extLst>
            <a:ext uri="{FF2B5EF4-FFF2-40B4-BE49-F238E27FC236}">
              <a16:creationId xmlns:a16="http://schemas.microsoft.com/office/drawing/2014/main" xmlns="" id="{334FF1F6-1988-4B15-9EF5-8D59AA1F4C3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1470" name="Text Box 1">
          <a:extLst>
            <a:ext uri="{FF2B5EF4-FFF2-40B4-BE49-F238E27FC236}">
              <a16:creationId xmlns:a16="http://schemas.microsoft.com/office/drawing/2014/main" xmlns="" id="{9E9371F7-AFEC-45D9-8488-79E30093FFD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1471" name="Text Box 1">
          <a:extLst>
            <a:ext uri="{FF2B5EF4-FFF2-40B4-BE49-F238E27FC236}">
              <a16:creationId xmlns:a16="http://schemas.microsoft.com/office/drawing/2014/main" xmlns="" id="{73B04AB8-CF3A-4ABE-81C9-C041B01776E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1472" name="Text Box 1">
          <a:extLst>
            <a:ext uri="{FF2B5EF4-FFF2-40B4-BE49-F238E27FC236}">
              <a16:creationId xmlns:a16="http://schemas.microsoft.com/office/drawing/2014/main" xmlns="" id="{EAD007C8-CDF7-406C-AF20-FC0566FFB59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1473" name="Text Box 1">
          <a:extLst>
            <a:ext uri="{FF2B5EF4-FFF2-40B4-BE49-F238E27FC236}">
              <a16:creationId xmlns:a16="http://schemas.microsoft.com/office/drawing/2014/main" xmlns="" id="{68B89A3C-FB09-4E70-B748-19ACE390178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1474" name="Text Box 1">
          <a:extLst>
            <a:ext uri="{FF2B5EF4-FFF2-40B4-BE49-F238E27FC236}">
              <a16:creationId xmlns:a16="http://schemas.microsoft.com/office/drawing/2014/main" xmlns="" id="{811A3604-74D0-4A72-8061-02F61E2D44F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1475" name="Text Box 1">
          <a:extLst>
            <a:ext uri="{FF2B5EF4-FFF2-40B4-BE49-F238E27FC236}">
              <a16:creationId xmlns:a16="http://schemas.microsoft.com/office/drawing/2014/main" xmlns="" id="{CBAE3D79-E2F3-49F7-9972-8A904385C1E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1476" name="Text Box 1">
          <a:extLst>
            <a:ext uri="{FF2B5EF4-FFF2-40B4-BE49-F238E27FC236}">
              <a16:creationId xmlns:a16="http://schemas.microsoft.com/office/drawing/2014/main" xmlns="" id="{095178D7-71F9-4EA0-8544-ADF361605031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1477" name="Text Box 1">
          <a:extLst>
            <a:ext uri="{FF2B5EF4-FFF2-40B4-BE49-F238E27FC236}">
              <a16:creationId xmlns:a16="http://schemas.microsoft.com/office/drawing/2014/main" xmlns="" id="{39E7183D-BDB6-498C-A71F-CABAD5BCDB2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1478" name="Text Box 1">
          <a:extLst>
            <a:ext uri="{FF2B5EF4-FFF2-40B4-BE49-F238E27FC236}">
              <a16:creationId xmlns:a16="http://schemas.microsoft.com/office/drawing/2014/main" xmlns="" id="{802AF676-5F1C-49CB-8A8B-60172281BB8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1479" name="Text Box 1">
          <a:extLst>
            <a:ext uri="{FF2B5EF4-FFF2-40B4-BE49-F238E27FC236}">
              <a16:creationId xmlns:a16="http://schemas.microsoft.com/office/drawing/2014/main" xmlns="" id="{05AB1BD6-70DB-429B-8D3A-E93EE56CA1D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1480" name="Text Box 1">
          <a:extLst>
            <a:ext uri="{FF2B5EF4-FFF2-40B4-BE49-F238E27FC236}">
              <a16:creationId xmlns:a16="http://schemas.microsoft.com/office/drawing/2014/main" xmlns="" id="{73A3D9D7-AC35-400B-A89F-997924878D0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1481" name="Text Box 1">
          <a:extLst>
            <a:ext uri="{FF2B5EF4-FFF2-40B4-BE49-F238E27FC236}">
              <a16:creationId xmlns:a16="http://schemas.microsoft.com/office/drawing/2014/main" xmlns="" id="{2A0CE967-CD97-4B95-B574-865BD9DB60A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62843"/>
    <xdr:sp macro="" textlink="">
      <xdr:nvSpPr>
        <xdr:cNvPr id="1482" name="Text Box 1">
          <a:extLst>
            <a:ext uri="{FF2B5EF4-FFF2-40B4-BE49-F238E27FC236}">
              <a16:creationId xmlns:a16="http://schemas.microsoft.com/office/drawing/2014/main" xmlns="" id="{B8C4C93E-DB4B-4B85-955F-F61875825A5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628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62843"/>
    <xdr:sp macro="" textlink="">
      <xdr:nvSpPr>
        <xdr:cNvPr id="1483" name="Text Box 1">
          <a:extLst>
            <a:ext uri="{FF2B5EF4-FFF2-40B4-BE49-F238E27FC236}">
              <a16:creationId xmlns:a16="http://schemas.microsoft.com/office/drawing/2014/main" xmlns="" id="{260FA9FE-C3FA-4962-8EAA-89294BCA0CB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628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1484" name="Text Box 1">
          <a:extLst>
            <a:ext uri="{FF2B5EF4-FFF2-40B4-BE49-F238E27FC236}">
              <a16:creationId xmlns:a16="http://schemas.microsoft.com/office/drawing/2014/main" xmlns="" id="{4848D770-4F06-4E1B-BD1D-5C6E13A38A4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1485" name="Text Box 1">
          <a:extLst>
            <a:ext uri="{FF2B5EF4-FFF2-40B4-BE49-F238E27FC236}">
              <a16:creationId xmlns:a16="http://schemas.microsoft.com/office/drawing/2014/main" xmlns="" id="{D3473C53-AD0D-4838-BA7F-801F06C9274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1486" name="Text Box 1">
          <a:extLst>
            <a:ext uri="{FF2B5EF4-FFF2-40B4-BE49-F238E27FC236}">
              <a16:creationId xmlns:a16="http://schemas.microsoft.com/office/drawing/2014/main" xmlns="" id="{C8A30701-51B1-48D6-A8C3-D9E84D496AD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1487" name="Text Box 1">
          <a:extLst>
            <a:ext uri="{FF2B5EF4-FFF2-40B4-BE49-F238E27FC236}">
              <a16:creationId xmlns:a16="http://schemas.microsoft.com/office/drawing/2014/main" xmlns="" id="{60C7890E-63D5-406B-85B1-92EEF34D8D8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1488" name="Text Box 1">
          <a:extLst>
            <a:ext uri="{FF2B5EF4-FFF2-40B4-BE49-F238E27FC236}">
              <a16:creationId xmlns:a16="http://schemas.microsoft.com/office/drawing/2014/main" xmlns="" id="{E8F2B138-19DD-4116-BE7B-FE7C904B11F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1489" name="Text Box 1">
          <a:extLst>
            <a:ext uri="{FF2B5EF4-FFF2-40B4-BE49-F238E27FC236}">
              <a16:creationId xmlns:a16="http://schemas.microsoft.com/office/drawing/2014/main" xmlns="" id="{D87E745A-C678-4A49-8D07-D59B209C9591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1490" name="Text Box 1">
          <a:extLst>
            <a:ext uri="{FF2B5EF4-FFF2-40B4-BE49-F238E27FC236}">
              <a16:creationId xmlns:a16="http://schemas.microsoft.com/office/drawing/2014/main" xmlns="" id="{81E98048-24D5-497A-A6D0-D7502FF6298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1491" name="Text Box 1">
          <a:extLst>
            <a:ext uri="{FF2B5EF4-FFF2-40B4-BE49-F238E27FC236}">
              <a16:creationId xmlns:a16="http://schemas.microsoft.com/office/drawing/2014/main" xmlns="" id="{1751C67C-8541-4A78-9D66-49970277636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1492" name="Text Box 1">
          <a:extLst>
            <a:ext uri="{FF2B5EF4-FFF2-40B4-BE49-F238E27FC236}">
              <a16:creationId xmlns:a16="http://schemas.microsoft.com/office/drawing/2014/main" xmlns="" id="{73CFC494-DADB-456A-AB53-E1955D95771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1493" name="Text Box 1">
          <a:extLst>
            <a:ext uri="{FF2B5EF4-FFF2-40B4-BE49-F238E27FC236}">
              <a16:creationId xmlns:a16="http://schemas.microsoft.com/office/drawing/2014/main" xmlns="" id="{E2256FB3-ECFC-4BC4-A449-EC4E75A207F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1494" name="Text Box 1">
          <a:extLst>
            <a:ext uri="{FF2B5EF4-FFF2-40B4-BE49-F238E27FC236}">
              <a16:creationId xmlns:a16="http://schemas.microsoft.com/office/drawing/2014/main" xmlns="" id="{91AF71AF-3ECB-4334-8717-591A4F90E63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1495" name="Text Box 1">
          <a:extLst>
            <a:ext uri="{FF2B5EF4-FFF2-40B4-BE49-F238E27FC236}">
              <a16:creationId xmlns:a16="http://schemas.microsoft.com/office/drawing/2014/main" xmlns="" id="{F7D9F2D6-43BB-4FC6-831A-85BCAEC2CAB1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1496" name="Text Box 1">
          <a:extLst>
            <a:ext uri="{FF2B5EF4-FFF2-40B4-BE49-F238E27FC236}">
              <a16:creationId xmlns:a16="http://schemas.microsoft.com/office/drawing/2014/main" xmlns="" id="{EAB71E82-A209-457A-B277-0DB940CD52A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1497" name="Text Box 1">
          <a:extLst>
            <a:ext uri="{FF2B5EF4-FFF2-40B4-BE49-F238E27FC236}">
              <a16:creationId xmlns:a16="http://schemas.microsoft.com/office/drawing/2014/main" xmlns="" id="{CB1A4D85-F00B-4675-B4DE-212A223312A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62843"/>
    <xdr:sp macro="" textlink="">
      <xdr:nvSpPr>
        <xdr:cNvPr id="1498" name="Text Box 1">
          <a:extLst>
            <a:ext uri="{FF2B5EF4-FFF2-40B4-BE49-F238E27FC236}">
              <a16:creationId xmlns:a16="http://schemas.microsoft.com/office/drawing/2014/main" xmlns="" id="{69F7A38A-FED5-40B4-B1AF-DEDF39D6CCF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628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62843"/>
    <xdr:sp macro="" textlink="">
      <xdr:nvSpPr>
        <xdr:cNvPr id="1499" name="Text Box 1">
          <a:extLst>
            <a:ext uri="{FF2B5EF4-FFF2-40B4-BE49-F238E27FC236}">
              <a16:creationId xmlns:a16="http://schemas.microsoft.com/office/drawing/2014/main" xmlns="" id="{C57BFCA7-859E-4F9B-BA62-088C2AD298F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628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1500" name="Text Box 1">
          <a:extLst>
            <a:ext uri="{FF2B5EF4-FFF2-40B4-BE49-F238E27FC236}">
              <a16:creationId xmlns:a16="http://schemas.microsoft.com/office/drawing/2014/main" xmlns="" id="{4784E80F-7D86-4C63-B7DA-F41EB6786DA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1501" name="Text Box 1">
          <a:extLst>
            <a:ext uri="{FF2B5EF4-FFF2-40B4-BE49-F238E27FC236}">
              <a16:creationId xmlns:a16="http://schemas.microsoft.com/office/drawing/2014/main" xmlns="" id="{A56B0BCD-CB2A-40A9-82C9-7D78B9A583A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1502" name="Text Box 1">
          <a:extLst>
            <a:ext uri="{FF2B5EF4-FFF2-40B4-BE49-F238E27FC236}">
              <a16:creationId xmlns:a16="http://schemas.microsoft.com/office/drawing/2014/main" xmlns="" id="{F009B13A-C7AE-4254-AB13-83F5DFD9B86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1503" name="Text Box 1">
          <a:extLst>
            <a:ext uri="{FF2B5EF4-FFF2-40B4-BE49-F238E27FC236}">
              <a16:creationId xmlns:a16="http://schemas.microsoft.com/office/drawing/2014/main" xmlns="" id="{81091C6A-8090-4AB8-9D4F-5614EEF1600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1504" name="Text Box 1">
          <a:extLst>
            <a:ext uri="{FF2B5EF4-FFF2-40B4-BE49-F238E27FC236}">
              <a16:creationId xmlns:a16="http://schemas.microsoft.com/office/drawing/2014/main" xmlns="" id="{63FF80C4-555A-4C95-8FB9-33B2C824D32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1505" name="Text Box 1">
          <a:extLst>
            <a:ext uri="{FF2B5EF4-FFF2-40B4-BE49-F238E27FC236}">
              <a16:creationId xmlns:a16="http://schemas.microsoft.com/office/drawing/2014/main" xmlns="" id="{D4353D8F-34C2-4205-8059-FC56E22F627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1506" name="Text Box 1">
          <a:extLst>
            <a:ext uri="{FF2B5EF4-FFF2-40B4-BE49-F238E27FC236}">
              <a16:creationId xmlns:a16="http://schemas.microsoft.com/office/drawing/2014/main" xmlns="" id="{925FFA69-A6D7-485E-97B7-D67DBC81056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1507" name="Text Box 1">
          <a:extLst>
            <a:ext uri="{FF2B5EF4-FFF2-40B4-BE49-F238E27FC236}">
              <a16:creationId xmlns:a16="http://schemas.microsoft.com/office/drawing/2014/main" xmlns="" id="{D00576A6-5CF3-4D04-9AA7-D1C64EEA107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1508" name="Text Box 1">
          <a:extLst>
            <a:ext uri="{FF2B5EF4-FFF2-40B4-BE49-F238E27FC236}">
              <a16:creationId xmlns:a16="http://schemas.microsoft.com/office/drawing/2014/main" xmlns="" id="{3D55BE74-F04A-4504-BA56-B610518C639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1509" name="Text Box 1">
          <a:extLst>
            <a:ext uri="{FF2B5EF4-FFF2-40B4-BE49-F238E27FC236}">
              <a16:creationId xmlns:a16="http://schemas.microsoft.com/office/drawing/2014/main" xmlns="" id="{B6789C9A-342D-44FA-9A19-62470C6F18B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1510" name="Text Box 1">
          <a:extLst>
            <a:ext uri="{FF2B5EF4-FFF2-40B4-BE49-F238E27FC236}">
              <a16:creationId xmlns:a16="http://schemas.microsoft.com/office/drawing/2014/main" xmlns="" id="{875DDF7A-D283-4053-9DC0-6B428A25706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1511" name="Text Box 1">
          <a:extLst>
            <a:ext uri="{FF2B5EF4-FFF2-40B4-BE49-F238E27FC236}">
              <a16:creationId xmlns:a16="http://schemas.microsoft.com/office/drawing/2014/main" xmlns="" id="{35FFB3E0-4415-45E3-8DD0-3FD0FC4D112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1512" name="Text Box 1">
          <a:extLst>
            <a:ext uri="{FF2B5EF4-FFF2-40B4-BE49-F238E27FC236}">
              <a16:creationId xmlns:a16="http://schemas.microsoft.com/office/drawing/2014/main" xmlns="" id="{7817D1C7-9F12-48CA-B524-3B47FB28F371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1513" name="Text Box 1">
          <a:extLst>
            <a:ext uri="{FF2B5EF4-FFF2-40B4-BE49-F238E27FC236}">
              <a16:creationId xmlns:a16="http://schemas.microsoft.com/office/drawing/2014/main" xmlns="" id="{35A9D0B7-2270-4FED-A127-3A418026CA1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514" name="Text Box 1">
          <a:extLst>
            <a:ext uri="{FF2B5EF4-FFF2-40B4-BE49-F238E27FC236}">
              <a16:creationId xmlns:a16="http://schemas.microsoft.com/office/drawing/2014/main" xmlns="" id="{C3AECB2B-DEB0-4B2E-BCAB-E2FD30833D8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515" name="Text Box 1">
          <a:extLst>
            <a:ext uri="{FF2B5EF4-FFF2-40B4-BE49-F238E27FC236}">
              <a16:creationId xmlns:a16="http://schemas.microsoft.com/office/drawing/2014/main" xmlns="" id="{F5319FE3-42B0-421D-9BCE-C82381FC285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516" name="Text Box 1">
          <a:extLst>
            <a:ext uri="{FF2B5EF4-FFF2-40B4-BE49-F238E27FC236}">
              <a16:creationId xmlns:a16="http://schemas.microsoft.com/office/drawing/2014/main" xmlns="" id="{417F62A7-9BE8-44D8-A28C-0BB8FD13C63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517" name="Text Box 1">
          <a:extLst>
            <a:ext uri="{FF2B5EF4-FFF2-40B4-BE49-F238E27FC236}">
              <a16:creationId xmlns:a16="http://schemas.microsoft.com/office/drawing/2014/main" xmlns="" id="{E4433D3B-58E9-4755-BCE8-599323C073F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518" name="Text Box 1">
          <a:extLst>
            <a:ext uri="{FF2B5EF4-FFF2-40B4-BE49-F238E27FC236}">
              <a16:creationId xmlns:a16="http://schemas.microsoft.com/office/drawing/2014/main" xmlns="" id="{90FEF0E3-FB7A-47CE-AA54-9BB5ADD10D5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519" name="Text Box 1">
          <a:extLst>
            <a:ext uri="{FF2B5EF4-FFF2-40B4-BE49-F238E27FC236}">
              <a16:creationId xmlns:a16="http://schemas.microsoft.com/office/drawing/2014/main" xmlns="" id="{83FD0E85-C2A1-454D-8F9D-9C9C6F8BED7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520" name="Text Box 1">
          <a:extLst>
            <a:ext uri="{FF2B5EF4-FFF2-40B4-BE49-F238E27FC236}">
              <a16:creationId xmlns:a16="http://schemas.microsoft.com/office/drawing/2014/main" xmlns="" id="{3873AC46-ABA1-4C6B-B652-E3B9F65F7B0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521" name="Text Box 1">
          <a:extLst>
            <a:ext uri="{FF2B5EF4-FFF2-40B4-BE49-F238E27FC236}">
              <a16:creationId xmlns:a16="http://schemas.microsoft.com/office/drawing/2014/main" xmlns="" id="{6BF0A8C6-B675-4D7F-A787-6497F2C44D4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522" name="Text Box 1">
          <a:extLst>
            <a:ext uri="{FF2B5EF4-FFF2-40B4-BE49-F238E27FC236}">
              <a16:creationId xmlns:a16="http://schemas.microsoft.com/office/drawing/2014/main" xmlns="" id="{FFA961C1-3DD4-4126-8511-D5E8C630DCC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523" name="Text Box 1">
          <a:extLst>
            <a:ext uri="{FF2B5EF4-FFF2-40B4-BE49-F238E27FC236}">
              <a16:creationId xmlns:a16="http://schemas.microsoft.com/office/drawing/2014/main" xmlns="" id="{A7B73F3A-BBD4-4F5C-967A-51C1591B0AD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524" name="Text Box 1">
          <a:extLst>
            <a:ext uri="{FF2B5EF4-FFF2-40B4-BE49-F238E27FC236}">
              <a16:creationId xmlns:a16="http://schemas.microsoft.com/office/drawing/2014/main" xmlns="" id="{56503213-5A81-436C-BCBD-FE2FC21B3F4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525" name="Text Box 1">
          <a:extLst>
            <a:ext uri="{FF2B5EF4-FFF2-40B4-BE49-F238E27FC236}">
              <a16:creationId xmlns:a16="http://schemas.microsoft.com/office/drawing/2014/main" xmlns="" id="{3C3AA108-2EA9-4BEF-AEF3-FD328D3C958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526" name="Text Box 1">
          <a:extLst>
            <a:ext uri="{FF2B5EF4-FFF2-40B4-BE49-F238E27FC236}">
              <a16:creationId xmlns:a16="http://schemas.microsoft.com/office/drawing/2014/main" xmlns="" id="{1071BDE2-972C-4DA5-9D8F-A02A6B4C7E6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527" name="Text Box 1">
          <a:extLst>
            <a:ext uri="{FF2B5EF4-FFF2-40B4-BE49-F238E27FC236}">
              <a16:creationId xmlns:a16="http://schemas.microsoft.com/office/drawing/2014/main" xmlns="" id="{DD6E1875-097F-44C9-816E-FF2B46DB8EA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528" name="Text Box 1">
          <a:extLst>
            <a:ext uri="{FF2B5EF4-FFF2-40B4-BE49-F238E27FC236}">
              <a16:creationId xmlns:a16="http://schemas.microsoft.com/office/drawing/2014/main" xmlns="" id="{5E7881D3-752F-45AB-9BA8-92806004AC3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529" name="Text Box 1">
          <a:extLst>
            <a:ext uri="{FF2B5EF4-FFF2-40B4-BE49-F238E27FC236}">
              <a16:creationId xmlns:a16="http://schemas.microsoft.com/office/drawing/2014/main" xmlns="" id="{0A175676-A232-4DB1-8ED2-C91601EAEE2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530" name="Text Box 1">
          <a:extLst>
            <a:ext uri="{FF2B5EF4-FFF2-40B4-BE49-F238E27FC236}">
              <a16:creationId xmlns:a16="http://schemas.microsoft.com/office/drawing/2014/main" xmlns="" id="{4A8334EA-D4B7-4B24-AFA4-18CC41A2ECB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531" name="Text Box 1">
          <a:extLst>
            <a:ext uri="{FF2B5EF4-FFF2-40B4-BE49-F238E27FC236}">
              <a16:creationId xmlns:a16="http://schemas.microsoft.com/office/drawing/2014/main" xmlns="" id="{A8A1F0F3-2B3B-4F29-8C3E-5CE3E2452B8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532" name="Text Box 1">
          <a:extLst>
            <a:ext uri="{FF2B5EF4-FFF2-40B4-BE49-F238E27FC236}">
              <a16:creationId xmlns:a16="http://schemas.microsoft.com/office/drawing/2014/main" xmlns="" id="{C3BFD43E-4972-4712-B32E-0B79337532E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533" name="Text Box 1">
          <a:extLst>
            <a:ext uri="{FF2B5EF4-FFF2-40B4-BE49-F238E27FC236}">
              <a16:creationId xmlns:a16="http://schemas.microsoft.com/office/drawing/2014/main" xmlns="" id="{514EC8A8-D5DC-4378-994C-27F37D6E89F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534" name="Text Box 1">
          <a:extLst>
            <a:ext uri="{FF2B5EF4-FFF2-40B4-BE49-F238E27FC236}">
              <a16:creationId xmlns:a16="http://schemas.microsoft.com/office/drawing/2014/main" xmlns="" id="{A6D07297-8CE0-4D57-8BD8-EFF6E5CB43F1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535" name="Text Box 1">
          <a:extLst>
            <a:ext uri="{FF2B5EF4-FFF2-40B4-BE49-F238E27FC236}">
              <a16:creationId xmlns:a16="http://schemas.microsoft.com/office/drawing/2014/main" xmlns="" id="{D6F1F8B9-4C89-43BD-B457-D4BFF5E3FF4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536" name="Text Box 1">
          <a:extLst>
            <a:ext uri="{FF2B5EF4-FFF2-40B4-BE49-F238E27FC236}">
              <a16:creationId xmlns:a16="http://schemas.microsoft.com/office/drawing/2014/main" xmlns="" id="{2EEDC643-0E56-43A2-A44D-E0326608292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537" name="Text Box 1">
          <a:extLst>
            <a:ext uri="{FF2B5EF4-FFF2-40B4-BE49-F238E27FC236}">
              <a16:creationId xmlns:a16="http://schemas.microsoft.com/office/drawing/2014/main" xmlns="" id="{7BBDAFC9-A805-4A24-8DED-B3D5F3F91AF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538" name="Text Box 1">
          <a:extLst>
            <a:ext uri="{FF2B5EF4-FFF2-40B4-BE49-F238E27FC236}">
              <a16:creationId xmlns:a16="http://schemas.microsoft.com/office/drawing/2014/main" xmlns="" id="{EF9C8AFC-24EF-4FAA-92AA-FD9C0D9510C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539" name="Text Box 1">
          <a:extLst>
            <a:ext uri="{FF2B5EF4-FFF2-40B4-BE49-F238E27FC236}">
              <a16:creationId xmlns:a16="http://schemas.microsoft.com/office/drawing/2014/main" xmlns="" id="{BF89C977-103E-4F55-8185-A290C80861E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540" name="Text Box 1">
          <a:extLst>
            <a:ext uri="{FF2B5EF4-FFF2-40B4-BE49-F238E27FC236}">
              <a16:creationId xmlns:a16="http://schemas.microsoft.com/office/drawing/2014/main" xmlns="" id="{4A4C52B0-DAB7-4438-91F1-DB679DBFD25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541" name="Text Box 1">
          <a:extLst>
            <a:ext uri="{FF2B5EF4-FFF2-40B4-BE49-F238E27FC236}">
              <a16:creationId xmlns:a16="http://schemas.microsoft.com/office/drawing/2014/main" xmlns="" id="{5700457B-A01F-4031-A2E2-97486023FF6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542" name="Text Box 1">
          <a:extLst>
            <a:ext uri="{FF2B5EF4-FFF2-40B4-BE49-F238E27FC236}">
              <a16:creationId xmlns:a16="http://schemas.microsoft.com/office/drawing/2014/main" xmlns="" id="{2A83C60A-C3ED-42F3-AB0E-F8575BBCCC0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543" name="Text Box 1">
          <a:extLst>
            <a:ext uri="{FF2B5EF4-FFF2-40B4-BE49-F238E27FC236}">
              <a16:creationId xmlns:a16="http://schemas.microsoft.com/office/drawing/2014/main" xmlns="" id="{F47432B8-31CA-459C-9864-6D8CFCA7123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544" name="Text Box 1">
          <a:extLst>
            <a:ext uri="{FF2B5EF4-FFF2-40B4-BE49-F238E27FC236}">
              <a16:creationId xmlns:a16="http://schemas.microsoft.com/office/drawing/2014/main" xmlns="" id="{D3638C4A-FB81-4607-85D7-5055CE0E50A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545" name="Text Box 1">
          <a:extLst>
            <a:ext uri="{FF2B5EF4-FFF2-40B4-BE49-F238E27FC236}">
              <a16:creationId xmlns:a16="http://schemas.microsoft.com/office/drawing/2014/main" xmlns="" id="{7F540FDF-F7AE-4CC9-A8BF-7D4581F94ED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546" name="Text Box 1">
          <a:extLst>
            <a:ext uri="{FF2B5EF4-FFF2-40B4-BE49-F238E27FC236}">
              <a16:creationId xmlns:a16="http://schemas.microsoft.com/office/drawing/2014/main" xmlns="" id="{4CDC4598-05CF-456B-B339-0501B5F5E78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547" name="Text Box 1">
          <a:extLst>
            <a:ext uri="{FF2B5EF4-FFF2-40B4-BE49-F238E27FC236}">
              <a16:creationId xmlns:a16="http://schemas.microsoft.com/office/drawing/2014/main" xmlns="" id="{EA707182-B732-4FDE-906D-BF6B7C4BED8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548" name="Text Box 1">
          <a:extLst>
            <a:ext uri="{FF2B5EF4-FFF2-40B4-BE49-F238E27FC236}">
              <a16:creationId xmlns:a16="http://schemas.microsoft.com/office/drawing/2014/main" xmlns="" id="{7BA09E49-865A-4279-B533-335A6118B2F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549" name="Text Box 1">
          <a:extLst>
            <a:ext uri="{FF2B5EF4-FFF2-40B4-BE49-F238E27FC236}">
              <a16:creationId xmlns:a16="http://schemas.microsoft.com/office/drawing/2014/main" xmlns="" id="{D0B821C7-BB20-460F-A775-8FF84C0145D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550" name="Text Box 1">
          <a:extLst>
            <a:ext uri="{FF2B5EF4-FFF2-40B4-BE49-F238E27FC236}">
              <a16:creationId xmlns:a16="http://schemas.microsoft.com/office/drawing/2014/main" xmlns="" id="{F4652B83-95B4-42B6-B488-E23434F38DD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551" name="Text Box 1">
          <a:extLst>
            <a:ext uri="{FF2B5EF4-FFF2-40B4-BE49-F238E27FC236}">
              <a16:creationId xmlns:a16="http://schemas.microsoft.com/office/drawing/2014/main" xmlns="" id="{8BB7E908-DD2D-4716-B286-A43C20ECB5E1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552" name="Text Box 1">
          <a:extLst>
            <a:ext uri="{FF2B5EF4-FFF2-40B4-BE49-F238E27FC236}">
              <a16:creationId xmlns:a16="http://schemas.microsoft.com/office/drawing/2014/main" xmlns="" id="{E1D35EDD-48BC-4E91-8B30-EE659643636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553" name="Text Box 1">
          <a:extLst>
            <a:ext uri="{FF2B5EF4-FFF2-40B4-BE49-F238E27FC236}">
              <a16:creationId xmlns:a16="http://schemas.microsoft.com/office/drawing/2014/main" xmlns="" id="{A86EF121-6647-49F6-8F5B-41EF996B5BA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554" name="Text Box 1">
          <a:extLst>
            <a:ext uri="{FF2B5EF4-FFF2-40B4-BE49-F238E27FC236}">
              <a16:creationId xmlns:a16="http://schemas.microsoft.com/office/drawing/2014/main" xmlns="" id="{653FBDD5-B5BC-48A1-9CF1-BF72767041D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555" name="Text Box 1">
          <a:extLst>
            <a:ext uri="{FF2B5EF4-FFF2-40B4-BE49-F238E27FC236}">
              <a16:creationId xmlns:a16="http://schemas.microsoft.com/office/drawing/2014/main" xmlns="" id="{F08975F9-3BB2-4DE8-916A-FD461750704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556" name="Text Box 1">
          <a:extLst>
            <a:ext uri="{FF2B5EF4-FFF2-40B4-BE49-F238E27FC236}">
              <a16:creationId xmlns:a16="http://schemas.microsoft.com/office/drawing/2014/main" xmlns="" id="{62BFCE6C-344E-43A7-B97D-DD4E9B593B4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557" name="Text Box 1">
          <a:extLst>
            <a:ext uri="{FF2B5EF4-FFF2-40B4-BE49-F238E27FC236}">
              <a16:creationId xmlns:a16="http://schemas.microsoft.com/office/drawing/2014/main" xmlns="" id="{DF55C63A-1531-4147-A4EA-DE3101E30A8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558" name="Text Box 1">
          <a:extLst>
            <a:ext uri="{FF2B5EF4-FFF2-40B4-BE49-F238E27FC236}">
              <a16:creationId xmlns:a16="http://schemas.microsoft.com/office/drawing/2014/main" xmlns="" id="{7DF22396-8015-4146-80B9-ED93608505E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559" name="Text Box 1">
          <a:extLst>
            <a:ext uri="{FF2B5EF4-FFF2-40B4-BE49-F238E27FC236}">
              <a16:creationId xmlns:a16="http://schemas.microsoft.com/office/drawing/2014/main" xmlns="" id="{660E719C-65AD-4E71-8D2B-1FA03BB77E8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560" name="Text Box 1">
          <a:extLst>
            <a:ext uri="{FF2B5EF4-FFF2-40B4-BE49-F238E27FC236}">
              <a16:creationId xmlns:a16="http://schemas.microsoft.com/office/drawing/2014/main" xmlns="" id="{380FAF47-583F-44E8-8529-655A64DB1FD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561" name="Text Box 1">
          <a:extLst>
            <a:ext uri="{FF2B5EF4-FFF2-40B4-BE49-F238E27FC236}">
              <a16:creationId xmlns:a16="http://schemas.microsoft.com/office/drawing/2014/main" xmlns="" id="{1F56F017-D297-4272-AACC-B07642166FF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562" name="Text Box 1">
          <a:extLst>
            <a:ext uri="{FF2B5EF4-FFF2-40B4-BE49-F238E27FC236}">
              <a16:creationId xmlns:a16="http://schemas.microsoft.com/office/drawing/2014/main" xmlns="" id="{5C67B2B0-265E-489C-8436-015FEDD0E38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563" name="Text Box 1">
          <a:extLst>
            <a:ext uri="{FF2B5EF4-FFF2-40B4-BE49-F238E27FC236}">
              <a16:creationId xmlns:a16="http://schemas.microsoft.com/office/drawing/2014/main" xmlns="" id="{DEE77048-A354-460E-B2BA-828FA159E9A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564" name="Text Box 1">
          <a:extLst>
            <a:ext uri="{FF2B5EF4-FFF2-40B4-BE49-F238E27FC236}">
              <a16:creationId xmlns:a16="http://schemas.microsoft.com/office/drawing/2014/main" xmlns="" id="{65258CB6-A271-4F15-898F-A9DA95A4A1C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565" name="Text Box 1">
          <a:extLst>
            <a:ext uri="{FF2B5EF4-FFF2-40B4-BE49-F238E27FC236}">
              <a16:creationId xmlns:a16="http://schemas.microsoft.com/office/drawing/2014/main" xmlns="" id="{145F3CE7-6F33-41ED-8E58-3DDAB99B5CE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566" name="Text Box 1">
          <a:extLst>
            <a:ext uri="{FF2B5EF4-FFF2-40B4-BE49-F238E27FC236}">
              <a16:creationId xmlns:a16="http://schemas.microsoft.com/office/drawing/2014/main" xmlns="" id="{08475CCC-ED5D-4457-9FAF-E62FFD3F6AA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567" name="Text Box 1">
          <a:extLst>
            <a:ext uri="{FF2B5EF4-FFF2-40B4-BE49-F238E27FC236}">
              <a16:creationId xmlns:a16="http://schemas.microsoft.com/office/drawing/2014/main" xmlns="" id="{065B5B6C-3B25-4F1C-8353-FAF2C696876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568" name="Text Box 1">
          <a:extLst>
            <a:ext uri="{FF2B5EF4-FFF2-40B4-BE49-F238E27FC236}">
              <a16:creationId xmlns:a16="http://schemas.microsoft.com/office/drawing/2014/main" xmlns="" id="{1152695E-E075-4010-9D57-AC32D8E36B6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569" name="Text Box 1">
          <a:extLst>
            <a:ext uri="{FF2B5EF4-FFF2-40B4-BE49-F238E27FC236}">
              <a16:creationId xmlns:a16="http://schemas.microsoft.com/office/drawing/2014/main" xmlns="" id="{577490E6-C5E9-4A09-B72F-55D599FAFAF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570" name="Text Box 1">
          <a:extLst>
            <a:ext uri="{FF2B5EF4-FFF2-40B4-BE49-F238E27FC236}">
              <a16:creationId xmlns:a16="http://schemas.microsoft.com/office/drawing/2014/main" xmlns="" id="{4C984A60-694B-4C23-8F3F-80AF015612A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571" name="Text Box 1">
          <a:extLst>
            <a:ext uri="{FF2B5EF4-FFF2-40B4-BE49-F238E27FC236}">
              <a16:creationId xmlns:a16="http://schemas.microsoft.com/office/drawing/2014/main" xmlns="" id="{0526474B-8F5B-479B-BA62-9626D3276EE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572" name="Text Box 1">
          <a:extLst>
            <a:ext uri="{FF2B5EF4-FFF2-40B4-BE49-F238E27FC236}">
              <a16:creationId xmlns:a16="http://schemas.microsoft.com/office/drawing/2014/main" xmlns="" id="{0612E3B4-21B0-41CD-8E24-8391A398D381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573" name="Text Box 1">
          <a:extLst>
            <a:ext uri="{FF2B5EF4-FFF2-40B4-BE49-F238E27FC236}">
              <a16:creationId xmlns:a16="http://schemas.microsoft.com/office/drawing/2014/main" xmlns="" id="{529C9AFB-2B0E-4CBC-884A-B4ACD1DD4DB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574" name="Text Box 1">
          <a:extLst>
            <a:ext uri="{FF2B5EF4-FFF2-40B4-BE49-F238E27FC236}">
              <a16:creationId xmlns:a16="http://schemas.microsoft.com/office/drawing/2014/main" xmlns="" id="{E1330320-CE23-4D32-A5F6-81538FC5865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575" name="Text Box 1">
          <a:extLst>
            <a:ext uri="{FF2B5EF4-FFF2-40B4-BE49-F238E27FC236}">
              <a16:creationId xmlns:a16="http://schemas.microsoft.com/office/drawing/2014/main" xmlns="" id="{2F34FA79-A771-4DF2-9264-423E498C905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576" name="Text Box 1">
          <a:extLst>
            <a:ext uri="{FF2B5EF4-FFF2-40B4-BE49-F238E27FC236}">
              <a16:creationId xmlns:a16="http://schemas.microsoft.com/office/drawing/2014/main" xmlns="" id="{14C9B061-D5C3-47F1-A743-370A3E3961F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577" name="Text Box 1">
          <a:extLst>
            <a:ext uri="{FF2B5EF4-FFF2-40B4-BE49-F238E27FC236}">
              <a16:creationId xmlns:a16="http://schemas.microsoft.com/office/drawing/2014/main" xmlns="" id="{814ED43C-CE2D-4909-8011-2A2EF045CFC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578" name="Text Box 1">
          <a:extLst>
            <a:ext uri="{FF2B5EF4-FFF2-40B4-BE49-F238E27FC236}">
              <a16:creationId xmlns:a16="http://schemas.microsoft.com/office/drawing/2014/main" xmlns="" id="{55D124E0-8550-4EB0-B6D4-12401F79418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579" name="Text Box 1">
          <a:extLst>
            <a:ext uri="{FF2B5EF4-FFF2-40B4-BE49-F238E27FC236}">
              <a16:creationId xmlns:a16="http://schemas.microsoft.com/office/drawing/2014/main" xmlns="" id="{562DD8AD-234B-479B-B6F1-B0C6E1C2366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580" name="Text Box 1">
          <a:extLst>
            <a:ext uri="{FF2B5EF4-FFF2-40B4-BE49-F238E27FC236}">
              <a16:creationId xmlns:a16="http://schemas.microsoft.com/office/drawing/2014/main" xmlns="" id="{53457EE9-E035-47D5-B5FA-04029F4AD50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581" name="Text Box 1">
          <a:extLst>
            <a:ext uri="{FF2B5EF4-FFF2-40B4-BE49-F238E27FC236}">
              <a16:creationId xmlns:a16="http://schemas.microsoft.com/office/drawing/2014/main" xmlns="" id="{712BCD6A-1163-413C-9568-199253EB42E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582" name="Text Box 1">
          <a:extLst>
            <a:ext uri="{FF2B5EF4-FFF2-40B4-BE49-F238E27FC236}">
              <a16:creationId xmlns:a16="http://schemas.microsoft.com/office/drawing/2014/main" xmlns="" id="{C3176FB4-08A2-437D-9BE8-7AF75420677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583" name="Text Box 1">
          <a:extLst>
            <a:ext uri="{FF2B5EF4-FFF2-40B4-BE49-F238E27FC236}">
              <a16:creationId xmlns:a16="http://schemas.microsoft.com/office/drawing/2014/main" xmlns="" id="{5EDCE4D6-172A-475D-B70E-1B606E7DAA7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584" name="Text Box 1">
          <a:extLst>
            <a:ext uri="{FF2B5EF4-FFF2-40B4-BE49-F238E27FC236}">
              <a16:creationId xmlns:a16="http://schemas.microsoft.com/office/drawing/2014/main" xmlns="" id="{EE822A6C-8820-479E-87C4-5A705F1B26E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585" name="Text Box 1">
          <a:extLst>
            <a:ext uri="{FF2B5EF4-FFF2-40B4-BE49-F238E27FC236}">
              <a16:creationId xmlns:a16="http://schemas.microsoft.com/office/drawing/2014/main" xmlns="" id="{50461907-5016-497A-8D54-4F47ECF02D7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586" name="Text Box 1">
          <a:extLst>
            <a:ext uri="{FF2B5EF4-FFF2-40B4-BE49-F238E27FC236}">
              <a16:creationId xmlns:a16="http://schemas.microsoft.com/office/drawing/2014/main" xmlns="" id="{E5B2B317-7EA1-4297-90E1-F3769D44DE4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587" name="Text Box 1">
          <a:extLst>
            <a:ext uri="{FF2B5EF4-FFF2-40B4-BE49-F238E27FC236}">
              <a16:creationId xmlns:a16="http://schemas.microsoft.com/office/drawing/2014/main" xmlns="" id="{886054D3-EF05-40F5-A1CC-5C1EFB94357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588" name="Text Box 1">
          <a:extLst>
            <a:ext uri="{FF2B5EF4-FFF2-40B4-BE49-F238E27FC236}">
              <a16:creationId xmlns:a16="http://schemas.microsoft.com/office/drawing/2014/main" xmlns="" id="{882BE426-2F24-44FF-9A22-2411E052031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589" name="Text Box 1">
          <a:extLst>
            <a:ext uri="{FF2B5EF4-FFF2-40B4-BE49-F238E27FC236}">
              <a16:creationId xmlns:a16="http://schemas.microsoft.com/office/drawing/2014/main" xmlns="" id="{C1DB11D6-C3DB-4A51-BC3D-F13C31D6AB2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590" name="Text Box 1">
          <a:extLst>
            <a:ext uri="{FF2B5EF4-FFF2-40B4-BE49-F238E27FC236}">
              <a16:creationId xmlns:a16="http://schemas.microsoft.com/office/drawing/2014/main" xmlns="" id="{867866F9-2104-4A45-817B-B6AC524E6AB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591" name="Text Box 1">
          <a:extLst>
            <a:ext uri="{FF2B5EF4-FFF2-40B4-BE49-F238E27FC236}">
              <a16:creationId xmlns:a16="http://schemas.microsoft.com/office/drawing/2014/main" xmlns="" id="{E5DDF1AE-6E3D-4DA9-AB11-C242F29E7FB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592" name="Text Box 1">
          <a:extLst>
            <a:ext uri="{FF2B5EF4-FFF2-40B4-BE49-F238E27FC236}">
              <a16:creationId xmlns:a16="http://schemas.microsoft.com/office/drawing/2014/main" xmlns="" id="{146FA175-1BF3-47C1-A0A8-F4FB542192A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593" name="Text Box 1">
          <a:extLst>
            <a:ext uri="{FF2B5EF4-FFF2-40B4-BE49-F238E27FC236}">
              <a16:creationId xmlns:a16="http://schemas.microsoft.com/office/drawing/2014/main" xmlns="" id="{A3821957-8E73-4FA9-8851-B2D89A840BD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594" name="Text Box 1">
          <a:extLst>
            <a:ext uri="{FF2B5EF4-FFF2-40B4-BE49-F238E27FC236}">
              <a16:creationId xmlns:a16="http://schemas.microsoft.com/office/drawing/2014/main" xmlns="" id="{F8FFB2A5-616B-4E57-8650-CB8536D4F8D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595" name="Text Box 1">
          <a:extLst>
            <a:ext uri="{FF2B5EF4-FFF2-40B4-BE49-F238E27FC236}">
              <a16:creationId xmlns:a16="http://schemas.microsoft.com/office/drawing/2014/main" xmlns="" id="{1EA2FB12-D010-40EB-A5CF-4A33FB1366C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596" name="Text Box 1">
          <a:extLst>
            <a:ext uri="{FF2B5EF4-FFF2-40B4-BE49-F238E27FC236}">
              <a16:creationId xmlns:a16="http://schemas.microsoft.com/office/drawing/2014/main" xmlns="" id="{FFC87B59-9D88-4900-8170-72D060ECEBD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597" name="Text Box 1">
          <a:extLst>
            <a:ext uri="{FF2B5EF4-FFF2-40B4-BE49-F238E27FC236}">
              <a16:creationId xmlns:a16="http://schemas.microsoft.com/office/drawing/2014/main" xmlns="" id="{4948D626-632F-48FD-B56E-76667D4A864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598" name="Text Box 1">
          <a:extLst>
            <a:ext uri="{FF2B5EF4-FFF2-40B4-BE49-F238E27FC236}">
              <a16:creationId xmlns:a16="http://schemas.microsoft.com/office/drawing/2014/main" xmlns="" id="{75423139-0FA6-4ADA-B64B-9A882F8B5FD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599" name="Text Box 1">
          <a:extLst>
            <a:ext uri="{FF2B5EF4-FFF2-40B4-BE49-F238E27FC236}">
              <a16:creationId xmlns:a16="http://schemas.microsoft.com/office/drawing/2014/main" xmlns="" id="{7637C9CC-9771-4772-A144-C14014D491F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600" name="Text Box 1">
          <a:extLst>
            <a:ext uri="{FF2B5EF4-FFF2-40B4-BE49-F238E27FC236}">
              <a16:creationId xmlns:a16="http://schemas.microsoft.com/office/drawing/2014/main" xmlns="" id="{B214BBF6-4448-43EF-85C6-79DB3F6FDE1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601" name="Text Box 1">
          <a:extLst>
            <a:ext uri="{FF2B5EF4-FFF2-40B4-BE49-F238E27FC236}">
              <a16:creationId xmlns:a16="http://schemas.microsoft.com/office/drawing/2014/main" xmlns="" id="{4EFBD1F2-0500-4272-8592-69306B6E87E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602" name="Text Box 1">
          <a:extLst>
            <a:ext uri="{FF2B5EF4-FFF2-40B4-BE49-F238E27FC236}">
              <a16:creationId xmlns:a16="http://schemas.microsoft.com/office/drawing/2014/main" xmlns="" id="{EC2ACF56-0F5C-4C2B-ADDA-BD8DF3FCF2C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603" name="Text Box 1">
          <a:extLst>
            <a:ext uri="{FF2B5EF4-FFF2-40B4-BE49-F238E27FC236}">
              <a16:creationId xmlns:a16="http://schemas.microsoft.com/office/drawing/2014/main" xmlns="" id="{0A1ECFA7-6CF9-4603-9B94-65DF817F262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604" name="Text Box 1">
          <a:extLst>
            <a:ext uri="{FF2B5EF4-FFF2-40B4-BE49-F238E27FC236}">
              <a16:creationId xmlns:a16="http://schemas.microsoft.com/office/drawing/2014/main" xmlns="" id="{768BBE05-DF16-49C3-AB9F-8E63A9FEEB9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605" name="Text Box 1">
          <a:extLst>
            <a:ext uri="{FF2B5EF4-FFF2-40B4-BE49-F238E27FC236}">
              <a16:creationId xmlns:a16="http://schemas.microsoft.com/office/drawing/2014/main" xmlns="" id="{7BE68C42-6E9C-49B6-9AC0-E31EA7B716A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606" name="Text Box 1">
          <a:extLst>
            <a:ext uri="{FF2B5EF4-FFF2-40B4-BE49-F238E27FC236}">
              <a16:creationId xmlns:a16="http://schemas.microsoft.com/office/drawing/2014/main" xmlns="" id="{483E4F8C-BAE2-4CBC-ACF1-AAD67097A2F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607" name="Text Box 1">
          <a:extLst>
            <a:ext uri="{FF2B5EF4-FFF2-40B4-BE49-F238E27FC236}">
              <a16:creationId xmlns:a16="http://schemas.microsoft.com/office/drawing/2014/main" xmlns="" id="{0B68A6C0-BB57-4159-ADD3-FB996562755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608" name="Text Box 1">
          <a:extLst>
            <a:ext uri="{FF2B5EF4-FFF2-40B4-BE49-F238E27FC236}">
              <a16:creationId xmlns:a16="http://schemas.microsoft.com/office/drawing/2014/main" xmlns="" id="{2084AFB4-B658-4CD2-AD9B-85734F21333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609" name="Text Box 1">
          <a:extLst>
            <a:ext uri="{FF2B5EF4-FFF2-40B4-BE49-F238E27FC236}">
              <a16:creationId xmlns:a16="http://schemas.microsoft.com/office/drawing/2014/main" xmlns="" id="{25B9141A-086C-4B93-B26B-AD0E568CE49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610" name="Text Box 1">
          <a:extLst>
            <a:ext uri="{FF2B5EF4-FFF2-40B4-BE49-F238E27FC236}">
              <a16:creationId xmlns:a16="http://schemas.microsoft.com/office/drawing/2014/main" xmlns="" id="{D4CBF299-6104-47A6-8B6E-2BFAF89925F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611" name="Text Box 1">
          <a:extLst>
            <a:ext uri="{FF2B5EF4-FFF2-40B4-BE49-F238E27FC236}">
              <a16:creationId xmlns:a16="http://schemas.microsoft.com/office/drawing/2014/main" xmlns="" id="{F7AE4246-EDAE-4DC0-A49A-C15A977A9AD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612" name="Text Box 1">
          <a:extLst>
            <a:ext uri="{FF2B5EF4-FFF2-40B4-BE49-F238E27FC236}">
              <a16:creationId xmlns:a16="http://schemas.microsoft.com/office/drawing/2014/main" xmlns="" id="{0A8EE52F-A804-47E9-84D1-3009CCCADEF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613" name="Text Box 1">
          <a:extLst>
            <a:ext uri="{FF2B5EF4-FFF2-40B4-BE49-F238E27FC236}">
              <a16:creationId xmlns:a16="http://schemas.microsoft.com/office/drawing/2014/main" xmlns="" id="{4882C8FD-EACE-4214-BE22-4E57BC8E063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614" name="Text Box 1">
          <a:extLst>
            <a:ext uri="{FF2B5EF4-FFF2-40B4-BE49-F238E27FC236}">
              <a16:creationId xmlns:a16="http://schemas.microsoft.com/office/drawing/2014/main" xmlns="" id="{001390E9-74BE-43C0-93C2-D7FEF042FD4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615" name="Text Box 1">
          <a:extLst>
            <a:ext uri="{FF2B5EF4-FFF2-40B4-BE49-F238E27FC236}">
              <a16:creationId xmlns:a16="http://schemas.microsoft.com/office/drawing/2014/main" xmlns="" id="{BA4172BD-C651-45D1-90AE-21D525233351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616" name="Text Box 1">
          <a:extLst>
            <a:ext uri="{FF2B5EF4-FFF2-40B4-BE49-F238E27FC236}">
              <a16:creationId xmlns:a16="http://schemas.microsoft.com/office/drawing/2014/main" xmlns="" id="{8D42C16B-1543-4958-BB5F-077D50950D6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617" name="Text Box 1">
          <a:extLst>
            <a:ext uri="{FF2B5EF4-FFF2-40B4-BE49-F238E27FC236}">
              <a16:creationId xmlns:a16="http://schemas.microsoft.com/office/drawing/2014/main" xmlns="" id="{121C717A-7174-4F97-A1FF-984575B9669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618" name="Text Box 1">
          <a:extLst>
            <a:ext uri="{FF2B5EF4-FFF2-40B4-BE49-F238E27FC236}">
              <a16:creationId xmlns:a16="http://schemas.microsoft.com/office/drawing/2014/main" xmlns="" id="{781E35A7-7A23-4863-A89C-1F0F9D41482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619" name="Text Box 1">
          <a:extLst>
            <a:ext uri="{FF2B5EF4-FFF2-40B4-BE49-F238E27FC236}">
              <a16:creationId xmlns:a16="http://schemas.microsoft.com/office/drawing/2014/main" xmlns="" id="{056E4B03-1559-4D74-858F-71CE4BA74FA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620" name="Text Box 1">
          <a:extLst>
            <a:ext uri="{FF2B5EF4-FFF2-40B4-BE49-F238E27FC236}">
              <a16:creationId xmlns:a16="http://schemas.microsoft.com/office/drawing/2014/main" xmlns="" id="{7CD7A907-054F-418D-8CC4-F973BABACCF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621" name="Text Box 1">
          <a:extLst>
            <a:ext uri="{FF2B5EF4-FFF2-40B4-BE49-F238E27FC236}">
              <a16:creationId xmlns:a16="http://schemas.microsoft.com/office/drawing/2014/main" xmlns="" id="{22452742-0A59-42A4-BA62-D310C10C2F8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622" name="Text Box 1">
          <a:extLst>
            <a:ext uri="{FF2B5EF4-FFF2-40B4-BE49-F238E27FC236}">
              <a16:creationId xmlns:a16="http://schemas.microsoft.com/office/drawing/2014/main" xmlns="" id="{6356FD5D-CF4F-4B81-B15C-F71D227E440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623" name="Text Box 1">
          <a:extLst>
            <a:ext uri="{FF2B5EF4-FFF2-40B4-BE49-F238E27FC236}">
              <a16:creationId xmlns:a16="http://schemas.microsoft.com/office/drawing/2014/main" xmlns="" id="{BAC5B469-5FE7-4052-8B44-9C6D04AEEDA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624" name="Text Box 1">
          <a:extLst>
            <a:ext uri="{FF2B5EF4-FFF2-40B4-BE49-F238E27FC236}">
              <a16:creationId xmlns:a16="http://schemas.microsoft.com/office/drawing/2014/main" xmlns="" id="{59D4299E-931F-4A7D-A917-EF2971957D3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625" name="Text Box 1">
          <a:extLst>
            <a:ext uri="{FF2B5EF4-FFF2-40B4-BE49-F238E27FC236}">
              <a16:creationId xmlns:a16="http://schemas.microsoft.com/office/drawing/2014/main" xmlns="" id="{4824584C-A14F-4874-8BA3-62C24F35169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626" name="Text Box 1">
          <a:extLst>
            <a:ext uri="{FF2B5EF4-FFF2-40B4-BE49-F238E27FC236}">
              <a16:creationId xmlns:a16="http://schemas.microsoft.com/office/drawing/2014/main" xmlns="" id="{0B3D846D-7C85-46B2-982F-2B62C4311CC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627" name="Text Box 1">
          <a:extLst>
            <a:ext uri="{FF2B5EF4-FFF2-40B4-BE49-F238E27FC236}">
              <a16:creationId xmlns:a16="http://schemas.microsoft.com/office/drawing/2014/main" xmlns="" id="{7F977100-BD5B-4C3E-970D-D0105897C66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628" name="Text Box 1">
          <a:extLst>
            <a:ext uri="{FF2B5EF4-FFF2-40B4-BE49-F238E27FC236}">
              <a16:creationId xmlns:a16="http://schemas.microsoft.com/office/drawing/2014/main" xmlns="" id="{0950371C-9747-45A2-8886-7985E6690AB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629" name="Text Box 1">
          <a:extLst>
            <a:ext uri="{FF2B5EF4-FFF2-40B4-BE49-F238E27FC236}">
              <a16:creationId xmlns:a16="http://schemas.microsoft.com/office/drawing/2014/main" xmlns="" id="{C1F2DC50-3277-40E0-8D97-55BDDB77CB2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630" name="Text Box 1">
          <a:extLst>
            <a:ext uri="{FF2B5EF4-FFF2-40B4-BE49-F238E27FC236}">
              <a16:creationId xmlns:a16="http://schemas.microsoft.com/office/drawing/2014/main" xmlns="" id="{2EC4DD33-5FD0-48E1-A564-633C59F89EC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631" name="Text Box 1">
          <a:extLst>
            <a:ext uri="{FF2B5EF4-FFF2-40B4-BE49-F238E27FC236}">
              <a16:creationId xmlns:a16="http://schemas.microsoft.com/office/drawing/2014/main" xmlns="" id="{486FA689-6324-4C7C-A4B6-20E6C107BE7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632" name="Text Box 1">
          <a:extLst>
            <a:ext uri="{FF2B5EF4-FFF2-40B4-BE49-F238E27FC236}">
              <a16:creationId xmlns:a16="http://schemas.microsoft.com/office/drawing/2014/main" xmlns="" id="{58CDD092-5EFD-4A2A-95A9-4A086B91270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633" name="Text Box 1">
          <a:extLst>
            <a:ext uri="{FF2B5EF4-FFF2-40B4-BE49-F238E27FC236}">
              <a16:creationId xmlns:a16="http://schemas.microsoft.com/office/drawing/2014/main" xmlns="" id="{2067A649-F7C6-4395-A192-8D7E30C684B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634" name="Text Box 1">
          <a:extLst>
            <a:ext uri="{FF2B5EF4-FFF2-40B4-BE49-F238E27FC236}">
              <a16:creationId xmlns:a16="http://schemas.microsoft.com/office/drawing/2014/main" xmlns="" id="{03060CC1-611E-4DFA-ADFF-67DBA4F24AD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635" name="Text Box 1">
          <a:extLst>
            <a:ext uri="{FF2B5EF4-FFF2-40B4-BE49-F238E27FC236}">
              <a16:creationId xmlns:a16="http://schemas.microsoft.com/office/drawing/2014/main" xmlns="" id="{1F5E6344-553B-4584-859C-7F8C1EFCB04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636" name="Text Box 1">
          <a:extLst>
            <a:ext uri="{FF2B5EF4-FFF2-40B4-BE49-F238E27FC236}">
              <a16:creationId xmlns:a16="http://schemas.microsoft.com/office/drawing/2014/main" xmlns="" id="{E3775958-8CAD-419F-9F10-626D84389B5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637" name="Text Box 1">
          <a:extLst>
            <a:ext uri="{FF2B5EF4-FFF2-40B4-BE49-F238E27FC236}">
              <a16:creationId xmlns:a16="http://schemas.microsoft.com/office/drawing/2014/main" xmlns="" id="{464A4D69-A62D-45F6-BD85-B63FD800050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638" name="Text Box 1">
          <a:extLst>
            <a:ext uri="{FF2B5EF4-FFF2-40B4-BE49-F238E27FC236}">
              <a16:creationId xmlns:a16="http://schemas.microsoft.com/office/drawing/2014/main" xmlns="" id="{1DAC9EAC-824F-4F20-B08C-DA0AE539201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639" name="Text Box 1">
          <a:extLst>
            <a:ext uri="{FF2B5EF4-FFF2-40B4-BE49-F238E27FC236}">
              <a16:creationId xmlns:a16="http://schemas.microsoft.com/office/drawing/2014/main" xmlns="" id="{FD474B90-169B-4267-B934-829602AAA151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640" name="Text Box 1">
          <a:extLst>
            <a:ext uri="{FF2B5EF4-FFF2-40B4-BE49-F238E27FC236}">
              <a16:creationId xmlns:a16="http://schemas.microsoft.com/office/drawing/2014/main" xmlns="" id="{E9D2DEA9-65DB-44DC-A314-730811F25C8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641" name="Text Box 1">
          <a:extLst>
            <a:ext uri="{FF2B5EF4-FFF2-40B4-BE49-F238E27FC236}">
              <a16:creationId xmlns:a16="http://schemas.microsoft.com/office/drawing/2014/main" xmlns="" id="{00619A96-9597-4DC0-8EF4-34352DB54B6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642" name="Text Box 1">
          <a:extLst>
            <a:ext uri="{FF2B5EF4-FFF2-40B4-BE49-F238E27FC236}">
              <a16:creationId xmlns:a16="http://schemas.microsoft.com/office/drawing/2014/main" xmlns="" id="{6C023653-99C7-4F09-A0FA-28465EDB788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643" name="Text Box 1">
          <a:extLst>
            <a:ext uri="{FF2B5EF4-FFF2-40B4-BE49-F238E27FC236}">
              <a16:creationId xmlns:a16="http://schemas.microsoft.com/office/drawing/2014/main" xmlns="" id="{7E754548-5557-48CF-8EC7-E06CB336463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644" name="Text Box 1">
          <a:extLst>
            <a:ext uri="{FF2B5EF4-FFF2-40B4-BE49-F238E27FC236}">
              <a16:creationId xmlns:a16="http://schemas.microsoft.com/office/drawing/2014/main" xmlns="" id="{7C84F6F5-DC0D-459C-9E83-44F7E4D9B6F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645" name="Text Box 1">
          <a:extLst>
            <a:ext uri="{FF2B5EF4-FFF2-40B4-BE49-F238E27FC236}">
              <a16:creationId xmlns:a16="http://schemas.microsoft.com/office/drawing/2014/main" xmlns="" id="{4A558D1A-5A2A-46BA-BEC3-B96047B9C92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646" name="Text Box 1">
          <a:extLst>
            <a:ext uri="{FF2B5EF4-FFF2-40B4-BE49-F238E27FC236}">
              <a16:creationId xmlns:a16="http://schemas.microsoft.com/office/drawing/2014/main" xmlns="" id="{C9BD8827-314B-48FB-BC66-054F2B38268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647" name="Text Box 1">
          <a:extLst>
            <a:ext uri="{FF2B5EF4-FFF2-40B4-BE49-F238E27FC236}">
              <a16:creationId xmlns:a16="http://schemas.microsoft.com/office/drawing/2014/main" xmlns="" id="{58FDC084-E5C2-4CA0-97A6-4BF609F2BFE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648" name="Text Box 1">
          <a:extLst>
            <a:ext uri="{FF2B5EF4-FFF2-40B4-BE49-F238E27FC236}">
              <a16:creationId xmlns:a16="http://schemas.microsoft.com/office/drawing/2014/main" xmlns="" id="{2909F377-C94F-4F6C-9494-F34E0825F43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649" name="Text Box 1">
          <a:extLst>
            <a:ext uri="{FF2B5EF4-FFF2-40B4-BE49-F238E27FC236}">
              <a16:creationId xmlns:a16="http://schemas.microsoft.com/office/drawing/2014/main" xmlns="" id="{E7D44D05-706E-4019-92F9-CEFCFBC726B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650" name="Text Box 1">
          <a:extLst>
            <a:ext uri="{FF2B5EF4-FFF2-40B4-BE49-F238E27FC236}">
              <a16:creationId xmlns:a16="http://schemas.microsoft.com/office/drawing/2014/main" xmlns="" id="{87BDC1A0-822B-4DE6-990F-A590C9E58D0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651" name="Text Box 1">
          <a:extLst>
            <a:ext uri="{FF2B5EF4-FFF2-40B4-BE49-F238E27FC236}">
              <a16:creationId xmlns:a16="http://schemas.microsoft.com/office/drawing/2014/main" xmlns="" id="{F6CBDDB9-9A81-4617-ACA7-6BD93DE6DDC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652" name="Text Box 1">
          <a:extLst>
            <a:ext uri="{FF2B5EF4-FFF2-40B4-BE49-F238E27FC236}">
              <a16:creationId xmlns:a16="http://schemas.microsoft.com/office/drawing/2014/main" xmlns="" id="{34B3C042-5F9D-46A4-ACDD-3E79B136268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653" name="Text Box 1">
          <a:extLst>
            <a:ext uri="{FF2B5EF4-FFF2-40B4-BE49-F238E27FC236}">
              <a16:creationId xmlns:a16="http://schemas.microsoft.com/office/drawing/2014/main" xmlns="" id="{2328DB91-6AF6-44D9-A11C-06152C704F1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654" name="Text Box 1">
          <a:extLst>
            <a:ext uri="{FF2B5EF4-FFF2-40B4-BE49-F238E27FC236}">
              <a16:creationId xmlns:a16="http://schemas.microsoft.com/office/drawing/2014/main" xmlns="" id="{AA79DB7E-C14B-4A8B-A441-79122E8B494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655" name="Text Box 1">
          <a:extLst>
            <a:ext uri="{FF2B5EF4-FFF2-40B4-BE49-F238E27FC236}">
              <a16:creationId xmlns:a16="http://schemas.microsoft.com/office/drawing/2014/main" xmlns="" id="{5471D338-6C05-4DF8-9911-84A17ADC523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656" name="Text Box 1">
          <a:extLst>
            <a:ext uri="{FF2B5EF4-FFF2-40B4-BE49-F238E27FC236}">
              <a16:creationId xmlns:a16="http://schemas.microsoft.com/office/drawing/2014/main" xmlns="" id="{2374637F-B55C-4B95-A67E-43E34706DD7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657" name="Text Box 1">
          <a:extLst>
            <a:ext uri="{FF2B5EF4-FFF2-40B4-BE49-F238E27FC236}">
              <a16:creationId xmlns:a16="http://schemas.microsoft.com/office/drawing/2014/main" xmlns="" id="{57F17966-F596-4653-BA11-E79ACA968B9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658" name="Text Box 1">
          <a:extLst>
            <a:ext uri="{FF2B5EF4-FFF2-40B4-BE49-F238E27FC236}">
              <a16:creationId xmlns:a16="http://schemas.microsoft.com/office/drawing/2014/main" xmlns="" id="{4E814ABD-F157-44A2-8497-CCAB8FE150C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659" name="Text Box 1">
          <a:extLst>
            <a:ext uri="{FF2B5EF4-FFF2-40B4-BE49-F238E27FC236}">
              <a16:creationId xmlns:a16="http://schemas.microsoft.com/office/drawing/2014/main" xmlns="" id="{C1FBF00D-1774-4DBD-95AF-45A924E004F1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660" name="Text Box 1">
          <a:extLst>
            <a:ext uri="{FF2B5EF4-FFF2-40B4-BE49-F238E27FC236}">
              <a16:creationId xmlns:a16="http://schemas.microsoft.com/office/drawing/2014/main" xmlns="" id="{21C1FED7-3BDF-44D7-A2AD-2865D2FC127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661" name="Text Box 1">
          <a:extLst>
            <a:ext uri="{FF2B5EF4-FFF2-40B4-BE49-F238E27FC236}">
              <a16:creationId xmlns:a16="http://schemas.microsoft.com/office/drawing/2014/main" xmlns="" id="{7CB1995B-3415-48ED-B320-2D2B57C0DFB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662" name="Text Box 1">
          <a:extLst>
            <a:ext uri="{FF2B5EF4-FFF2-40B4-BE49-F238E27FC236}">
              <a16:creationId xmlns:a16="http://schemas.microsoft.com/office/drawing/2014/main" xmlns="" id="{F4BB762A-3715-4721-96DE-193A601EEDD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663" name="Text Box 1">
          <a:extLst>
            <a:ext uri="{FF2B5EF4-FFF2-40B4-BE49-F238E27FC236}">
              <a16:creationId xmlns:a16="http://schemas.microsoft.com/office/drawing/2014/main" xmlns="" id="{5252CE54-B561-45A1-AFFC-8D8C8DA862A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664" name="Text Box 1">
          <a:extLst>
            <a:ext uri="{FF2B5EF4-FFF2-40B4-BE49-F238E27FC236}">
              <a16:creationId xmlns:a16="http://schemas.microsoft.com/office/drawing/2014/main" xmlns="" id="{71430ADC-57F5-4ADD-82EA-B6E9F0CDF94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665" name="Text Box 1">
          <a:extLst>
            <a:ext uri="{FF2B5EF4-FFF2-40B4-BE49-F238E27FC236}">
              <a16:creationId xmlns:a16="http://schemas.microsoft.com/office/drawing/2014/main" xmlns="" id="{431CD9EE-690D-4A97-B1F0-3EC6217EAC0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666" name="Text Box 1">
          <a:extLst>
            <a:ext uri="{FF2B5EF4-FFF2-40B4-BE49-F238E27FC236}">
              <a16:creationId xmlns:a16="http://schemas.microsoft.com/office/drawing/2014/main" xmlns="" id="{EFDD2A60-7FD9-40A3-85AF-E009BEB8EB5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667" name="Text Box 1">
          <a:extLst>
            <a:ext uri="{FF2B5EF4-FFF2-40B4-BE49-F238E27FC236}">
              <a16:creationId xmlns:a16="http://schemas.microsoft.com/office/drawing/2014/main" xmlns="" id="{DF33BB92-13A5-4C0A-8A3A-FD890E2B866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668" name="Text Box 1">
          <a:extLst>
            <a:ext uri="{FF2B5EF4-FFF2-40B4-BE49-F238E27FC236}">
              <a16:creationId xmlns:a16="http://schemas.microsoft.com/office/drawing/2014/main" xmlns="" id="{09A45CD7-AAA2-4B62-87CE-F2DCE71720F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669" name="Text Box 1">
          <a:extLst>
            <a:ext uri="{FF2B5EF4-FFF2-40B4-BE49-F238E27FC236}">
              <a16:creationId xmlns:a16="http://schemas.microsoft.com/office/drawing/2014/main" xmlns="" id="{3ED696BD-BEFF-4F30-AC9D-8AE6130AB54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670" name="Text Box 1">
          <a:extLst>
            <a:ext uri="{FF2B5EF4-FFF2-40B4-BE49-F238E27FC236}">
              <a16:creationId xmlns:a16="http://schemas.microsoft.com/office/drawing/2014/main" xmlns="" id="{1E51A757-FC60-49ED-B9DE-18A8821AAFA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671" name="Text Box 1">
          <a:extLst>
            <a:ext uri="{FF2B5EF4-FFF2-40B4-BE49-F238E27FC236}">
              <a16:creationId xmlns:a16="http://schemas.microsoft.com/office/drawing/2014/main" xmlns="" id="{7ACF0A1F-B793-4551-BC69-23905FDA48F1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672" name="Text Box 1">
          <a:extLst>
            <a:ext uri="{FF2B5EF4-FFF2-40B4-BE49-F238E27FC236}">
              <a16:creationId xmlns:a16="http://schemas.microsoft.com/office/drawing/2014/main" xmlns="" id="{20042F17-C48F-4753-81CC-A896479ABF5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673" name="Text Box 1">
          <a:extLst>
            <a:ext uri="{FF2B5EF4-FFF2-40B4-BE49-F238E27FC236}">
              <a16:creationId xmlns:a16="http://schemas.microsoft.com/office/drawing/2014/main" xmlns="" id="{BECF7501-8DD4-452B-A579-B6A8A37CD69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674" name="Text Box 1">
          <a:extLst>
            <a:ext uri="{FF2B5EF4-FFF2-40B4-BE49-F238E27FC236}">
              <a16:creationId xmlns:a16="http://schemas.microsoft.com/office/drawing/2014/main" xmlns="" id="{4EBCD6FE-3660-4AC5-AA07-69CA2A2FB5B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675" name="Text Box 1">
          <a:extLst>
            <a:ext uri="{FF2B5EF4-FFF2-40B4-BE49-F238E27FC236}">
              <a16:creationId xmlns:a16="http://schemas.microsoft.com/office/drawing/2014/main" xmlns="" id="{F381A6F9-F825-4751-A4AE-CEAEA022A09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676" name="Text Box 1">
          <a:extLst>
            <a:ext uri="{FF2B5EF4-FFF2-40B4-BE49-F238E27FC236}">
              <a16:creationId xmlns:a16="http://schemas.microsoft.com/office/drawing/2014/main" xmlns="" id="{4A048DAD-8F3B-428D-B193-C508F23D540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677" name="Text Box 1">
          <a:extLst>
            <a:ext uri="{FF2B5EF4-FFF2-40B4-BE49-F238E27FC236}">
              <a16:creationId xmlns:a16="http://schemas.microsoft.com/office/drawing/2014/main" xmlns="" id="{36AAAE22-D876-4893-B967-F162D45944D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678" name="Text Box 1">
          <a:extLst>
            <a:ext uri="{FF2B5EF4-FFF2-40B4-BE49-F238E27FC236}">
              <a16:creationId xmlns:a16="http://schemas.microsoft.com/office/drawing/2014/main" xmlns="" id="{B0AE110D-0539-42CB-B720-6BD68DE3CFD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679" name="Text Box 1">
          <a:extLst>
            <a:ext uri="{FF2B5EF4-FFF2-40B4-BE49-F238E27FC236}">
              <a16:creationId xmlns:a16="http://schemas.microsoft.com/office/drawing/2014/main" xmlns="" id="{070A814D-554B-447D-BBC9-A735A3FBE66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680" name="Text Box 1">
          <a:extLst>
            <a:ext uri="{FF2B5EF4-FFF2-40B4-BE49-F238E27FC236}">
              <a16:creationId xmlns:a16="http://schemas.microsoft.com/office/drawing/2014/main" xmlns="" id="{39D15FEA-050D-4413-9301-1A099408B76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681" name="Text Box 1">
          <a:extLst>
            <a:ext uri="{FF2B5EF4-FFF2-40B4-BE49-F238E27FC236}">
              <a16:creationId xmlns:a16="http://schemas.microsoft.com/office/drawing/2014/main" xmlns="" id="{19CCBF67-2683-4633-9975-DC40D1CBBF7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682" name="Text Box 1">
          <a:extLst>
            <a:ext uri="{FF2B5EF4-FFF2-40B4-BE49-F238E27FC236}">
              <a16:creationId xmlns:a16="http://schemas.microsoft.com/office/drawing/2014/main" xmlns="" id="{7CB3E963-B2A0-470A-81A8-62D9240BB76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683" name="Text Box 1">
          <a:extLst>
            <a:ext uri="{FF2B5EF4-FFF2-40B4-BE49-F238E27FC236}">
              <a16:creationId xmlns:a16="http://schemas.microsoft.com/office/drawing/2014/main" xmlns="" id="{57DFD0D8-85C1-4C88-838C-3E347DDB89D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684" name="Text Box 1">
          <a:extLst>
            <a:ext uri="{FF2B5EF4-FFF2-40B4-BE49-F238E27FC236}">
              <a16:creationId xmlns:a16="http://schemas.microsoft.com/office/drawing/2014/main" xmlns="" id="{7764E22D-BF8B-4D75-970A-3ADF031A79E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685" name="Text Box 1">
          <a:extLst>
            <a:ext uri="{FF2B5EF4-FFF2-40B4-BE49-F238E27FC236}">
              <a16:creationId xmlns:a16="http://schemas.microsoft.com/office/drawing/2014/main" xmlns="" id="{6B2C352F-46A9-469B-B1EC-0E7191108FF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686" name="Text Box 1">
          <a:extLst>
            <a:ext uri="{FF2B5EF4-FFF2-40B4-BE49-F238E27FC236}">
              <a16:creationId xmlns:a16="http://schemas.microsoft.com/office/drawing/2014/main" xmlns="" id="{2452FE29-827E-444E-B2EB-2AD5C287D0D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687" name="Text Box 1">
          <a:extLst>
            <a:ext uri="{FF2B5EF4-FFF2-40B4-BE49-F238E27FC236}">
              <a16:creationId xmlns:a16="http://schemas.microsoft.com/office/drawing/2014/main" xmlns="" id="{1670ED65-6DE2-4086-AB0D-63A4591683E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688" name="Text Box 1">
          <a:extLst>
            <a:ext uri="{FF2B5EF4-FFF2-40B4-BE49-F238E27FC236}">
              <a16:creationId xmlns:a16="http://schemas.microsoft.com/office/drawing/2014/main" xmlns="" id="{0EE17E3C-B2DF-4E31-8C07-593D51C5C2E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689" name="Text Box 1">
          <a:extLst>
            <a:ext uri="{FF2B5EF4-FFF2-40B4-BE49-F238E27FC236}">
              <a16:creationId xmlns:a16="http://schemas.microsoft.com/office/drawing/2014/main" xmlns="" id="{18E696B9-4D8E-4D4E-A4AB-7F106B179A9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690" name="Text Box 1">
          <a:extLst>
            <a:ext uri="{FF2B5EF4-FFF2-40B4-BE49-F238E27FC236}">
              <a16:creationId xmlns:a16="http://schemas.microsoft.com/office/drawing/2014/main" xmlns="" id="{74392F89-CF4D-459A-996D-B8DF176004C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691" name="Text Box 1">
          <a:extLst>
            <a:ext uri="{FF2B5EF4-FFF2-40B4-BE49-F238E27FC236}">
              <a16:creationId xmlns:a16="http://schemas.microsoft.com/office/drawing/2014/main" xmlns="" id="{A5067096-C685-4B0E-85F3-94C367EB171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692" name="Text Box 1">
          <a:extLst>
            <a:ext uri="{FF2B5EF4-FFF2-40B4-BE49-F238E27FC236}">
              <a16:creationId xmlns:a16="http://schemas.microsoft.com/office/drawing/2014/main" xmlns="" id="{AE9236CB-5237-49CB-8E5B-6FD8EBA8A61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693" name="Text Box 1">
          <a:extLst>
            <a:ext uri="{FF2B5EF4-FFF2-40B4-BE49-F238E27FC236}">
              <a16:creationId xmlns:a16="http://schemas.microsoft.com/office/drawing/2014/main" xmlns="" id="{FA96B489-DF51-4B3E-BB7D-6AB848B2F01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694" name="Text Box 1">
          <a:extLst>
            <a:ext uri="{FF2B5EF4-FFF2-40B4-BE49-F238E27FC236}">
              <a16:creationId xmlns:a16="http://schemas.microsoft.com/office/drawing/2014/main" xmlns="" id="{CBE84446-587F-40F2-A101-855E2B20A5B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695" name="Text Box 1">
          <a:extLst>
            <a:ext uri="{FF2B5EF4-FFF2-40B4-BE49-F238E27FC236}">
              <a16:creationId xmlns:a16="http://schemas.microsoft.com/office/drawing/2014/main" xmlns="" id="{B84D3B04-D39D-41B6-AE6D-0DB44780E2B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696" name="Text Box 1">
          <a:extLst>
            <a:ext uri="{FF2B5EF4-FFF2-40B4-BE49-F238E27FC236}">
              <a16:creationId xmlns:a16="http://schemas.microsoft.com/office/drawing/2014/main" xmlns="" id="{676B3D3A-D0DC-4A8A-932E-8918412D1E7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697" name="Text Box 1">
          <a:extLst>
            <a:ext uri="{FF2B5EF4-FFF2-40B4-BE49-F238E27FC236}">
              <a16:creationId xmlns:a16="http://schemas.microsoft.com/office/drawing/2014/main" xmlns="" id="{68F4300C-F2A0-415A-9936-81441C092F8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698" name="Text Box 1">
          <a:extLst>
            <a:ext uri="{FF2B5EF4-FFF2-40B4-BE49-F238E27FC236}">
              <a16:creationId xmlns:a16="http://schemas.microsoft.com/office/drawing/2014/main" xmlns="" id="{D8BD35AE-2D8B-4588-977F-250580D68BB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699" name="Text Box 1">
          <a:extLst>
            <a:ext uri="{FF2B5EF4-FFF2-40B4-BE49-F238E27FC236}">
              <a16:creationId xmlns:a16="http://schemas.microsoft.com/office/drawing/2014/main" xmlns="" id="{5379714F-5734-416A-9067-89F36125A4B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700" name="Text Box 1">
          <a:extLst>
            <a:ext uri="{FF2B5EF4-FFF2-40B4-BE49-F238E27FC236}">
              <a16:creationId xmlns:a16="http://schemas.microsoft.com/office/drawing/2014/main" xmlns="" id="{4125E17C-6782-40BB-91B2-CD0479544B6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701" name="Text Box 1">
          <a:extLst>
            <a:ext uri="{FF2B5EF4-FFF2-40B4-BE49-F238E27FC236}">
              <a16:creationId xmlns:a16="http://schemas.microsoft.com/office/drawing/2014/main" xmlns="" id="{5044A07C-F59E-47E6-9E82-4B7A49D4DB8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702" name="Text Box 1">
          <a:extLst>
            <a:ext uri="{FF2B5EF4-FFF2-40B4-BE49-F238E27FC236}">
              <a16:creationId xmlns:a16="http://schemas.microsoft.com/office/drawing/2014/main" xmlns="" id="{ADDD9FAA-8B3C-4A8F-8B72-288EE9FE29F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703" name="Text Box 1">
          <a:extLst>
            <a:ext uri="{FF2B5EF4-FFF2-40B4-BE49-F238E27FC236}">
              <a16:creationId xmlns:a16="http://schemas.microsoft.com/office/drawing/2014/main" xmlns="" id="{A4DC443D-4E75-4CB4-B903-851C4FC4FEB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704" name="Text Box 1">
          <a:extLst>
            <a:ext uri="{FF2B5EF4-FFF2-40B4-BE49-F238E27FC236}">
              <a16:creationId xmlns:a16="http://schemas.microsoft.com/office/drawing/2014/main" xmlns="" id="{5E5DD24A-D1C2-425D-99F3-27C8429C1B1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705" name="Text Box 1">
          <a:extLst>
            <a:ext uri="{FF2B5EF4-FFF2-40B4-BE49-F238E27FC236}">
              <a16:creationId xmlns:a16="http://schemas.microsoft.com/office/drawing/2014/main" xmlns="" id="{DF3E8DB6-884F-4334-B6FF-3198C3F0078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706" name="Text Box 1">
          <a:extLst>
            <a:ext uri="{FF2B5EF4-FFF2-40B4-BE49-F238E27FC236}">
              <a16:creationId xmlns:a16="http://schemas.microsoft.com/office/drawing/2014/main" xmlns="" id="{7D59AD8B-7E29-4F3A-B230-7C59F97B9F9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707" name="Text Box 1">
          <a:extLst>
            <a:ext uri="{FF2B5EF4-FFF2-40B4-BE49-F238E27FC236}">
              <a16:creationId xmlns:a16="http://schemas.microsoft.com/office/drawing/2014/main" xmlns="" id="{8949ECB4-63F9-478E-8EFD-F17A128EAD7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708" name="Text Box 1">
          <a:extLst>
            <a:ext uri="{FF2B5EF4-FFF2-40B4-BE49-F238E27FC236}">
              <a16:creationId xmlns:a16="http://schemas.microsoft.com/office/drawing/2014/main" xmlns="" id="{38C13A97-7653-4016-9170-2B28BA012E7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709" name="Text Box 1">
          <a:extLst>
            <a:ext uri="{FF2B5EF4-FFF2-40B4-BE49-F238E27FC236}">
              <a16:creationId xmlns:a16="http://schemas.microsoft.com/office/drawing/2014/main" xmlns="" id="{566952BD-EA2A-4447-AA41-713C98759DA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710" name="Text Box 1">
          <a:extLst>
            <a:ext uri="{FF2B5EF4-FFF2-40B4-BE49-F238E27FC236}">
              <a16:creationId xmlns:a16="http://schemas.microsoft.com/office/drawing/2014/main" xmlns="" id="{FC86382E-AC8A-4ADE-A343-D846CD89AC1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711" name="Text Box 1">
          <a:extLst>
            <a:ext uri="{FF2B5EF4-FFF2-40B4-BE49-F238E27FC236}">
              <a16:creationId xmlns:a16="http://schemas.microsoft.com/office/drawing/2014/main" xmlns="" id="{6429E9E7-1E2A-4E41-9A16-E3E0177578F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712" name="Text Box 1">
          <a:extLst>
            <a:ext uri="{FF2B5EF4-FFF2-40B4-BE49-F238E27FC236}">
              <a16:creationId xmlns:a16="http://schemas.microsoft.com/office/drawing/2014/main" xmlns="" id="{339662CD-6143-488E-9E24-6BEE85235F3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713" name="Text Box 1">
          <a:extLst>
            <a:ext uri="{FF2B5EF4-FFF2-40B4-BE49-F238E27FC236}">
              <a16:creationId xmlns:a16="http://schemas.microsoft.com/office/drawing/2014/main" xmlns="" id="{6698CC19-0CF0-43D6-8436-71D3F5CC3C4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714" name="Text Box 1">
          <a:extLst>
            <a:ext uri="{FF2B5EF4-FFF2-40B4-BE49-F238E27FC236}">
              <a16:creationId xmlns:a16="http://schemas.microsoft.com/office/drawing/2014/main" xmlns="" id="{3462FDFA-40BD-442D-9CAA-171A1C37828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715" name="Text Box 1">
          <a:extLst>
            <a:ext uri="{FF2B5EF4-FFF2-40B4-BE49-F238E27FC236}">
              <a16:creationId xmlns:a16="http://schemas.microsoft.com/office/drawing/2014/main" xmlns="" id="{BB0202B6-FFD8-45B1-82A0-BEE71054434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716" name="Text Box 1">
          <a:extLst>
            <a:ext uri="{FF2B5EF4-FFF2-40B4-BE49-F238E27FC236}">
              <a16:creationId xmlns:a16="http://schemas.microsoft.com/office/drawing/2014/main" xmlns="" id="{3E033566-1613-45CF-9C80-A8BBA864936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717" name="Text Box 1">
          <a:extLst>
            <a:ext uri="{FF2B5EF4-FFF2-40B4-BE49-F238E27FC236}">
              <a16:creationId xmlns:a16="http://schemas.microsoft.com/office/drawing/2014/main" xmlns="" id="{CB72226A-B8DD-4217-9DD8-BAAC305D8F7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718" name="Text Box 1">
          <a:extLst>
            <a:ext uri="{FF2B5EF4-FFF2-40B4-BE49-F238E27FC236}">
              <a16:creationId xmlns:a16="http://schemas.microsoft.com/office/drawing/2014/main" xmlns="" id="{030D710B-CF3B-4243-9696-61AF0766D911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719" name="Text Box 1">
          <a:extLst>
            <a:ext uri="{FF2B5EF4-FFF2-40B4-BE49-F238E27FC236}">
              <a16:creationId xmlns:a16="http://schemas.microsoft.com/office/drawing/2014/main" xmlns="" id="{4F99F9BF-678A-45A2-A60D-C5D61644790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720" name="Text Box 1">
          <a:extLst>
            <a:ext uri="{FF2B5EF4-FFF2-40B4-BE49-F238E27FC236}">
              <a16:creationId xmlns:a16="http://schemas.microsoft.com/office/drawing/2014/main" xmlns="" id="{7F5AFC78-E8D1-4CC7-A725-D9B26EEDF30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721" name="Text Box 1">
          <a:extLst>
            <a:ext uri="{FF2B5EF4-FFF2-40B4-BE49-F238E27FC236}">
              <a16:creationId xmlns:a16="http://schemas.microsoft.com/office/drawing/2014/main" xmlns="" id="{CD183240-E2DA-4674-AA2E-5A5368CB876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722" name="Text Box 1">
          <a:extLst>
            <a:ext uri="{FF2B5EF4-FFF2-40B4-BE49-F238E27FC236}">
              <a16:creationId xmlns:a16="http://schemas.microsoft.com/office/drawing/2014/main" xmlns="" id="{427396E0-AFB6-42CD-8496-EBE01E1E0C7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723" name="Text Box 1">
          <a:extLst>
            <a:ext uri="{FF2B5EF4-FFF2-40B4-BE49-F238E27FC236}">
              <a16:creationId xmlns:a16="http://schemas.microsoft.com/office/drawing/2014/main" xmlns="" id="{8C8DF071-6840-4AF0-9848-3D6B731B8B5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724" name="Text Box 1">
          <a:extLst>
            <a:ext uri="{FF2B5EF4-FFF2-40B4-BE49-F238E27FC236}">
              <a16:creationId xmlns:a16="http://schemas.microsoft.com/office/drawing/2014/main" xmlns="" id="{5B29B081-457D-459E-9D33-AD189593394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725" name="Text Box 1">
          <a:extLst>
            <a:ext uri="{FF2B5EF4-FFF2-40B4-BE49-F238E27FC236}">
              <a16:creationId xmlns:a16="http://schemas.microsoft.com/office/drawing/2014/main" xmlns="" id="{D4C45BB2-BC08-4BC9-ADED-FBF47C394AE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726" name="Text Box 1">
          <a:extLst>
            <a:ext uri="{FF2B5EF4-FFF2-40B4-BE49-F238E27FC236}">
              <a16:creationId xmlns:a16="http://schemas.microsoft.com/office/drawing/2014/main" xmlns="" id="{143E53FC-FEE7-47D4-8ED6-17ECB1791CF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727" name="Text Box 1">
          <a:extLst>
            <a:ext uri="{FF2B5EF4-FFF2-40B4-BE49-F238E27FC236}">
              <a16:creationId xmlns:a16="http://schemas.microsoft.com/office/drawing/2014/main" xmlns="" id="{E9D83D36-6D55-498E-A4E3-B1F49868C1B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728" name="Text Box 1">
          <a:extLst>
            <a:ext uri="{FF2B5EF4-FFF2-40B4-BE49-F238E27FC236}">
              <a16:creationId xmlns:a16="http://schemas.microsoft.com/office/drawing/2014/main" xmlns="" id="{6EA36970-B034-474A-8603-221D9FAFF89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729" name="Text Box 1">
          <a:extLst>
            <a:ext uri="{FF2B5EF4-FFF2-40B4-BE49-F238E27FC236}">
              <a16:creationId xmlns:a16="http://schemas.microsoft.com/office/drawing/2014/main" xmlns="" id="{EBBFA0E6-44EB-4B55-984C-5BD8B714EC6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730" name="Text Box 1">
          <a:extLst>
            <a:ext uri="{FF2B5EF4-FFF2-40B4-BE49-F238E27FC236}">
              <a16:creationId xmlns:a16="http://schemas.microsoft.com/office/drawing/2014/main" xmlns="" id="{BC42DBEA-351C-4980-A96E-467008A226A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731" name="Text Box 1">
          <a:extLst>
            <a:ext uri="{FF2B5EF4-FFF2-40B4-BE49-F238E27FC236}">
              <a16:creationId xmlns:a16="http://schemas.microsoft.com/office/drawing/2014/main" xmlns="" id="{ABD4436C-616D-4867-84AA-1EBC28F06B8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732" name="Text Box 1">
          <a:extLst>
            <a:ext uri="{FF2B5EF4-FFF2-40B4-BE49-F238E27FC236}">
              <a16:creationId xmlns:a16="http://schemas.microsoft.com/office/drawing/2014/main" xmlns="" id="{40DCA5EB-CCD4-4E71-856A-1AB53C7FB44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733" name="Text Box 1">
          <a:extLst>
            <a:ext uri="{FF2B5EF4-FFF2-40B4-BE49-F238E27FC236}">
              <a16:creationId xmlns:a16="http://schemas.microsoft.com/office/drawing/2014/main" xmlns="" id="{90ED2B6D-FC44-4DD4-A71A-E35F327305B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734" name="Text Box 1">
          <a:extLst>
            <a:ext uri="{FF2B5EF4-FFF2-40B4-BE49-F238E27FC236}">
              <a16:creationId xmlns:a16="http://schemas.microsoft.com/office/drawing/2014/main" xmlns="" id="{71E22AA0-0B35-4E05-BB5F-6AED778E6AA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735" name="Text Box 1">
          <a:extLst>
            <a:ext uri="{FF2B5EF4-FFF2-40B4-BE49-F238E27FC236}">
              <a16:creationId xmlns:a16="http://schemas.microsoft.com/office/drawing/2014/main" xmlns="" id="{9BD0ACED-B88A-4E36-BDFA-6EC8CD012B1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736" name="Text Box 1">
          <a:extLst>
            <a:ext uri="{FF2B5EF4-FFF2-40B4-BE49-F238E27FC236}">
              <a16:creationId xmlns:a16="http://schemas.microsoft.com/office/drawing/2014/main" xmlns="" id="{4DBCD119-F65B-4BF1-B557-BF7382521A4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737" name="Text Box 1">
          <a:extLst>
            <a:ext uri="{FF2B5EF4-FFF2-40B4-BE49-F238E27FC236}">
              <a16:creationId xmlns:a16="http://schemas.microsoft.com/office/drawing/2014/main" xmlns="" id="{79D66C5E-FC9D-40DE-A729-E41CF0B165A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738" name="Text Box 1">
          <a:extLst>
            <a:ext uri="{FF2B5EF4-FFF2-40B4-BE49-F238E27FC236}">
              <a16:creationId xmlns:a16="http://schemas.microsoft.com/office/drawing/2014/main" xmlns="" id="{76ED9C56-1124-4F06-ADAA-B3700B29EB2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739" name="Text Box 1">
          <a:extLst>
            <a:ext uri="{FF2B5EF4-FFF2-40B4-BE49-F238E27FC236}">
              <a16:creationId xmlns:a16="http://schemas.microsoft.com/office/drawing/2014/main" xmlns="" id="{8644F57A-6097-4C1D-B32F-FF64A6BECCC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740" name="Text Box 1">
          <a:extLst>
            <a:ext uri="{FF2B5EF4-FFF2-40B4-BE49-F238E27FC236}">
              <a16:creationId xmlns:a16="http://schemas.microsoft.com/office/drawing/2014/main" xmlns="" id="{CCDE10F7-5411-4087-9271-5C2F7A9FA32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741" name="Text Box 1">
          <a:extLst>
            <a:ext uri="{FF2B5EF4-FFF2-40B4-BE49-F238E27FC236}">
              <a16:creationId xmlns:a16="http://schemas.microsoft.com/office/drawing/2014/main" xmlns="" id="{28C0926A-A98D-4CC4-970E-125B4CC4CA3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742" name="Text Box 1">
          <a:extLst>
            <a:ext uri="{FF2B5EF4-FFF2-40B4-BE49-F238E27FC236}">
              <a16:creationId xmlns:a16="http://schemas.microsoft.com/office/drawing/2014/main" xmlns="" id="{833EAFAB-6DE1-4D1D-A38B-6157337A9CF1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743" name="Text Box 1">
          <a:extLst>
            <a:ext uri="{FF2B5EF4-FFF2-40B4-BE49-F238E27FC236}">
              <a16:creationId xmlns:a16="http://schemas.microsoft.com/office/drawing/2014/main" xmlns="" id="{1807008C-96AC-47BB-9225-19BCEAEAB07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744" name="Text Box 1">
          <a:extLst>
            <a:ext uri="{FF2B5EF4-FFF2-40B4-BE49-F238E27FC236}">
              <a16:creationId xmlns:a16="http://schemas.microsoft.com/office/drawing/2014/main" xmlns="" id="{81901908-1C13-41CD-BFDE-012B128F6FE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745" name="Text Box 1">
          <a:extLst>
            <a:ext uri="{FF2B5EF4-FFF2-40B4-BE49-F238E27FC236}">
              <a16:creationId xmlns:a16="http://schemas.microsoft.com/office/drawing/2014/main" xmlns="" id="{AD4D6919-3102-44F5-BF30-83706E0B3C9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746" name="Text Box 1">
          <a:extLst>
            <a:ext uri="{FF2B5EF4-FFF2-40B4-BE49-F238E27FC236}">
              <a16:creationId xmlns:a16="http://schemas.microsoft.com/office/drawing/2014/main" xmlns="" id="{E2777DBC-FE31-4C02-8479-7971D105416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747" name="Text Box 1">
          <a:extLst>
            <a:ext uri="{FF2B5EF4-FFF2-40B4-BE49-F238E27FC236}">
              <a16:creationId xmlns:a16="http://schemas.microsoft.com/office/drawing/2014/main" xmlns="" id="{3EAB04B2-FABC-4901-AF08-2C9A5F7063E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748" name="Text Box 1">
          <a:extLst>
            <a:ext uri="{FF2B5EF4-FFF2-40B4-BE49-F238E27FC236}">
              <a16:creationId xmlns:a16="http://schemas.microsoft.com/office/drawing/2014/main" xmlns="" id="{A5F4A171-122A-4010-BA62-2FA1590042A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749" name="Text Box 1">
          <a:extLst>
            <a:ext uri="{FF2B5EF4-FFF2-40B4-BE49-F238E27FC236}">
              <a16:creationId xmlns:a16="http://schemas.microsoft.com/office/drawing/2014/main" xmlns="" id="{C977BE7F-E07C-43C1-8505-BFDECD16673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750" name="Text Box 1">
          <a:extLst>
            <a:ext uri="{FF2B5EF4-FFF2-40B4-BE49-F238E27FC236}">
              <a16:creationId xmlns:a16="http://schemas.microsoft.com/office/drawing/2014/main" xmlns="" id="{FF7F6A8C-68B6-45F3-81E9-363FA0EAD44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751" name="Text Box 1">
          <a:extLst>
            <a:ext uri="{FF2B5EF4-FFF2-40B4-BE49-F238E27FC236}">
              <a16:creationId xmlns:a16="http://schemas.microsoft.com/office/drawing/2014/main" xmlns="" id="{DA705078-876B-490D-9E82-7E6A5ACD48F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752" name="Text Box 1">
          <a:extLst>
            <a:ext uri="{FF2B5EF4-FFF2-40B4-BE49-F238E27FC236}">
              <a16:creationId xmlns:a16="http://schemas.microsoft.com/office/drawing/2014/main" xmlns="" id="{7BE8A9FD-59B4-4EDF-B0E1-D4649CFB421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753" name="Text Box 1">
          <a:extLst>
            <a:ext uri="{FF2B5EF4-FFF2-40B4-BE49-F238E27FC236}">
              <a16:creationId xmlns:a16="http://schemas.microsoft.com/office/drawing/2014/main" xmlns="" id="{809AA6F9-AAF1-42B7-A6BC-50BE3B6DDE2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754" name="Text Box 1">
          <a:extLst>
            <a:ext uri="{FF2B5EF4-FFF2-40B4-BE49-F238E27FC236}">
              <a16:creationId xmlns:a16="http://schemas.microsoft.com/office/drawing/2014/main" xmlns="" id="{50EFD725-EDC5-4798-9022-D00BFF234A5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755" name="Text Box 1">
          <a:extLst>
            <a:ext uri="{FF2B5EF4-FFF2-40B4-BE49-F238E27FC236}">
              <a16:creationId xmlns:a16="http://schemas.microsoft.com/office/drawing/2014/main" xmlns="" id="{DF304FC3-79FD-4C35-80C7-0E68488DB97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756" name="Text Box 1">
          <a:extLst>
            <a:ext uri="{FF2B5EF4-FFF2-40B4-BE49-F238E27FC236}">
              <a16:creationId xmlns:a16="http://schemas.microsoft.com/office/drawing/2014/main" xmlns="" id="{C19657A0-E664-424B-A7FA-277DA859466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757" name="Text Box 1">
          <a:extLst>
            <a:ext uri="{FF2B5EF4-FFF2-40B4-BE49-F238E27FC236}">
              <a16:creationId xmlns:a16="http://schemas.microsoft.com/office/drawing/2014/main" xmlns="" id="{51309292-E512-4889-BF2F-45F16519675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758" name="Text Box 1">
          <a:extLst>
            <a:ext uri="{FF2B5EF4-FFF2-40B4-BE49-F238E27FC236}">
              <a16:creationId xmlns:a16="http://schemas.microsoft.com/office/drawing/2014/main" xmlns="" id="{700DCBE5-0945-48BB-840C-1C0A8B53871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759" name="Text Box 1">
          <a:extLst>
            <a:ext uri="{FF2B5EF4-FFF2-40B4-BE49-F238E27FC236}">
              <a16:creationId xmlns:a16="http://schemas.microsoft.com/office/drawing/2014/main" xmlns="" id="{A00337EF-B5A5-45BE-A26F-D135DCEBB7E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760" name="Text Box 1">
          <a:extLst>
            <a:ext uri="{FF2B5EF4-FFF2-40B4-BE49-F238E27FC236}">
              <a16:creationId xmlns:a16="http://schemas.microsoft.com/office/drawing/2014/main" xmlns="" id="{C6547EA5-E507-4F24-A833-D4C092CDEDC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761" name="Text Box 1">
          <a:extLst>
            <a:ext uri="{FF2B5EF4-FFF2-40B4-BE49-F238E27FC236}">
              <a16:creationId xmlns:a16="http://schemas.microsoft.com/office/drawing/2014/main" xmlns="" id="{45B08A2B-AAF8-4397-A0E8-997D3713BB3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762" name="Text Box 1">
          <a:extLst>
            <a:ext uri="{FF2B5EF4-FFF2-40B4-BE49-F238E27FC236}">
              <a16:creationId xmlns:a16="http://schemas.microsoft.com/office/drawing/2014/main" xmlns="" id="{E10A8437-CD75-4A97-8D2C-0AFFEE836B1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763" name="Text Box 1">
          <a:extLst>
            <a:ext uri="{FF2B5EF4-FFF2-40B4-BE49-F238E27FC236}">
              <a16:creationId xmlns:a16="http://schemas.microsoft.com/office/drawing/2014/main" xmlns="" id="{1231D745-D857-46E9-BA79-96FDEC4A6E2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764" name="Text Box 1">
          <a:extLst>
            <a:ext uri="{FF2B5EF4-FFF2-40B4-BE49-F238E27FC236}">
              <a16:creationId xmlns:a16="http://schemas.microsoft.com/office/drawing/2014/main" xmlns="" id="{F9625663-6B5C-4A79-ADDE-F272E9DA617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765" name="Text Box 1">
          <a:extLst>
            <a:ext uri="{FF2B5EF4-FFF2-40B4-BE49-F238E27FC236}">
              <a16:creationId xmlns:a16="http://schemas.microsoft.com/office/drawing/2014/main" xmlns="" id="{D1776C27-A392-44D6-A3BA-FAB1BB4CE03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766" name="Text Box 1">
          <a:extLst>
            <a:ext uri="{FF2B5EF4-FFF2-40B4-BE49-F238E27FC236}">
              <a16:creationId xmlns:a16="http://schemas.microsoft.com/office/drawing/2014/main" xmlns="" id="{FA76141A-55A5-4931-82BA-9CC11809CDE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767" name="Text Box 1">
          <a:extLst>
            <a:ext uri="{FF2B5EF4-FFF2-40B4-BE49-F238E27FC236}">
              <a16:creationId xmlns:a16="http://schemas.microsoft.com/office/drawing/2014/main" xmlns="" id="{903E2BBA-6D66-46CB-9CDB-84DFDD48AC3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768" name="Text Box 1">
          <a:extLst>
            <a:ext uri="{FF2B5EF4-FFF2-40B4-BE49-F238E27FC236}">
              <a16:creationId xmlns:a16="http://schemas.microsoft.com/office/drawing/2014/main" xmlns="" id="{4758DCC1-C2D5-48E5-971C-16D461EDAFB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769" name="Text Box 1">
          <a:extLst>
            <a:ext uri="{FF2B5EF4-FFF2-40B4-BE49-F238E27FC236}">
              <a16:creationId xmlns:a16="http://schemas.microsoft.com/office/drawing/2014/main" xmlns="" id="{D93A5888-74F6-4CEF-B18C-5D9BCF242F2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770" name="Text Box 1">
          <a:extLst>
            <a:ext uri="{FF2B5EF4-FFF2-40B4-BE49-F238E27FC236}">
              <a16:creationId xmlns:a16="http://schemas.microsoft.com/office/drawing/2014/main" xmlns="" id="{435C2E91-2080-4574-BA7B-51C08EE384B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771" name="Text Box 1">
          <a:extLst>
            <a:ext uri="{FF2B5EF4-FFF2-40B4-BE49-F238E27FC236}">
              <a16:creationId xmlns:a16="http://schemas.microsoft.com/office/drawing/2014/main" xmlns="" id="{6731C0DD-09B7-454D-89CF-212BDAD32D1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772" name="Text Box 1">
          <a:extLst>
            <a:ext uri="{FF2B5EF4-FFF2-40B4-BE49-F238E27FC236}">
              <a16:creationId xmlns:a16="http://schemas.microsoft.com/office/drawing/2014/main" xmlns="" id="{3B73CA42-50E9-413B-92D4-AF63BD29AA4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773" name="Text Box 1">
          <a:extLst>
            <a:ext uri="{FF2B5EF4-FFF2-40B4-BE49-F238E27FC236}">
              <a16:creationId xmlns:a16="http://schemas.microsoft.com/office/drawing/2014/main" xmlns="" id="{C45E5D9B-5253-4958-B6E5-7A6EE700F01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774" name="Text Box 1">
          <a:extLst>
            <a:ext uri="{FF2B5EF4-FFF2-40B4-BE49-F238E27FC236}">
              <a16:creationId xmlns:a16="http://schemas.microsoft.com/office/drawing/2014/main" xmlns="" id="{163E3054-CAAC-4109-ABBB-B7149A0E733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775" name="Text Box 1">
          <a:extLst>
            <a:ext uri="{FF2B5EF4-FFF2-40B4-BE49-F238E27FC236}">
              <a16:creationId xmlns:a16="http://schemas.microsoft.com/office/drawing/2014/main" xmlns="" id="{440AFD79-447B-4EBE-B9C5-A87F7239CD5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776" name="Text Box 1">
          <a:extLst>
            <a:ext uri="{FF2B5EF4-FFF2-40B4-BE49-F238E27FC236}">
              <a16:creationId xmlns:a16="http://schemas.microsoft.com/office/drawing/2014/main" xmlns="" id="{08432680-FDBC-456E-AAE9-973BD38302D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777" name="Text Box 1">
          <a:extLst>
            <a:ext uri="{FF2B5EF4-FFF2-40B4-BE49-F238E27FC236}">
              <a16:creationId xmlns:a16="http://schemas.microsoft.com/office/drawing/2014/main" xmlns="" id="{E5A7284D-7393-49A7-9FA5-BBA77073F43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778" name="Text Box 1">
          <a:extLst>
            <a:ext uri="{FF2B5EF4-FFF2-40B4-BE49-F238E27FC236}">
              <a16:creationId xmlns:a16="http://schemas.microsoft.com/office/drawing/2014/main" xmlns="" id="{44BC6F1E-254B-4644-A8EF-7E4CD4FFC92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779" name="Text Box 1">
          <a:extLst>
            <a:ext uri="{FF2B5EF4-FFF2-40B4-BE49-F238E27FC236}">
              <a16:creationId xmlns:a16="http://schemas.microsoft.com/office/drawing/2014/main" xmlns="" id="{B5F200E3-F51F-4250-BF86-490DF71000F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780" name="Text Box 1">
          <a:extLst>
            <a:ext uri="{FF2B5EF4-FFF2-40B4-BE49-F238E27FC236}">
              <a16:creationId xmlns:a16="http://schemas.microsoft.com/office/drawing/2014/main" xmlns="" id="{35264F2D-A09F-43D7-9602-FB3A967920A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781" name="Text Box 1">
          <a:extLst>
            <a:ext uri="{FF2B5EF4-FFF2-40B4-BE49-F238E27FC236}">
              <a16:creationId xmlns:a16="http://schemas.microsoft.com/office/drawing/2014/main" xmlns="" id="{F3763AC8-8B52-4537-A983-80D10F371C1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782" name="Text Box 1">
          <a:extLst>
            <a:ext uri="{FF2B5EF4-FFF2-40B4-BE49-F238E27FC236}">
              <a16:creationId xmlns:a16="http://schemas.microsoft.com/office/drawing/2014/main" xmlns="" id="{E65469C9-ABC3-483D-920F-B71A087B992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783" name="Text Box 1">
          <a:extLst>
            <a:ext uri="{FF2B5EF4-FFF2-40B4-BE49-F238E27FC236}">
              <a16:creationId xmlns:a16="http://schemas.microsoft.com/office/drawing/2014/main" xmlns="" id="{E3096D0D-9EF8-4A50-9646-697433DC9D2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784" name="Text Box 1">
          <a:extLst>
            <a:ext uri="{FF2B5EF4-FFF2-40B4-BE49-F238E27FC236}">
              <a16:creationId xmlns:a16="http://schemas.microsoft.com/office/drawing/2014/main" xmlns="" id="{F76C42BF-0F61-4503-B73F-2E2858143A11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785" name="Text Box 1">
          <a:extLst>
            <a:ext uri="{FF2B5EF4-FFF2-40B4-BE49-F238E27FC236}">
              <a16:creationId xmlns:a16="http://schemas.microsoft.com/office/drawing/2014/main" xmlns="" id="{D048A4D0-269B-452A-9DFE-D88235A3BB1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786" name="Text Box 1">
          <a:extLst>
            <a:ext uri="{FF2B5EF4-FFF2-40B4-BE49-F238E27FC236}">
              <a16:creationId xmlns:a16="http://schemas.microsoft.com/office/drawing/2014/main" xmlns="" id="{3A0C4A78-F5EC-4CC8-A303-E0EA86A6803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787" name="Text Box 1">
          <a:extLst>
            <a:ext uri="{FF2B5EF4-FFF2-40B4-BE49-F238E27FC236}">
              <a16:creationId xmlns:a16="http://schemas.microsoft.com/office/drawing/2014/main" xmlns="" id="{9221C331-2254-4967-BCDD-B0A13020DDB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788" name="Text Box 1">
          <a:extLst>
            <a:ext uri="{FF2B5EF4-FFF2-40B4-BE49-F238E27FC236}">
              <a16:creationId xmlns:a16="http://schemas.microsoft.com/office/drawing/2014/main" xmlns="" id="{DAE0C459-B4E1-4EB8-BAA3-75BB4D5A34E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789" name="Text Box 1">
          <a:extLst>
            <a:ext uri="{FF2B5EF4-FFF2-40B4-BE49-F238E27FC236}">
              <a16:creationId xmlns:a16="http://schemas.microsoft.com/office/drawing/2014/main" xmlns="" id="{199D8C77-E2F6-41C2-BE2C-61E10C24928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790" name="Text Box 1">
          <a:extLst>
            <a:ext uri="{FF2B5EF4-FFF2-40B4-BE49-F238E27FC236}">
              <a16:creationId xmlns:a16="http://schemas.microsoft.com/office/drawing/2014/main" xmlns="" id="{D2F75E56-37FB-42A5-AACC-F1EB153FE94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791" name="Text Box 1">
          <a:extLst>
            <a:ext uri="{FF2B5EF4-FFF2-40B4-BE49-F238E27FC236}">
              <a16:creationId xmlns:a16="http://schemas.microsoft.com/office/drawing/2014/main" xmlns="" id="{E09A453B-1F0D-4522-9DD8-D68685C160C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792" name="Text Box 1">
          <a:extLst>
            <a:ext uri="{FF2B5EF4-FFF2-40B4-BE49-F238E27FC236}">
              <a16:creationId xmlns:a16="http://schemas.microsoft.com/office/drawing/2014/main" xmlns="" id="{F123CC88-2E62-4C84-8678-91B3D038AA3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793" name="Text Box 1">
          <a:extLst>
            <a:ext uri="{FF2B5EF4-FFF2-40B4-BE49-F238E27FC236}">
              <a16:creationId xmlns:a16="http://schemas.microsoft.com/office/drawing/2014/main" xmlns="" id="{3045D9A1-4FF8-45C8-9295-9111545C0FA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794" name="Text Box 1">
          <a:extLst>
            <a:ext uri="{FF2B5EF4-FFF2-40B4-BE49-F238E27FC236}">
              <a16:creationId xmlns:a16="http://schemas.microsoft.com/office/drawing/2014/main" xmlns="" id="{6ACEC086-3E7F-4147-8F7A-6F6C194296A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795" name="Text Box 1">
          <a:extLst>
            <a:ext uri="{FF2B5EF4-FFF2-40B4-BE49-F238E27FC236}">
              <a16:creationId xmlns:a16="http://schemas.microsoft.com/office/drawing/2014/main" xmlns="" id="{1DDBD896-092C-404A-81C4-FCD39DFC3A3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796" name="Text Box 1">
          <a:extLst>
            <a:ext uri="{FF2B5EF4-FFF2-40B4-BE49-F238E27FC236}">
              <a16:creationId xmlns:a16="http://schemas.microsoft.com/office/drawing/2014/main" xmlns="" id="{F62660E4-FC2C-46E7-BD0C-950155E3741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797" name="Text Box 1">
          <a:extLst>
            <a:ext uri="{FF2B5EF4-FFF2-40B4-BE49-F238E27FC236}">
              <a16:creationId xmlns:a16="http://schemas.microsoft.com/office/drawing/2014/main" xmlns="" id="{13395B30-5C8B-4C00-B05B-4DF607AB254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798" name="Text Box 1">
          <a:extLst>
            <a:ext uri="{FF2B5EF4-FFF2-40B4-BE49-F238E27FC236}">
              <a16:creationId xmlns:a16="http://schemas.microsoft.com/office/drawing/2014/main" xmlns="" id="{3866544A-221B-4B09-B0DF-B6ECA8D4C05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799" name="Text Box 1">
          <a:extLst>
            <a:ext uri="{FF2B5EF4-FFF2-40B4-BE49-F238E27FC236}">
              <a16:creationId xmlns:a16="http://schemas.microsoft.com/office/drawing/2014/main" xmlns="" id="{C4501AF5-EC49-410C-AFB6-003905A7767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800" name="Text Box 1">
          <a:extLst>
            <a:ext uri="{FF2B5EF4-FFF2-40B4-BE49-F238E27FC236}">
              <a16:creationId xmlns:a16="http://schemas.microsoft.com/office/drawing/2014/main" xmlns="" id="{FD68918F-764C-4F62-B031-3353D1DA882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801" name="Text Box 1">
          <a:extLst>
            <a:ext uri="{FF2B5EF4-FFF2-40B4-BE49-F238E27FC236}">
              <a16:creationId xmlns:a16="http://schemas.microsoft.com/office/drawing/2014/main" xmlns="" id="{065140EF-5832-44ED-8740-0BE7DD8A68F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802" name="Text Box 1">
          <a:extLst>
            <a:ext uri="{FF2B5EF4-FFF2-40B4-BE49-F238E27FC236}">
              <a16:creationId xmlns:a16="http://schemas.microsoft.com/office/drawing/2014/main" xmlns="" id="{AB614DCE-D6F1-4011-B9A1-231CC49ED67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803" name="Text Box 1">
          <a:extLst>
            <a:ext uri="{FF2B5EF4-FFF2-40B4-BE49-F238E27FC236}">
              <a16:creationId xmlns:a16="http://schemas.microsoft.com/office/drawing/2014/main" xmlns="" id="{FE6B3C95-B1AF-4F67-80E6-F4872AABAD8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804" name="Text Box 1">
          <a:extLst>
            <a:ext uri="{FF2B5EF4-FFF2-40B4-BE49-F238E27FC236}">
              <a16:creationId xmlns:a16="http://schemas.microsoft.com/office/drawing/2014/main" xmlns="" id="{9A3B5896-5E69-432A-9769-92476D814A8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805" name="Text Box 1">
          <a:extLst>
            <a:ext uri="{FF2B5EF4-FFF2-40B4-BE49-F238E27FC236}">
              <a16:creationId xmlns:a16="http://schemas.microsoft.com/office/drawing/2014/main" xmlns="" id="{6D31FEAA-6994-4701-80FB-AA518EE1692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806" name="Text Box 1">
          <a:extLst>
            <a:ext uri="{FF2B5EF4-FFF2-40B4-BE49-F238E27FC236}">
              <a16:creationId xmlns:a16="http://schemas.microsoft.com/office/drawing/2014/main" xmlns="" id="{6122E101-09E5-4B8C-9729-F432DD3F6B0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807" name="Text Box 1">
          <a:extLst>
            <a:ext uri="{FF2B5EF4-FFF2-40B4-BE49-F238E27FC236}">
              <a16:creationId xmlns:a16="http://schemas.microsoft.com/office/drawing/2014/main" xmlns="" id="{D8A8D274-AA1F-4C56-8E1E-6AECD8F524B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808" name="Text Box 1">
          <a:extLst>
            <a:ext uri="{FF2B5EF4-FFF2-40B4-BE49-F238E27FC236}">
              <a16:creationId xmlns:a16="http://schemas.microsoft.com/office/drawing/2014/main" xmlns="" id="{ED90009B-C0C2-4EB0-BE94-E249EE155C6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809" name="Text Box 1">
          <a:extLst>
            <a:ext uri="{FF2B5EF4-FFF2-40B4-BE49-F238E27FC236}">
              <a16:creationId xmlns:a16="http://schemas.microsoft.com/office/drawing/2014/main" xmlns="" id="{3F6EA300-E0B3-45D7-A0F3-DAEDD5D36B1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810" name="Text Box 1">
          <a:extLst>
            <a:ext uri="{FF2B5EF4-FFF2-40B4-BE49-F238E27FC236}">
              <a16:creationId xmlns:a16="http://schemas.microsoft.com/office/drawing/2014/main" xmlns="" id="{89E34D67-7165-4B7D-8430-95D55FFB6BF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811" name="Text Box 1">
          <a:extLst>
            <a:ext uri="{FF2B5EF4-FFF2-40B4-BE49-F238E27FC236}">
              <a16:creationId xmlns:a16="http://schemas.microsoft.com/office/drawing/2014/main" xmlns="" id="{1D391838-5B38-475A-96FB-4C8E0AE2C70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812" name="Text Box 1">
          <a:extLst>
            <a:ext uri="{FF2B5EF4-FFF2-40B4-BE49-F238E27FC236}">
              <a16:creationId xmlns:a16="http://schemas.microsoft.com/office/drawing/2014/main" xmlns="" id="{A361CBB6-337C-4A31-A7DD-8111041066D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813" name="Text Box 1">
          <a:extLst>
            <a:ext uri="{FF2B5EF4-FFF2-40B4-BE49-F238E27FC236}">
              <a16:creationId xmlns:a16="http://schemas.microsoft.com/office/drawing/2014/main" xmlns="" id="{03895A18-A045-4F2F-90E2-59D09515518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814" name="Text Box 1">
          <a:extLst>
            <a:ext uri="{FF2B5EF4-FFF2-40B4-BE49-F238E27FC236}">
              <a16:creationId xmlns:a16="http://schemas.microsoft.com/office/drawing/2014/main" xmlns="" id="{EE400E80-E0C5-4428-A89D-F4D170854A5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815" name="Text Box 1">
          <a:extLst>
            <a:ext uri="{FF2B5EF4-FFF2-40B4-BE49-F238E27FC236}">
              <a16:creationId xmlns:a16="http://schemas.microsoft.com/office/drawing/2014/main" xmlns="" id="{33FD96B9-B6A4-4BF6-89FB-4705A24F16C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816" name="Text Box 1">
          <a:extLst>
            <a:ext uri="{FF2B5EF4-FFF2-40B4-BE49-F238E27FC236}">
              <a16:creationId xmlns:a16="http://schemas.microsoft.com/office/drawing/2014/main" xmlns="" id="{03FBD309-A110-4928-BB36-3116095834E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817" name="Text Box 1">
          <a:extLst>
            <a:ext uri="{FF2B5EF4-FFF2-40B4-BE49-F238E27FC236}">
              <a16:creationId xmlns:a16="http://schemas.microsoft.com/office/drawing/2014/main" xmlns="" id="{22D0083D-37AF-4E86-8309-50355C30E20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818" name="Text Box 1">
          <a:extLst>
            <a:ext uri="{FF2B5EF4-FFF2-40B4-BE49-F238E27FC236}">
              <a16:creationId xmlns:a16="http://schemas.microsoft.com/office/drawing/2014/main" xmlns="" id="{2F05B4BC-76D7-4565-BA5B-B5A6D0462D5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819" name="Text Box 1">
          <a:extLst>
            <a:ext uri="{FF2B5EF4-FFF2-40B4-BE49-F238E27FC236}">
              <a16:creationId xmlns:a16="http://schemas.microsoft.com/office/drawing/2014/main" xmlns="" id="{90D86E80-9520-44EC-AE06-E6F5DCD3A62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820" name="Text Box 1">
          <a:extLst>
            <a:ext uri="{FF2B5EF4-FFF2-40B4-BE49-F238E27FC236}">
              <a16:creationId xmlns:a16="http://schemas.microsoft.com/office/drawing/2014/main" xmlns="" id="{89A8F3A9-DFF1-4706-8AB7-F3701DA6AB6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821" name="Text Box 1">
          <a:extLst>
            <a:ext uri="{FF2B5EF4-FFF2-40B4-BE49-F238E27FC236}">
              <a16:creationId xmlns:a16="http://schemas.microsoft.com/office/drawing/2014/main" xmlns="" id="{C0F21AA4-2E27-4522-BE8C-EF4537B1E12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822" name="Text Box 1">
          <a:extLst>
            <a:ext uri="{FF2B5EF4-FFF2-40B4-BE49-F238E27FC236}">
              <a16:creationId xmlns:a16="http://schemas.microsoft.com/office/drawing/2014/main" xmlns="" id="{394F3495-BA33-47A3-8269-95092557900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823" name="Text Box 1">
          <a:extLst>
            <a:ext uri="{FF2B5EF4-FFF2-40B4-BE49-F238E27FC236}">
              <a16:creationId xmlns:a16="http://schemas.microsoft.com/office/drawing/2014/main" xmlns="" id="{BFE0D55E-8751-4846-AE98-CB44A76E900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824" name="Text Box 1">
          <a:extLst>
            <a:ext uri="{FF2B5EF4-FFF2-40B4-BE49-F238E27FC236}">
              <a16:creationId xmlns:a16="http://schemas.microsoft.com/office/drawing/2014/main" xmlns="" id="{48F42DFD-C5E1-47E3-887D-86BB478A534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825" name="Text Box 1">
          <a:extLst>
            <a:ext uri="{FF2B5EF4-FFF2-40B4-BE49-F238E27FC236}">
              <a16:creationId xmlns:a16="http://schemas.microsoft.com/office/drawing/2014/main" xmlns="" id="{4ABC2C23-9ADF-4B67-AA70-5CE4F9C30D5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826" name="Text Box 1">
          <a:extLst>
            <a:ext uri="{FF2B5EF4-FFF2-40B4-BE49-F238E27FC236}">
              <a16:creationId xmlns:a16="http://schemas.microsoft.com/office/drawing/2014/main" xmlns="" id="{CF97DD9E-D227-4FDB-A690-00C7F50D9E0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827" name="Text Box 1">
          <a:extLst>
            <a:ext uri="{FF2B5EF4-FFF2-40B4-BE49-F238E27FC236}">
              <a16:creationId xmlns:a16="http://schemas.microsoft.com/office/drawing/2014/main" xmlns="" id="{EE85A845-E21D-48FE-8024-8E56ACE646E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828" name="Text Box 1">
          <a:extLst>
            <a:ext uri="{FF2B5EF4-FFF2-40B4-BE49-F238E27FC236}">
              <a16:creationId xmlns:a16="http://schemas.microsoft.com/office/drawing/2014/main" xmlns="" id="{D2254303-1A6B-48F3-82FB-EC481E70F86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829" name="Text Box 1">
          <a:extLst>
            <a:ext uri="{FF2B5EF4-FFF2-40B4-BE49-F238E27FC236}">
              <a16:creationId xmlns:a16="http://schemas.microsoft.com/office/drawing/2014/main" xmlns="" id="{E011AA90-C30E-4B9E-9C6F-C8AF3F4301D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830" name="Text Box 1">
          <a:extLst>
            <a:ext uri="{FF2B5EF4-FFF2-40B4-BE49-F238E27FC236}">
              <a16:creationId xmlns:a16="http://schemas.microsoft.com/office/drawing/2014/main" xmlns="" id="{49A51103-1F27-4D45-A1EB-8633247BC72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831" name="Text Box 1">
          <a:extLst>
            <a:ext uri="{FF2B5EF4-FFF2-40B4-BE49-F238E27FC236}">
              <a16:creationId xmlns:a16="http://schemas.microsoft.com/office/drawing/2014/main" xmlns="" id="{39A2ECAA-363C-495D-A549-14E481EA84B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832" name="Text Box 1">
          <a:extLst>
            <a:ext uri="{FF2B5EF4-FFF2-40B4-BE49-F238E27FC236}">
              <a16:creationId xmlns:a16="http://schemas.microsoft.com/office/drawing/2014/main" xmlns="" id="{9620594E-57F4-4CB1-A787-AF84B4D883A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833" name="Text Box 1">
          <a:extLst>
            <a:ext uri="{FF2B5EF4-FFF2-40B4-BE49-F238E27FC236}">
              <a16:creationId xmlns:a16="http://schemas.microsoft.com/office/drawing/2014/main" xmlns="" id="{FAB2C18A-427F-409D-B99E-61BFBACFCD1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834" name="Text Box 1">
          <a:extLst>
            <a:ext uri="{FF2B5EF4-FFF2-40B4-BE49-F238E27FC236}">
              <a16:creationId xmlns:a16="http://schemas.microsoft.com/office/drawing/2014/main" xmlns="" id="{10E93E9B-DBD7-438C-9E6F-403BCB73EB4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835" name="Text Box 1">
          <a:extLst>
            <a:ext uri="{FF2B5EF4-FFF2-40B4-BE49-F238E27FC236}">
              <a16:creationId xmlns:a16="http://schemas.microsoft.com/office/drawing/2014/main" xmlns="" id="{8B48ECF7-4531-433F-B471-FF64D9646F4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836" name="Text Box 1">
          <a:extLst>
            <a:ext uri="{FF2B5EF4-FFF2-40B4-BE49-F238E27FC236}">
              <a16:creationId xmlns:a16="http://schemas.microsoft.com/office/drawing/2014/main" xmlns="" id="{02721A93-EB7F-4CF8-86AC-AB803FBCCA6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837" name="Text Box 1">
          <a:extLst>
            <a:ext uri="{FF2B5EF4-FFF2-40B4-BE49-F238E27FC236}">
              <a16:creationId xmlns:a16="http://schemas.microsoft.com/office/drawing/2014/main" xmlns="" id="{FC9E7959-8D20-4F96-AD39-A49F74F6FCE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838" name="Text Box 1">
          <a:extLst>
            <a:ext uri="{FF2B5EF4-FFF2-40B4-BE49-F238E27FC236}">
              <a16:creationId xmlns:a16="http://schemas.microsoft.com/office/drawing/2014/main" xmlns="" id="{A86C7AA0-9EEA-4381-88B0-5BF8149E29D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839" name="Text Box 1">
          <a:extLst>
            <a:ext uri="{FF2B5EF4-FFF2-40B4-BE49-F238E27FC236}">
              <a16:creationId xmlns:a16="http://schemas.microsoft.com/office/drawing/2014/main" xmlns="" id="{40F0DB46-17D0-47CF-8E8B-CD8127D41151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840" name="Text Box 1">
          <a:extLst>
            <a:ext uri="{FF2B5EF4-FFF2-40B4-BE49-F238E27FC236}">
              <a16:creationId xmlns:a16="http://schemas.microsoft.com/office/drawing/2014/main" xmlns="" id="{5ABE4795-FEC2-4B98-9FC6-2F24C07A68C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841" name="Text Box 1">
          <a:extLst>
            <a:ext uri="{FF2B5EF4-FFF2-40B4-BE49-F238E27FC236}">
              <a16:creationId xmlns:a16="http://schemas.microsoft.com/office/drawing/2014/main" xmlns="" id="{7AFB9ED2-6ABE-4CDA-B148-56F74BA81F0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842" name="Text Box 1">
          <a:extLst>
            <a:ext uri="{FF2B5EF4-FFF2-40B4-BE49-F238E27FC236}">
              <a16:creationId xmlns:a16="http://schemas.microsoft.com/office/drawing/2014/main" xmlns="" id="{164CEAAA-3D94-4F7F-8EBB-A3AAF652AB7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843" name="Text Box 1">
          <a:extLst>
            <a:ext uri="{FF2B5EF4-FFF2-40B4-BE49-F238E27FC236}">
              <a16:creationId xmlns:a16="http://schemas.microsoft.com/office/drawing/2014/main" xmlns="" id="{2E5D9ADD-B78C-4B77-92D8-0D88608E1CF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844" name="Text Box 1">
          <a:extLst>
            <a:ext uri="{FF2B5EF4-FFF2-40B4-BE49-F238E27FC236}">
              <a16:creationId xmlns:a16="http://schemas.microsoft.com/office/drawing/2014/main" xmlns="" id="{EDB515A9-A15D-43D0-8841-566539ED649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845" name="Text Box 1">
          <a:extLst>
            <a:ext uri="{FF2B5EF4-FFF2-40B4-BE49-F238E27FC236}">
              <a16:creationId xmlns:a16="http://schemas.microsoft.com/office/drawing/2014/main" xmlns="" id="{0D2EC3C6-EED3-4E32-8304-71EA0FD0442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846" name="Text Box 1">
          <a:extLst>
            <a:ext uri="{FF2B5EF4-FFF2-40B4-BE49-F238E27FC236}">
              <a16:creationId xmlns:a16="http://schemas.microsoft.com/office/drawing/2014/main" xmlns="" id="{F06FB8FA-3FC9-42B9-AB8E-98862299DAC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847" name="Text Box 1">
          <a:extLst>
            <a:ext uri="{FF2B5EF4-FFF2-40B4-BE49-F238E27FC236}">
              <a16:creationId xmlns:a16="http://schemas.microsoft.com/office/drawing/2014/main" xmlns="" id="{F4ACCD3E-D713-4A7E-BBA1-A23DB6AA757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848" name="Text Box 1">
          <a:extLst>
            <a:ext uri="{FF2B5EF4-FFF2-40B4-BE49-F238E27FC236}">
              <a16:creationId xmlns:a16="http://schemas.microsoft.com/office/drawing/2014/main" xmlns="" id="{A5D02074-562A-4666-9AFA-D52421E443B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849" name="Text Box 1">
          <a:extLst>
            <a:ext uri="{FF2B5EF4-FFF2-40B4-BE49-F238E27FC236}">
              <a16:creationId xmlns:a16="http://schemas.microsoft.com/office/drawing/2014/main" xmlns="" id="{D85479DE-8EE6-4C5D-9F8C-C0DD3AA7216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850" name="Text Box 1">
          <a:extLst>
            <a:ext uri="{FF2B5EF4-FFF2-40B4-BE49-F238E27FC236}">
              <a16:creationId xmlns:a16="http://schemas.microsoft.com/office/drawing/2014/main" xmlns="" id="{8E4F16CF-1026-4DB8-A872-F82116DB645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851" name="Text Box 1">
          <a:extLst>
            <a:ext uri="{FF2B5EF4-FFF2-40B4-BE49-F238E27FC236}">
              <a16:creationId xmlns:a16="http://schemas.microsoft.com/office/drawing/2014/main" xmlns="" id="{5FD8E48D-5314-42DC-87B3-9338DDF3193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852" name="Text Box 1">
          <a:extLst>
            <a:ext uri="{FF2B5EF4-FFF2-40B4-BE49-F238E27FC236}">
              <a16:creationId xmlns:a16="http://schemas.microsoft.com/office/drawing/2014/main" xmlns="" id="{D0EA74E0-1327-471B-A53C-928903CD51F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853" name="Text Box 1">
          <a:extLst>
            <a:ext uri="{FF2B5EF4-FFF2-40B4-BE49-F238E27FC236}">
              <a16:creationId xmlns:a16="http://schemas.microsoft.com/office/drawing/2014/main" xmlns="" id="{4998ECC4-1C38-43B9-AF62-77D7A29659D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854" name="Text Box 1">
          <a:extLst>
            <a:ext uri="{FF2B5EF4-FFF2-40B4-BE49-F238E27FC236}">
              <a16:creationId xmlns:a16="http://schemas.microsoft.com/office/drawing/2014/main" xmlns="" id="{7960BD7F-2682-4397-917E-8781AE5B802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855" name="Text Box 1">
          <a:extLst>
            <a:ext uri="{FF2B5EF4-FFF2-40B4-BE49-F238E27FC236}">
              <a16:creationId xmlns:a16="http://schemas.microsoft.com/office/drawing/2014/main" xmlns="" id="{2017CEC5-0895-4FC3-94C9-5A0EECDC391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856" name="Text Box 1">
          <a:extLst>
            <a:ext uri="{FF2B5EF4-FFF2-40B4-BE49-F238E27FC236}">
              <a16:creationId xmlns:a16="http://schemas.microsoft.com/office/drawing/2014/main" xmlns="" id="{40EE74F3-B056-4A8D-8FCF-55245837702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857" name="Text Box 1">
          <a:extLst>
            <a:ext uri="{FF2B5EF4-FFF2-40B4-BE49-F238E27FC236}">
              <a16:creationId xmlns:a16="http://schemas.microsoft.com/office/drawing/2014/main" xmlns="" id="{11EDB0A6-EE42-4389-90B8-111BE5958CC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858" name="Text Box 1">
          <a:extLst>
            <a:ext uri="{FF2B5EF4-FFF2-40B4-BE49-F238E27FC236}">
              <a16:creationId xmlns:a16="http://schemas.microsoft.com/office/drawing/2014/main" xmlns="" id="{C7B67679-19B7-4E70-8848-3DFB89CCD1D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859" name="Text Box 1">
          <a:extLst>
            <a:ext uri="{FF2B5EF4-FFF2-40B4-BE49-F238E27FC236}">
              <a16:creationId xmlns:a16="http://schemas.microsoft.com/office/drawing/2014/main" xmlns="" id="{1F0EF013-0428-4D16-8A52-69A6B6CBF61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860" name="Text Box 1">
          <a:extLst>
            <a:ext uri="{FF2B5EF4-FFF2-40B4-BE49-F238E27FC236}">
              <a16:creationId xmlns:a16="http://schemas.microsoft.com/office/drawing/2014/main" xmlns="" id="{F6EE1BBD-345F-4E14-8600-135B8C3CA82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861" name="Text Box 1">
          <a:extLst>
            <a:ext uri="{FF2B5EF4-FFF2-40B4-BE49-F238E27FC236}">
              <a16:creationId xmlns:a16="http://schemas.microsoft.com/office/drawing/2014/main" xmlns="" id="{5D6CDF39-269F-4B34-9518-43C30D9158C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862" name="Text Box 1">
          <a:extLst>
            <a:ext uri="{FF2B5EF4-FFF2-40B4-BE49-F238E27FC236}">
              <a16:creationId xmlns:a16="http://schemas.microsoft.com/office/drawing/2014/main" xmlns="" id="{26CD469D-F1C0-4C39-B6A4-32FBC1FBE7C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863" name="Text Box 1">
          <a:extLst>
            <a:ext uri="{FF2B5EF4-FFF2-40B4-BE49-F238E27FC236}">
              <a16:creationId xmlns:a16="http://schemas.microsoft.com/office/drawing/2014/main" xmlns="" id="{E235408E-DD54-495A-BDA2-885E1A961991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864" name="Text Box 1">
          <a:extLst>
            <a:ext uri="{FF2B5EF4-FFF2-40B4-BE49-F238E27FC236}">
              <a16:creationId xmlns:a16="http://schemas.microsoft.com/office/drawing/2014/main" xmlns="" id="{6E04F26C-9FFA-4330-89B1-B7801654857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865" name="Text Box 1">
          <a:extLst>
            <a:ext uri="{FF2B5EF4-FFF2-40B4-BE49-F238E27FC236}">
              <a16:creationId xmlns:a16="http://schemas.microsoft.com/office/drawing/2014/main" xmlns="" id="{DB5882FE-55A9-4E62-BC1E-15C8EA6F39B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866" name="Text Box 1">
          <a:extLst>
            <a:ext uri="{FF2B5EF4-FFF2-40B4-BE49-F238E27FC236}">
              <a16:creationId xmlns:a16="http://schemas.microsoft.com/office/drawing/2014/main" xmlns="" id="{637FA158-E9E7-45BB-9D71-5B911DEE2BF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867" name="Text Box 1">
          <a:extLst>
            <a:ext uri="{FF2B5EF4-FFF2-40B4-BE49-F238E27FC236}">
              <a16:creationId xmlns:a16="http://schemas.microsoft.com/office/drawing/2014/main" xmlns="" id="{3859B721-9773-4FB2-931E-9D927A73BBB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868" name="Text Box 1">
          <a:extLst>
            <a:ext uri="{FF2B5EF4-FFF2-40B4-BE49-F238E27FC236}">
              <a16:creationId xmlns:a16="http://schemas.microsoft.com/office/drawing/2014/main" xmlns="" id="{4DC33EF6-72DB-4CF5-B8E7-641521C8880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869" name="Text Box 1">
          <a:extLst>
            <a:ext uri="{FF2B5EF4-FFF2-40B4-BE49-F238E27FC236}">
              <a16:creationId xmlns:a16="http://schemas.microsoft.com/office/drawing/2014/main" xmlns="" id="{75130A0C-CF0D-4749-8927-3533E224F01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870" name="Text Box 1">
          <a:extLst>
            <a:ext uri="{FF2B5EF4-FFF2-40B4-BE49-F238E27FC236}">
              <a16:creationId xmlns:a16="http://schemas.microsoft.com/office/drawing/2014/main" xmlns="" id="{A7C239EC-AB3D-48EB-987B-D5CA2ABA5B1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871" name="Text Box 1">
          <a:extLst>
            <a:ext uri="{FF2B5EF4-FFF2-40B4-BE49-F238E27FC236}">
              <a16:creationId xmlns:a16="http://schemas.microsoft.com/office/drawing/2014/main" xmlns="" id="{9B653FB8-FC17-40A8-9031-271DFEE1A6B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872" name="Text Box 1">
          <a:extLst>
            <a:ext uri="{FF2B5EF4-FFF2-40B4-BE49-F238E27FC236}">
              <a16:creationId xmlns:a16="http://schemas.microsoft.com/office/drawing/2014/main" xmlns="" id="{7A7E886D-BC46-4118-A653-AF3783E6B97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873" name="Text Box 1">
          <a:extLst>
            <a:ext uri="{FF2B5EF4-FFF2-40B4-BE49-F238E27FC236}">
              <a16:creationId xmlns:a16="http://schemas.microsoft.com/office/drawing/2014/main" xmlns="" id="{17AABB74-E6C4-481F-AEA0-10444B8D1D7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874" name="Text Box 1">
          <a:extLst>
            <a:ext uri="{FF2B5EF4-FFF2-40B4-BE49-F238E27FC236}">
              <a16:creationId xmlns:a16="http://schemas.microsoft.com/office/drawing/2014/main" xmlns="" id="{B41A1D1D-E5B8-4424-8080-1689D5AA51E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875" name="Text Box 1">
          <a:extLst>
            <a:ext uri="{FF2B5EF4-FFF2-40B4-BE49-F238E27FC236}">
              <a16:creationId xmlns:a16="http://schemas.microsoft.com/office/drawing/2014/main" xmlns="" id="{DE87AFE1-8580-4255-A229-61FC73D754B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876" name="Text Box 1">
          <a:extLst>
            <a:ext uri="{FF2B5EF4-FFF2-40B4-BE49-F238E27FC236}">
              <a16:creationId xmlns:a16="http://schemas.microsoft.com/office/drawing/2014/main" xmlns="" id="{B0F8DAE7-2C9E-4272-B8BF-373455029F6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877" name="Text Box 1">
          <a:extLst>
            <a:ext uri="{FF2B5EF4-FFF2-40B4-BE49-F238E27FC236}">
              <a16:creationId xmlns:a16="http://schemas.microsoft.com/office/drawing/2014/main" xmlns="" id="{4EB6A183-31CE-4AB3-B68C-FAF9A7EB212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878" name="Text Box 1">
          <a:extLst>
            <a:ext uri="{FF2B5EF4-FFF2-40B4-BE49-F238E27FC236}">
              <a16:creationId xmlns:a16="http://schemas.microsoft.com/office/drawing/2014/main" xmlns="" id="{7DC60D37-D2ED-4FA5-BC1B-62D60ED7A83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879" name="Text Box 1">
          <a:extLst>
            <a:ext uri="{FF2B5EF4-FFF2-40B4-BE49-F238E27FC236}">
              <a16:creationId xmlns:a16="http://schemas.microsoft.com/office/drawing/2014/main" xmlns="" id="{BFA7B7EE-4586-4179-84EB-A6F9C87601E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880" name="Text Box 1">
          <a:extLst>
            <a:ext uri="{FF2B5EF4-FFF2-40B4-BE49-F238E27FC236}">
              <a16:creationId xmlns:a16="http://schemas.microsoft.com/office/drawing/2014/main" xmlns="" id="{3F95BB3E-8041-4CD2-9C0C-DB70E4F35C5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881" name="Text Box 1">
          <a:extLst>
            <a:ext uri="{FF2B5EF4-FFF2-40B4-BE49-F238E27FC236}">
              <a16:creationId xmlns:a16="http://schemas.microsoft.com/office/drawing/2014/main" xmlns="" id="{0725E569-8F04-44E7-9D03-F92D2F25625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882" name="Text Box 1">
          <a:extLst>
            <a:ext uri="{FF2B5EF4-FFF2-40B4-BE49-F238E27FC236}">
              <a16:creationId xmlns:a16="http://schemas.microsoft.com/office/drawing/2014/main" xmlns="" id="{A5C5D585-BD56-4F37-A919-A1C3DF07E25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883" name="Text Box 1">
          <a:extLst>
            <a:ext uri="{FF2B5EF4-FFF2-40B4-BE49-F238E27FC236}">
              <a16:creationId xmlns:a16="http://schemas.microsoft.com/office/drawing/2014/main" xmlns="" id="{2A14F834-60F4-4C44-9384-4F3944A0635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884" name="Text Box 1">
          <a:extLst>
            <a:ext uri="{FF2B5EF4-FFF2-40B4-BE49-F238E27FC236}">
              <a16:creationId xmlns:a16="http://schemas.microsoft.com/office/drawing/2014/main" xmlns="" id="{C074304B-2BC4-4F03-BB22-90A75EED435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885" name="Text Box 1">
          <a:extLst>
            <a:ext uri="{FF2B5EF4-FFF2-40B4-BE49-F238E27FC236}">
              <a16:creationId xmlns:a16="http://schemas.microsoft.com/office/drawing/2014/main" xmlns="" id="{D11CF07A-6CE4-4C40-AC41-FED7316116D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886" name="Text Box 1">
          <a:extLst>
            <a:ext uri="{FF2B5EF4-FFF2-40B4-BE49-F238E27FC236}">
              <a16:creationId xmlns:a16="http://schemas.microsoft.com/office/drawing/2014/main" xmlns="" id="{D52F9D48-4A31-4B91-B327-0C0D75CECFE1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887" name="Text Box 1">
          <a:extLst>
            <a:ext uri="{FF2B5EF4-FFF2-40B4-BE49-F238E27FC236}">
              <a16:creationId xmlns:a16="http://schemas.microsoft.com/office/drawing/2014/main" xmlns="" id="{6AD316DB-AD39-4718-A780-3D0300DBFE7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888" name="Text Box 1">
          <a:extLst>
            <a:ext uri="{FF2B5EF4-FFF2-40B4-BE49-F238E27FC236}">
              <a16:creationId xmlns:a16="http://schemas.microsoft.com/office/drawing/2014/main" xmlns="" id="{5BAA58D0-D107-48DD-923C-7B32356A1F2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889" name="Text Box 1">
          <a:extLst>
            <a:ext uri="{FF2B5EF4-FFF2-40B4-BE49-F238E27FC236}">
              <a16:creationId xmlns:a16="http://schemas.microsoft.com/office/drawing/2014/main" xmlns="" id="{B9ADFE79-6309-4A21-AAC8-54E7B7E24EE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890" name="Text Box 1">
          <a:extLst>
            <a:ext uri="{FF2B5EF4-FFF2-40B4-BE49-F238E27FC236}">
              <a16:creationId xmlns:a16="http://schemas.microsoft.com/office/drawing/2014/main" xmlns="" id="{274A0B1A-B829-4C97-800F-A195448B2F4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891" name="Text Box 1">
          <a:extLst>
            <a:ext uri="{FF2B5EF4-FFF2-40B4-BE49-F238E27FC236}">
              <a16:creationId xmlns:a16="http://schemas.microsoft.com/office/drawing/2014/main" xmlns="" id="{0E97FF47-1D9A-439B-ACFD-F243A8BC7A0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892" name="Text Box 1">
          <a:extLst>
            <a:ext uri="{FF2B5EF4-FFF2-40B4-BE49-F238E27FC236}">
              <a16:creationId xmlns:a16="http://schemas.microsoft.com/office/drawing/2014/main" xmlns="" id="{7CC90AD9-7E3E-4B4C-B448-20DA18A0291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893" name="Text Box 1">
          <a:extLst>
            <a:ext uri="{FF2B5EF4-FFF2-40B4-BE49-F238E27FC236}">
              <a16:creationId xmlns:a16="http://schemas.microsoft.com/office/drawing/2014/main" xmlns="" id="{E7F7374B-C83E-4F91-8C41-168F2403D481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894" name="Text Box 1">
          <a:extLst>
            <a:ext uri="{FF2B5EF4-FFF2-40B4-BE49-F238E27FC236}">
              <a16:creationId xmlns:a16="http://schemas.microsoft.com/office/drawing/2014/main" xmlns="" id="{073BA5DE-520F-460F-9F64-A410EA865A5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895" name="Text Box 1">
          <a:extLst>
            <a:ext uri="{FF2B5EF4-FFF2-40B4-BE49-F238E27FC236}">
              <a16:creationId xmlns:a16="http://schemas.microsoft.com/office/drawing/2014/main" xmlns="" id="{786C27A2-C2FB-4856-B076-F0CA1CB4EBA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896" name="Text Box 1">
          <a:extLst>
            <a:ext uri="{FF2B5EF4-FFF2-40B4-BE49-F238E27FC236}">
              <a16:creationId xmlns:a16="http://schemas.microsoft.com/office/drawing/2014/main" xmlns="" id="{08A1696B-4954-4320-9F00-135A63CA65A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897" name="Text Box 1">
          <a:extLst>
            <a:ext uri="{FF2B5EF4-FFF2-40B4-BE49-F238E27FC236}">
              <a16:creationId xmlns:a16="http://schemas.microsoft.com/office/drawing/2014/main" xmlns="" id="{6CF7885E-8330-4F99-918E-DE3943D4E51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898" name="Text Box 1">
          <a:extLst>
            <a:ext uri="{FF2B5EF4-FFF2-40B4-BE49-F238E27FC236}">
              <a16:creationId xmlns:a16="http://schemas.microsoft.com/office/drawing/2014/main" xmlns="" id="{53250AD4-F33B-4623-AB3B-F0AD86246D21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899" name="Text Box 1">
          <a:extLst>
            <a:ext uri="{FF2B5EF4-FFF2-40B4-BE49-F238E27FC236}">
              <a16:creationId xmlns:a16="http://schemas.microsoft.com/office/drawing/2014/main" xmlns="" id="{3201320A-2704-41B0-B0E8-B40241C061E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900" name="Text Box 1">
          <a:extLst>
            <a:ext uri="{FF2B5EF4-FFF2-40B4-BE49-F238E27FC236}">
              <a16:creationId xmlns:a16="http://schemas.microsoft.com/office/drawing/2014/main" xmlns="" id="{910D728E-D23F-4A4E-8D74-E6B236F96C5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901" name="Text Box 1">
          <a:extLst>
            <a:ext uri="{FF2B5EF4-FFF2-40B4-BE49-F238E27FC236}">
              <a16:creationId xmlns:a16="http://schemas.microsoft.com/office/drawing/2014/main" xmlns="" id="{97E5DC06-DBE3-44E1-A57D-92DD2F86A3E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902" name="Text Box 1">
          <a:extLst>
            <a:ext uri="{FF2B5EF4-FFF2-40B4-BE49-F238E27FC236}">
              <a16:creationId xmlns:a16="http://schemas.microsoft.com/office/drawing/2014/main" xmlns="" id="{0282DEFE-0F88-411B-BC10-BDBFA30A80C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903" name="Text Box 1">
          <a:extLst>
            <a:ext uri="{FF2B5EF4-FFF2-40B4-BE49-F238E27FC236}">
              <a16:creationId xmlns:a16="http://schemas.microsoft.com/office/drawing/2014/main" xmlns="" id="{0E74B4D9-43EC-4BD8-BC54-0671A8C8D60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904" name="Text Box 1">
          <a:extLst>
            <a:ext uri="{FF2B5EF4-FFF2-40B4-BE49-F238E27FC236}">
              <a16:creationId xmlns:a16="http://schemas.microsoft.com/office/drawing/2014/main" xmlns="" id="{C6624191-6779-4209-822B-E17FA2C9C6D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905" name="Text Box 1">
          <a:extLst>
            <a:ext uri="{FF2B5EF4-FFF2-40B4-BE49-F238E27FC236}">
              <a16:creationId xmlns:a16="http://schemas.microsoft.com/office/drawing/2014/main" xmlns="" id="{DD0CC19F-1E04-429A-89FC-06BFB99FFAC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906" name="Text Box 1">
          <a:extLst>
            <a:ext uri="{FF2B5EF4-FFF2-40B4-BE49-F238E27FC236}">
              <a16:creationId xmlns:a16="http://schemas.microsoft.com/office/drawing/2014/main" xmlns="" id="{5165A306-9D81-47F3-B679-046381968BC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907" name="Text Box 1">
          <a:extLst>
            <a:ext uri="{FF2B5EF4-FFF2-40B4-BE49-F238E27FC236}">
              <a16:creationId xmlns:a16="http://schemas.microsoft.com/office/drawing/2014/main" xmlns="" id="{891CF9AA-C775-4EA7-B418-3CE1B7F32F9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908" name="Text Box 1">
          <a:extLst>
            <a:ext uri="{FF2B5EF4-FFF2-40B4-BE49-F238E27FC236}">
              <a16:creationId xmlns:a16="http://schemas.microsoft.com/office/drawing/2014/main" xmlns="" id="{CD6B42F2-084B-476E-AB45-654331024DE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909" name="Text Box 1">
          <a:extLst>
            <a:ext uri="{FF2B5EF4-FFF2-40B4-BE49-F238E27FC236}">
              <a16:creationId xmlns:a16="http://schemas.microsoft.com/office/drawing/2014/main" xmlns="" id="{CB7DE858-D554-468F-9FCD-28F625DA036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910" name="Text Box 1">
          <a:extLst>
            <a:ext uri="{FF2B5EF4-FFF2-40B4-BE49-F238E27FC236}">
              <a16:creationId xmlns:a16="http://schemas.microsoft.com/office/drawing/2014/main" xmlns="" id="{C7AFABF6-965E-44D3-BC03-9C28C6CB0F4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911" name="Text Box 1">
          <a:extLst>
            <a:ext uri="{FF2B5EF4-FFF2-40B4-BE49-F238E27FC236}">
              <a16:creationId xmlns:a16="http://schemas.microsoft.com/office/drawing/2014/main" xmlns="" id="{DFBCC802-2122-4F99-B9F1-EA9F4196C4B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912" name="Text Box 1">
          <a:extLst>
            <a:ext uri="{FF2B5EF4-FFF2-40B4-BE49-F238E27FC236}">
              <a16:creationId xmlns:a16="http://schemas.microsoft.com/office/drawing/2014/main" xmlns="" id="{4EA4C387-D37A-4404-A582-01DFEC7F25E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913" name="Text Box 1">
          <a:extLst>
            <a:ext uri="{FF2B5EF4-FFF2-40B4-BE49-F238E27FC236}">
              <a16:creationId xmlns:a16="http://schemas.microsoft.com/office/drawing/2014/main" xmlns="" id="{67BD2418-4649-434E-8191-50B203980D2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914" name="Text Box 1">
          <a:extLst>
            <a:ext uri="{FF2B5EF4-FFF2-40B4-BE49-F238E27FC236}">
              <a16:creationId xmlns:a16="http://schemas.microsoft.com/office/drawing/2014/main" xmlns="" id="{84AE465C-5323-40E7-9C5C-69D9F03F3E2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915" name="Text Box 1">
          <a:extLst>
            <a:ext uri="{FF2B5EF4-FFF2-40B4-BE49-F238E27FC236}">
              <a16:creationId xmlns:a16="http://schemas.microsoft.com/office/drawing/2014/main" xmlns="" id="{78940443-98CC-4F9D-8EB7-8B2676D964B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916" name="Text Box 1">
          <a:extLst>
            <a:ext uri="{FF2B5EF4-FFF2-40B4-BE49-F238E27FC236}">
              <a16:creationId xmlns:a16="http://schemas.microsoft.com/office/drawing/2014/main" xmlns="" id="{5A04F2D8-83BD-4861-9A80-F488B0005E21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917" name="Text Box 1">
          <a:extLst>
            <a:ext uri="{FF2B5EF4-FFF2-40B4-BE49-F238E27FC236}">
              <a16:creationId xmlns:a16="http://schemas.microsoft.com/office/drawing/2014/main" xmlns="" id="{7C91FB24-0196-4875-8746-899971884E9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918" name="Text Box 1">
          <a:extLst>
            <a:ext uri="{FF2B5EF4-FFF2-40B4-BE49-F238E27FC236}">
              <a16:creationId xmlns:a16="http://schemas.microsoft.com/office/drawing/2014/main" xmlns="" id="{6B7F4A5F-078D-4051-B6E1-288235A8D0E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919" name="Text Box 1">
          <a:extLst>
            <a:ext uri="{FF2B5EF4-FFF2-40B4-BE49-F238E27FC236}">
              <a16:creationId xmlns:a16="http://schemas.microsoft.com/office/drawing/2014/main" xmlns="" id="{2A17546C-B6AE-4F0C-A3F1-43865E497D0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920" name="Text Box 1">
          <a:extLst>
            <a:ext uri="{FF2B5EF4-FFF2-40B4-BE49-F238E27FC236}">
              <a16:creationId xmlns:a16="http://schemas.microsoft.com/office/drawing/2014/main" xmlns="" id="{A209FC94-A92E-489B-BD03-9742F77DFBD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921" name="Text Box 1">
          <a:extLst>
            <a:ext uri="{FF2B5EF4-FFF2-40B4-BE49-F238E27FC236}">
              <a16:creationId xmlns:a16="http://schemas.microsoft.com/office/drawing/2014/main" xmlns="" id="{21B0AA62-0597-40FB-AE53-E5519945ADC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922" name="Text Box 1">
          <a:extLst>
            <a:ext uri="{FF2B5EF4-FFF2-40B4-BE49-F238E27FC236}">
              <a16:creationId xmlns:a16="http://schemas.microsoft.com/office/drawing/2014/main" xmlns="" id="{16021214-DEE5-4F27-B745-8D35B144915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923" name="Text Box 1">
          <a:extLst>
            <a:ext uri="{FF2B5EF4-FFF2-40B4-BE49-F238E27FC236}">
              <a16:creationId xmlns:a16="http://schemas.microsoft.com/office/drawing/2014/main" xmlns="" id="{9B04EF3C-912C-4673-9634-2394EA76ED5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924" name="Text Box 1">
          <a:extLst>
            <a:ext uri="{FF2B5EF4-FFF2-40B4-BE49-F238E27FC236}">
              <a16:creationId xmlns:a16="http://schemas.microsoft.com/office/drawing/2014/main" xmlns="" id="{F9130AFB-775B-45F6-8E8B-7B0D953457B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925" name="Text Box 1">
          <a:extLst>
            <a:ext uri="{FF2B5EF4-FFF2-40B4-BE49-F238E27FC236}">
              <a16:creationId xmlns:a16="http://schemas.microsoft.com/office/drawing/2014/main" xmlns="" id="{61D55527-7010-40A4-8B57-8FB394935B4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926" name="Text Box 1">
          <a:extLst>
            <a:ext uri="{FF2B5EF4-FFF2-40B4-BE49-F238E27FC236}">
              <a16:creationId xmlns:a16="http://schemas.microsoft.com/office/drawing/2014/main" xmlns="" id="{3723414D-52DB-4EA8-A1E5-A62C1E964ED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927" name="Text Box 1">
          <a:extLst>
            <a:ext uri="{FF2B5EF4-FFF2-40B4-BE49-F238E27FC236}">
              <a16:creationId xmlns:a16="http://schemas.microsoft.com/office/drawing/2014/main" xmlns="" id="{7E8FDA22-3E9C-4C02-A19D-D6E93DCEA5A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928" name="Text Box 1">
          <a:extLst>
            <a:ext uri="{FF2B5EF4-FFF2-40B4-BE49-F238E27FC236}">
              <a16:creationId xmlns:a16="http://schemas.microsoft.com/office/drawing/2014/main" xmlns="" id="{43037AF9-1000-4584-9C69-71A94A11AD7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929" name="Text Box 1">
          <a:extLst>
            <a:ext uri="{FF2B5EF4-FFF2-40B4-BE49-F238E27FC236}">
              <a16:creationId xmlns:a16="http://schemas.microsoft.com/office/drawing/2014/main" xmlns="" id="{22C99279-2083-40AA-BEB2-9FC3AB75BC0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930" name="Text Box 1">
          <a:extLst>
            <a:ext uri="{FF2B5EF4-FFF2-40B4-BE49-F238E27FC236}">
              <a16:creationId xmlns:a16="http://schemas.microsoft.com/office/drawing/2014/main" xmlns="" id="{EE993AD9-4799-40E5-8D6A-A3A31373953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931" name="Text Box 1">
          <a:extLst>
            <a:ext uri="{FF2B5EF4-FFF2-40B4-BE49-F238E27FC236}">
              <a16:creationId xmlns:a16="http://schemas.microsoft.com/office/drawing/2014/main" xmlns="" id="{E8CB558D-5033-4846-B6BE-403E71250371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932" name="Text Box 1">
          <a:extLst>
            <a:ext uri="{FF2B5EF4-FFF2-40B4-BE49-F238E27FC236}">
              <a16:creationId xmlns:a16="http://schemas.microsoft.com/office/drawing/2014/main" xmlns="" id="{9CAB98D0-7CE8-4DF5-B522-C55D31E2878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933" name="Text Box 1">
          <a:extLst>
            <a:ext uri="{FF2B5EF4-FFF2-40B4-BE49-F238E27FC236}">
              <a16:creationId xmlns:a16="http://schemas.microsoft.com/office/drawing/2014/main" xmlns="" id="{FB9A86AD-D30E-4F9C-B781-86863E3B6F6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934" name="Text Box 1">
          <a:extLst>
            <a:ext uri="{FF2B5EF4-FFF2-40B4-BE49-F238E27FC236}">
              <a16:creationId xmlns:a16="http://schemas.microsoft.com/office/drawing/2014/main" xmlns="" id="{E6942E85-5B38-4CC3-BAE9-09122B6024B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935" name="Text Box 1">
          <a:extLst>
            <a:ext uri="{FF2B5EF4-FFF2-40B4-BE49-F238E27FC236}">
              <a16:creationId xmlns:a16="http://schemas.microsoft.com/office/drawing/2014/main" xmlns="" id="{8732F713-321A-45BC-9B8A-41A6896B3301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936" name="Text Box 1">
          <a:extLst>
            <a:ext uri="{FF2B5EF4-FFF2-40B4-BE49-F238E27FC236}">
              <a16:creationId xmlns:a16="http://schemas.microsoft.com/office/drawing/2014/main" xmlns="" id="{869FA91B-CA2E-4E2D-950B-CBE5C79B272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937" name="Text Box 1">
          <a:extLst>
            <a:ext uri="{FF2B5EF4-FFF2-40B4-BE49-F238E27FC236}">
              <a16:creationId xmlns:a16="http://schemas.microsoft.com/office/drawing/2014/main" xmlns="" id="{9C4F37CA-E80F-4813-B611-612F3A807AD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938" name="Text Box 1">
          <a:extLst>
            <a:ext uri="{FF2B5EF4-FFF2-40B4-BE49-F238E27FC236}">
              <a16:creationId xmlns:a16="http://schemas.microsoft.com/office/drawing/2014/main" xmlns="" id="{ABDC1853-6B3B-4701-8E65-7E22448AFA9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939" name="Text Box 1">
          <a:extLst>
            <a:ext uri="{FF2B5EF4-FFF2-40B4-BE49-F238E27FC236}">
              <a16:creationId xmlns:a16="http://schemas.microsoft.com/office/drawing/2014/main" xmlns="" id="{9B4E6619-B1A6-44F3-B056-D955A595317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940" name="Text Box 1">
          <a:extLst>
            <a:ext uri="{FF2B5EF4-FFF2-40B4-BE49-F238E27FC236}">
              <a16:creationId xmlns:a16="http://schemas.microsoft.com/office/drawing/2014/main" xmlns="" id="{C4D046EA-C638-47A9-90D1-B66D7508B15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941" name="Text Box 1">
          <a:extLst>
            <a:ext uri="{FF2B5EF4-FFF2-40B4-BE49-F238E27FC236}">
              <a16:creationId xmlns:a16="http://schemas.microsoft.com/office/drawing/2014/main" xmlns="" id="{A2E83769-7497-4B68-A59F-B1C73EA2734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942" name="Text Box 1">
          <a:extLst>
            <a:ext uri="{FF2B5EF4-FFF2-40B4-BE49-F238E27FC236}">
              <a16:creationId xmlns:a16="http://schemas.microsoft.com/office/drawing/2014/main" xmlns="" id="{D06F94F2-05FF-4710-BC5E-98E33485390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943" name="Text Box 1">
          <a:extLst>
            <a:ext uri="{FF2B5EF4-FFF2-40B4-BE49-F238E27FC236}">
              <a16:creationId xmlns:a16="http://schemas.microsoft.com/office/drawing/2014/main" xmlns="" id="{FBC330DF-C97E-4CFD-8E61-C79A553B584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944" name="Text Box 1">
          <a:extLst>
            <a:ext uri="{FF2B5EF4-FFF2-40B4-BE49-F238E27FC236}">
              <a16:creationId xmlns:a16="http://schemas.microsoft.com/office/drawing/2014/main" xmlns="" id="{B6C87F1E-C2C3-43E3-BCED-54882837CD1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945" name="Text Box 1">
          <a:extLst>
            <a:ext uri="{FF2B5EF4-FFF2-40B4-BE49-F238E27FC236}">
              <a16:creationId xmlns:a16="http://schemas.microsoft.com/office/drawing/2014/main" xmlns="" id="{830FE0A2-3DC9-4251-A472-D88952419791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946" name="Text Box 1">
          <a:extLst>
            <a:ext uri="{FF2B5EF4-FFF2-40B4-BE49-F238E27FC236}">
              <a16:creationId xmlns:a16="http://schemas.microsoft.com/office/drawing/2014/main" xmlns="" id="{52C9495E-FAEB-4DF7-B150-95B84AB037A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947" name="Text Box 1">
          <a:extLst>
            <a:ext uri="{FF2B5EF4-FFF2-40B4-BE49-F238E27FC236}">
              <a16:creationId xmlns:a16="http://schemas.microsoft.com/office/drawing/2014/main" xmlns="" id="{393C443C-E90B-456A-83B3-DCDFBF7C939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948" name="Text Box 1">
          <a:extLst>
            <a:ext uri="{FF2B5EF4-FFF2-40B4-BE49-F238E27FC236}">
              <a16:creationId xmlns:a16="http://schemas.microsoft.com/office/drawing/2014/main" xmlns="" id="{8D95E8A6-D7B1-4D15-9C8C-0A81D86A94C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949" name="Text Box 1">
          <a:extLst>
            <a:ext uri="{FF2B5EF4-FFF2-40B4-BE49-F238E27FC236}">
              <a16:creationId xmlns:a16="http://schemas.microsoft.com/office/drawing/2014/main" xmlns="" id="{B8856747-DE3C-4528-A6E5-B87DF89D04E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950" name="Text Box 1">
          <a:extLst>
            <a:ext uri="{FF2B5EF4-FFF2-40B4-BE49-F238E27FC236}">
              <a16:creationId xmlns:a16="http://schemas.microsoft.com/office/drawing/2014/main" xmlns="" id="{2157AB7E-F0D9-440D-9C5E-46F79905A68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951" name="Text Box 1">
          <a:extLst>
            <a:ext uri="{FF2B5EF4-FFF2-40B4-BE49-F238E27FC236}">
              <a16:creationId xmlns:a16="http://schemas.microsoft.com/office/drawing/2014/main" xmlns="" id="{A3009620-9868-4FBA-B333-BE71DDFF0B1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952" name="Text Box 1">
          <a:extLst>
            <a:ext uri="{FF2B5EF4-FFF2-40B4-BE49-F238E27FC236}">
              <a16:creationId xmlns:a16="http://schemas.microsoft.com/office/drawing/2014/main" xmlns="" id="{0C8ABAAC-DD82-49D7-9C0C-475F6341C41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953" name="Text Box 1">
          <a:extLst>
            <a:ext uri="{FF2B5EF4-FFF2-40B4-BE49-F238E27FC236}">
              <a16:creationId xmlns:a16="http://schemas.microsoft.com/office/drawing/2014/main" xmlns="" id="{40CD034E-F6A0-4AFE-B020-9FB7D1CDEA4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954" name="Text Box 1">
          <a:extLst>
            <a:ext uri="{FF2B5EF4-FFF2-40B4-BE49-F238E27FC236}">
              <a16:creationId xmlns:a16="http://schemas.microsoft.com/office/drawing/2014/main" xmlns="" id="{7B6A5946-AD02-4C99-9F4B-F1A3FA1BC46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955" name="Text Box 1">
          <a:extLst>
            <a:ext uri="{FF2B5EF4-FFF2-40B4-BE49-F238E27FC236}">
              <a16:creationId xmlns:a16="http://schemas.microsoft.com/office/drawing/2014/main" xmlns="" id="{CF3C46CC-4CAA-4301-BD34-E65B6EDA80A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956" name="Text Box 1">
          <a:extLst>
            <a:ext uri="{FF2B5EF4-FFF2-40B4-BE49-F238E27FC236}">
              <a16:creationId xmlns:a16="http://schemas.microsoft.com/office/drawing/2014/main" xmlns="" id="{952F0958-1FE9-417C-9A79-0BA4C4E957E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957" name="Text Box 1">
          <a:extLst>
            <a:ext uri="{FF2B5EF4-FFF2-40B4-BE49-F238E27FC236}">
              <a16:creationId xmlns:a16="http://schemas.microsoft.com/office/drawing/2014/main" xmlns="" id="{A0EEB5F8-7D6F-4D03-B5D8-B33E67D7517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958" name="Text Box 1">
          <a:extLst>
            <a:ext uri="{FF2B5EF4-FFF2-40B4-BE49-F238E27FC236}">
              <a16:creationId xmlns:a16="http://schemas.microsoft.com/office/drawing/2014/main" xmlns="" id="{63B7FBD1-9EC2-45BE-ADCD-7C770CABBF4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1959" name="Text Box 1">
          <a:extLst>
            <a:ext uri="{FF2B5EF4-FFF2-40B4-BE49-F238E27FC236}">
              <a16:creationId xmlns:a16="http://schemas.microsoft.com/office/drawing/2014/main" xmlns="" id="{883D75FE-91EE-4BE6-AFAD-D6B457A64C4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960" name="Text Box 1">
          <a:extLst>
            <a:ext uri="{FF2B5EF4-FFF2-40B4-BE49-F238E27FC236}">
              <a16:creationId xmlns:a16="http://schemas.microsoft.com/office/drawing/2014/main" xmlns="" id="{E95A5C22-BF93-488B-ADFC-075F12C04BE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1961" name="Text Box 1">
          <a:extLst>
            <a:ext uri="{FF2B5EF4-FFF2-40B4-BE49-F238E27FC236}">
              <a16:creationId xmlns:a16="http://schemas.microsoft.com/office/drawing/2014/main" xmlns="" id="{E9D43489-3873-4917-8A4D-AB9AC7A432A1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62843"/>
    <xdr:sp macro="" textlink="">
      <xdr:nvSpPr>
        <xdr:cNvPr id="1962" name="Text Box 1">
          <a:extLst>
            <a:ext uri="{FF2B5EF4-FFF2-40B4-BE49-F238E27FC236}">
              <a16:creationId xmlns:a16="http://schemas.microsoft.com/office/drawing/2014/main" xmlns="" id="{11310007-9710-49D5-AC78-31DDC3C8610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628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53318"/>
    <xdr:sp macro="" textlink="">
      <xdr:nvSpPr>
        <xdr:cNvPr id="1963" name="Text Box 1">
          <a:extLst>
            <a:ext uri="{FF2B5EF4-FFF2-40B4-BE49-F238E27FC236}">
              <a16:creationId xmlns:a16="http://schemas.microsoft.com/office/drawing/2014/main" xmlns="" id="{72708ECC-43DB-495A-B20E-B16BFD6EDDE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533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53318"/>
    <xdr:sp macro="" textlink="">
      <xdr:nvSpPr>
        <xdr:cNvPr id="1964" name="Text Box 1">
          <a:extLst>
            <a:ext uri="{FF2B5EF4-FFF2-40B4-BE49-F238E27FC236}">
              <a16:creationId xmlns:a16="http://schemas.microsoft.com/office/drawing/2014/main" xmlns="" id="{82A6BA71-90B5-4185-8131-30E11F26D53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533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53318"/>
    <xdr:sp macro="" textlink="">
      <xdr:nvSpPr>
        <xdr:cNvPr id="1965" name="Text Box 1">
          <a:extLst>
            <a:ext uri="{FF2B5EF4-FFF2-40B4-BE49-F238E27FC236}">
              <a16:creationId xmlns:a16="http://schemas.microsoft.com/office/drawing/2014/main" xmlns="" id="{83D98C77-2770-488B-A51A-B5BFEE2B25D1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533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53318"/>
    <xdr:sp macro="" textlink="">
      <xdr:nvSpPr>
        <xdr:cNvPr id="1966" name="Text Box 1">
          <a:extLst>
            <a:ext uri="{FF2B5EF4-FFF2-40B4-BE49-F238E27FC236}">
              <a16:creationId xmlns:a16="http://schemas.microsoft.com/office/drawing/2014/main" xmlns="" id="{01CCEBFC-F513-422C-A551-C346B9EB929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533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1967" name="Text Box 1">
          <a:extLst>
            <a:ext uri="{FF2B5EF4-FFF2-40B4-BE49-F238E27FC236}">
              <a16:creationId xmlns:a16="http://schemas.microsoft.com/office/drawing/2014/main" xmlns="" id="{7F358DE1-4CAD-44B9-8A51-D11BFE7E859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1968" name="Text Box 1">
          <a:extLst>
            <a:ext uri="{FF2B5EF4-FFF2-40B4-BE49-F238E27FC236}">
              <a16:creationId xmlns:a16="http://schemas.microsoft.com/office/drawing/2014/main" xmlns="" id="{DED66561-BEC3-4372-9A93-888635E990C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1969" name="Text Box 1">
          <a:extLst>
            <a:ext uri="{FF2B5EF4-FFF2-40B4-BE49-F238E27FC236}">
              <a16:creationId xmlns:a16="http://schemas.microsoft.com/office/drawing/2014/main" xmlns="" id="{3AEED376-3D96-42F0-A985-03E86C6824C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1970" name="Text Box 1">
          <a:extLst>
            <a:ext uri="{FF2B5EF4-FFF2-40B4-BE49-F238E27FC236}">
              <a16:creationId xmlns:a16="http://schemas.microsoft.com/office/drawing/2014/main" xmlns="" id="{A0986868-B2F9-4B4E-AC5C-3744D6A342C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1971" name="Text Box 1">
          <a:extLst>
            <a:ext uri="{FF2B5EF4-FFF2-40B4-BE49-F238E27FC236}">
              <a16:creationId xmlns:a16="http://schemas.microsoft.com/office/drawing/2014/main" xmlns="" id="{6BB2D23F-0239-4171-842D-8293EF85F5A1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1972" name="Text Box 1">
          <a:extLst>
            <a:ext uri="{FF2B5EF4-FFF2-40B4-BE49-F238E27FC236}">
              <a16:creationId xmlns:a16="http://schemas.microsoft.com/office/drawing/2014/main" xmlns="" id="{490003C7-13E0-4FF5-982C-76A412A397F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1973" name="Text Box 1">
          <a:extLst>
            <a:ext uri="{FF2B5EF4-FFF2-40B4-BE49-F238E27FC236}">
              <a16:creationId xmlns:a16="http://schemas.microsoft.com/office/drawing/2014/main" xmlns="" id="{F1D986A0-D0EC-4F80-A275-1B406243409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1974" name="Text Box 1">
          <a:extLst>
            <a:ext uri="{FF2B5EF4-FFF2-40B4-BE49-F238E27FC236}">
              <a16:creationId xmlns:a16="http://schemas.microsoft.com/office/drawing/2014/main" xmlns="" id="{231B2ED3-F394-4365-8E99-4BDAF3DA529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1975" name="Text Box 1">
          <a:extLst>
            <a:ext uri="{FF2B5EF4-FFF2-40B4-BE49-F238E27FC236}">
              <a16:creationId xmlns:a16="http://schemas.microsoft.com/office/drawing/2014/main" xmlns="" id="{6F852206-1B93-4FD0-A9D6-7009333B81E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1976" name="Text Box 1">
          <a:extLst>
            <a:ext uri="{FF2B5EF4-FFF2-40B4-BE49-F238E27FC236}">
              <a16:creationId xmlns:a16="http://schemas.microsoft.com/office/drawing/2014/main" xmlns="" id="{90F09A8D-AF37-4449-8F57-FA2A5E6FBD2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1977" name="Text Box 1">
          <a:extLst>
            <a:ext uri="{FF2B5EF4-FFF2-40B4-BE49-F238E27FC236}">
              <a16:creationId xmlns:a16="http://schemas.microsoft.com/office/drawing/2014/main" xmlns="" id="{B85C9CC4-2ECD-4415-9FE9-095F6D7BE67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1978" name="Text Box 1">
          <a:extLst>
            <a:ext uri="{FF2B5EF4-FFF2-40B4-BE49-F238E27FC236}">
              <a16:creationId xmlns:a16="http://schemas.microsoft.com/office/drawing/2014/main" xmlns="" id="{69018E24-63F4-4819-A017-A7D99F0FC9A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1979" name="Text Box 1">
          <a:extLst>
            <a:ext uri="{FF2B5EF4-FFF2-40B4-BE49-F238E27FC236}">
              <a16:creationId xmlns:a16="http://schemas.microsoft.com/office/drawing/2014/main" xmlns="" id="{25CE7A26-2F8B-4B57-85EB-6C4C1B5BDE6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1980" name="Text Box 1">
          <a:extLst>
            <a:ext uri="{FF2B5EF4-FFF2-40B4-BE49-F238E27FC236}">
              <a16:creationId xmlns:a16="http://schemas.microsoft.com/office/drawing/2014/main" xmlns="" id="{89DB3461-CE42-4A66-A6B1-C47382C5573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1981" name="Text Box 1">
          <a:extLst>
            <a:ext uri="{FF2B5EF4-FFF2-40B4-BE49-F238E27FC236}">
              <a16:creationId xmlns:a16="http://schemas.microsoft.com/office/drawing/2014/main" xmlns="" id="{DAA9A6B2-0157-48D3-99B0-9899A1F7466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1982" name="Text Box 1">
          <a:extLst>
            <a:ext uri="{FF2B5EF4-FFF2-40B4-BE49-F238E27FC236}">
              <a16:creationId xmlns:a16="http://schemas.microsoft.com/office/drawing/2014/main" xmlns="" id="{A5250C01-3275-4AEE-A4E6-FB714C138C11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62843"/>
    <xdr:sp macro="" textlink="">
      <xdr:nvSpPr>
        <xdr:cNvPr id="1983" name="Text Box 1">
          <a:extLst>
            <a:ext uri="{FF2B5EF4-FFF2-40B4-BE49-F238E27FC236}">
              <a16:creationId xmlns:a16="http://schemas.microsoft.com/office/drawing/2014/main" xmlns="" id="{3589A6BC-8F2E-4331-80FB-908E81654DD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628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62843"/>
    <xdr:sp macro="" textlink="">
      <xdr:nvSpPr>
        <xdr:cNvPr id="1984" name="Text Box 1">
          <a:extLst>
            <a:ext uri="{FF2B5EF4-FFF2-40B4-BE49-F238E27FC236}">
              <a16:creationId xmlns:a16="http://schemas.microsoft.com/office/drawing/2014/main" xmlns="" id="{1C45A1E3-2CFE-4B6D-BEDA-85F143954A0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628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1985" name="Text Box 1">
          <a:extLst>
            <a:ext uri="{FF2B5EF4-FFF2-40B4-BE49-F238E27FC236}">
              <a16:creationId xmlns:a16="http://schemas.microsoft.com/office/drawing/2014/main" xmlns="" id="{2BA19FBB-3CD9-42AA-8329-D18B711A7C9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1986" name="Text Box 1">
          <a:extLst>
            <a:ext uri="{FF2B5EF4-FFF2-40B4-BE49-F238E27FC236}">
              <a16:creationId xmlns:a16="http://schemas.microsoft.com/office/drawing/2014/main" xmlns="" id="{23E1E1E0-16FF-41D7-A4F9-AB11C9DBC44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1987" name="Text Box 1">
          <a:extLst>
            <a:ext uri="{FF2B5EF4-FFF2-40B4-BE49-F238E27FC236}">
              <a16:creationId xmlns:a16="http://schemas.microsoft.com/office/drawing/2014/main" xmlns="" id="{6E5094C9-B76B-4D87-A84A-74A226A05FA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1988" name="Text Box 1">
          <a:extLst>
            <a:ext uri="{FF2B5EF4-FFF2-40B4-BE49-F238E27FC236}">
              <a16:creationId xmlns:a16="http://schemas.microsoft.com/office/drawing/2014/main" xmlns="" id="{7CCF44B4-6BF4-4B6D-91B7-01248440A31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1989" name="Text Box 1">
          <a:extLst>
            <a:ext uri="{FF2B5EF4-FFF2-40B4-BE49-F238E27FC236}">
              <a16:creationId xmlns:a16="http://schemas.microsoft.com/office/drawing/2014/main" xmlns="" id="{DFD6BFA0-946D-4519-8685-909B7B76D33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1990" name="Text Box 1">
          <a:extLst>
            <a:ext uri="{FF2B5EF4-FFF2-40B4-BE49-F238E27FC236}">
              <a16:creationId xmlns:a16="http://schemas.microsoft.com/office/drawing/2014/main" xmlns="" id="{48EF3AE1-12CE-40C2-9A40-FA537D7DA4E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1991" name="Text Box 1">
          <a:extLst>
            <a:ext uri="{FF2B5EF4-FFF2-40B4-BE49-F238E27FC236}">
              <a16:creationId xmlns:a16="http://schemas.microsoft.com/office/drawing/2014/main" xmlns="" id="{68E97FAC-60F4-4938-AD78-A274E46FC93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1992" name="Text Box 1">
          <a:extLst>
            <a:ext uri="{FF2B5EF4-FFF2-40B4-BE49-F238E27FC236}">
              <a16:creationId xmlns:a16="http://schemas.microsoft.com/office/drawing/2014/main" xmlns="" id="{982F91CF-EDC8-4BC1-A3F1-F7E496B8821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1993" name="Text Box 1">
          <a:extLst>
            <a:ext uri="{FF2B5EF4-FFF2-40B4-BE49-F238E27FC236}">
              <a16:creationId xmlns:a16="http://schemas.microsoft.com/office/drawing/2014/main" xmlns="" id="{767ADFAF-3E7F-4F69-A4E9-5508DED42C0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1994" name="Text Box 1">
          <a:extLst>
            <a:ext uri="{FF2B5EF4-FFF2-40B4-BE49-F238E27FC236}">
              <a16:creationId xmlns:a16="http://schemas.microsoft.com/office/drawing/2014/main" xmlns="" id="{80999056-B024-4055-B7B3-301D148AC7E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1995" name="Text Box 1">
          <a:extLst>
            <a:ext uri="{FF2B5EF4-FFF2-40B4-BE49-F238E27FC236}">
              <a16:creationId xmlns:a16="http://schemas.microsoft.com/office/drawing/2014/main" xmlns="" id="{F0CA4EC8-F181-40F1-9B83-A36C0A953FB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1996" name="Text Box 1">
          <a:extLst>
            <a:ext uri="{FF2B5EF4-FFF2-40B4-BE49-F238E27FC236}">
              <a16:creationId xmlns:a16="http://schemas.microsoft.com/office/drawing/2014/main" xmlns="" id="{092824E1-5378-43EB-AFE8-9256218E1AA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1997" name="Text Box 1">
          <a:extLst>
            <a:ext uri="{FF2B5EF4-FFF2-40B4-BE49-F238E27FC236}">
              <a16:creationId xmlns:a16="http://schemas.microsoft.com/office/drawing/2014/main" xmlns="" id="{13C06BC7-7498-4C17-9B55-B2908326567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1998" name="Text Box 1">
          <a:extLst>
            <a:ext uri="{FF2B5EF4-FFF2-40B4-BE49-F238E27FC236}">
              <a16:creationId xmlns:a16="http://schemas.microsoft.com/office/drawing/2014/main" xmlns="" id="{9482F81A-40D0-435D-A074-1C2296B6B9F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62843"/>
    <xdr:sp macro="" textlink="">
      <xdr:nvSpPr>
        <xdr:cNvPr id="1999" name="Text Box 1">
          <a:extLst>
            <a:ext uri="{FF2B5EF4-FFF2-40B4-BE49-F238E27FC236}">
              <a16:creationId xmlns:a16="http://schemas.microsoft.com/office/drawing/2014/main" xmlns="" id="{DBC62DC7-D9BD-4F1D-88A0-8F11771C498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628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62843"/>
    <xdr:sp macro="" textlink="">
      <xdr:nvSpPr>
        <xdr:cNvPr id="2000" name="Text Box 1">
          <a:extLst>
            <a:ext uri="{FF2B5EF4-FFF2-40B4-BE49-F238E27FC236}">
              <a16:creationId xmlns:a16="http://schemas.microsoft.com/office/drawing/2014/main" xmlns="" id="{C65F6212-F359-4A50-ABC2-01CDDAFF9A1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628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2001" name="Text Box 1">
          <a:extLst>
            <a:ext uri="{FF2B5EF4-FFF2-40B4-BE49-F238E27FC236}">
              <a16:creationId xmlns:a16="http://schemas.microsoft.com/office/drawing/2014/main" xmlns="" id="{97481B9F-B44F-4240-A158-4F63F5AF923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2002" name="Text Box 1">
          <a:extLst>
            <a:ext uri="{FF2B5EF4-FFF2-40B4-BE49-F238E27FC236}">
              <a16:creationId xmlns:a16="http://schemas.microsoft.com/office/drawing/2014/main" xmlns="" id="{65003580-87FD-47DB-90CE-08A368DD47C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2003" name="Text Box 1">
          <a:extLst>
            <a:ext uri="{FF2B5EF4-FFF2-40B4-BE49-F238E27FC236}">
              <a16:creationId xmlns:a16="http://schemas.microsoft.com/office/drawing/2014/main" xmlns="" id="{22C6C4E1-7B73-4541-8393-F4B636E3DD0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2004" name="Text Box 1">
          <a:extLst>
            <a:ext uri="{FF2B5EF4-FFF2-40B4-BE49-F238E27FC236}">
              <a16:creationId xmlns:a16="http://schemas.microsoft.com/office/drawing/2014/main" xmlns="" id="{16F47AE8-32DA-4482-B457-A233D8E4C9B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2005" name="Text Box 1">
          <a:extLst>
            <a:ext uri="{FF2B5EF4-FFF2-40B4-BE49-F238E27FC236}">
              <a16:creationId xmlns:a16="http://schemas.microsoft.com/office/drawing/2014/main" xmlns="" id="{C3F6719F-B801-49D8-A5F0-9098DBF7403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2006" name="Text Box 1">
          <a:extLst>
            <a:ext uri="{FF2B5EF4-FFF2-40B4-BE49-F238E27FC236}">
              <a16:creationId xmlns:a16="http://schemas.microsoft.com/office/drawing/2014/main" xmlns="" id="{8435B170-C0AE-4FC3-AACA-05DA4FCB7E0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2007" name="Text Box 1">
          <a:extLst>
            <a:ext uri="{FF2B5EF4-FFF2-40B4-BE49-F238E27FC236}">
              <a16:creationId xmlns:a16="http://schemas.microsoft.com/office/drawing/2014/main" xmlns="" id="{3A6EE81E-F11C-4673-A154-17284001E9C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2008" name="Text Box 1">
          <a:extLst>
            <a:ext uri="{FF2B5EF4-FFF2-40B4-BE49-F238E27FC236}">
              <a16:creationId xmlns:a16="http://schemas.microsoft.com/office/drawing/2014/main" xmlns="" id="{98A54A28-599E-4F24-9061-9EC2088201F1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2009" name="Text Box 1">
          <a:extLst>
            <a:ext uri="{FF2B5EF4-FFF2-40B4-BE49-F238E27FC236}">
              <a16:creationId xmlns:a16="http://schemas.microsoft.com/office/drawing/2014/main" xmlns="" id="{940F7B1C-69A3-4225-8FDB-050EC99DE74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2010" name="Text Box 1">
          <a:extLst>
            <a:ext uri="{FF2B5EF4-FFF2-40B4-BE49-F238E27FC236}">
              <a16:creationId xmlns:a16="http://schemas.microsoft.com/office/drawing/2014/main" xmlns="" id="{F3C9EE97-3887-4F5F-8786-8D5747E52A7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2011" name="Text Box 1">
          <a:extLst>
            <a:ext uri="{FF2B5EF4-FFF2-40B4-BE49-F238E27FC236}">
              <a16:creationId xmlns:a16="http://schemas.microsoft.com/office/drawing/2014/main" xmlns="" id="{F696299B-034C-4087-8557-CA42DDB6CC3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2012" name="Text Box 1">
          <a:extLst>
            <a:ext uri="{FF2B5EF4-FFF2-40B4-BE49-F238E27FC236}">
              <a16:creationId xmlns:a16="http://schemas.microsoft.com/office/drawing/2014/main" xmlns="" id="{A6FAF696-3F09-4192-ADA4-8B9CEBBBC70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2013" name="Text Box 1">
          <a:extLst>
            <a:ext uri="{FF2B5EF4-FFF2-40B4-BE49-F238E27FC236}">
              <a16:creationId xmlns:a16="http://schemas.microsoft.com/office/drawing/2014/main" xmlns="" id="{A8705972-3428-4848-AD4F-D1D151DDCB51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2014" name="Text Box 1">
          <a:extLst>
            <a:ext uri="{FF2B5EF4-FFF2-40B4-BE49-F238E27FC236}">
              <a16:creationId xmlns:a16="http://schemas.microsoft.com/office/drawing/2014/main" xmlns="" id="{C3FF9315-6E5F-4C21-8F0E-532A14C8B9F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62843"/>
    <xdr:sp macro="" textlink="">
      <xdr:nvSpPr>
        <xdr:cNvPr id="2015" name="Text Box 1">
          <a:extLst>
            <a:ext uri="{FF2B5EF4-FFF2-40B4-BE49-F238E27FC236}">
              <a16:creationId xmlns:a16="http://schemas.microsoft.com/office/drawing/2014/main" xmlns="" id="{E4CB2D10-718B-4A19-AC1E-997FABE8816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628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62843"/>
    <xdr:sp macro="" textlink="">
      <xdr:nvSpPr>
        <xdr:cNvPr id="2016" name="Text Box 1">
          <a:extLst>
            <a:ext uri="{FF2B5EF4-FFF2-40B4-BE49-F238E27FC236}">
              <a16:creationId xmlns:a16="http://schemas.microsoft.com/office/drawing/2014/main" xmlns="" id="{7ACD9D0E-B8FB-466C-BC95-14AF0D6C15B1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628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2017" name="Text Box 1">
          <a:extLst>
            <a:ext uri="{FF2B5EF4-FFF2-40B4-BE49-F238E27FC236}">
              <a16:creationId xmlns:a16="http://schemas.microsoft.com/office/drawing/2014/main" xmlns="" id="{C2E21C7F-A6A5-4A4E-B6E1-799D68AB2121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2018" name="Text Box 1">
          <a:extLst>
            <a:ext uri="{FF2B5EF4-FFF2-40B4-BE49-F238E27FC236}">
              <a16:creationId xmlns:a16="http://schemas.microsoft.com/office/drawing/2014/main" xmlns="" id="{1A13CBA3-67C3-421D-A43A-CCA7D2EB4D3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2019" name="Text Box 1">
          <a:extLst>
            <a:ext uri="{FF2B5EF4-FFF2-40B4-BE49-F238E27FC236}">
              <a16:creationId xmlns:a16="http://schemas.microsoft.com/office/drawing/2014/main" xmlns="" id="{2340518C-6DA2-409A-AB5E-795746C24CF1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2020" name="Text Box 1">
          <a:extLst>
            <a:ext uri="{FF2B5EF4-FFF2-40B4-BE49-F238E27FC236}">
              <a16:creationId xmlns:a16="http://schemas.microsoft.com/office/drawing/2014/main" xmlns="" id="{B47ED2D1-B967-4F95-A235-56308D0EED9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2021" name="Text Box 1">
          <a:extLst>
            <a:ext uri="{FF2B5EF4-FFF2-40B4-BE49-F238E27FC236}">
              <a16:creationId xmlns:a16="http://schemas.microsoft.com/office/drawing/2014/main" xmlns="" id="{3717353E-08AC-4C5B-AC72-AC2031C1BE3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2022" name="Text Box 1">
          <a:extLst>
            <a:ext uri="{FF2B5EF4-FFF2-40B4-BE49-F238E27FC236}">
              <a16:creationId xmlns:a16="http://schemas.microsoft.com/office/drawing/2014/main" xmlns="" id="{E15BFCEA-654A-4305-A0A3-C4A16F5AA931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2023" name="Text Box 1">
          <a:extLst>
            <a:ext uri="{FF2B5EF4-FFF2-40B4-BE49-F238E27FC236}">
              <a16:creationId xmlns:a16="http://schemas.microsoft.com/office/drawing/2014/main" xmlns="" id="{6C3BC07B-AE9F-4157-9E30-6D44B431B23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2024" name="Text Box 1">
          <a:extLst>
            <a:ext uri="{FF2B5EF4-FFF2-40B4-BE49-F238E27FC236}">
              <a16:creationId xmlns:a16="http://schemas.microsoft.com/office/drawing/2014/main" xmlns="" id="{F2E20B51-797E-4D6A-AD5D-816993F25FF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2025" name="Text Box 1">
          <a:extLst>
            <a:ext uri="{FF2B5EF4-FFF2-40B4-BE49-F238E27FC236}">
              <a16:creationId xmlns:a16="http://schemas.microsoft.com/office/drawing/2014/main" xmlns="" id="{4DCA177D-834F-4E48-949B-FA821F5D308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2026" name="Text Box 1">
          <a:extLst>
            <a:ext uri="{FF2B5EF4-FFF2-40B4-BE49-F238E27FC236}">
              <a16:creationId xmlns:a16="http://schemas.microsoft.com/office/drawing/2014/main" xmlns="" id="{5E807020-0971-4EFE-B69D-B7B6635415D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2027" name="Text Box 1">
          <a:extLst>
            <a:ext uri="{FF2B5EF4-FFF2-40B4-BE49-F238E27FC236}">
              <a16:creationId xmlns:a16="http://schemas.microsoft.com/office/drawing/2014/main" xmlns="" id="{E18DF8FB-C124-4620-8E39-DC85AC3B122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2028" name="Text Box 1">
          <a:extLst>
            <a:ext uri="{FF2B5EF4-FFF2-40B4-BE49-F238E27FC236}">
              <a16:creationId xmlns:a16="http://schemas.microsoft.com/office/drawing/2014/main" xmlns="" id="{C89AE0A1-0E7B-44CE-9BEC-63F3702A9EC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2029" name="Text Box 1">
          <a:extLst>
            <a:ext uri="{FF2B5EF4-FFF2-40B4-BE49-F238E27FC236}">
              <a16:creationId xmlns:a16="http://schemas.microsoft.com/office/drawing/2014/main" xmlns="" id="{0D59BB9D-0463-45EA-92A9-59431A44033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72368"/>
    <xdr:sp macro="" textlink="">
      <xdr:nvSpPr>
        <xdr:cNvPr id="2030" name="Text Box 1">
          <a:extLst>
            <a:ext uri="{FF2B5EF4-FFF2-40B4-BE49-F238E27FC236}">
              <a16:creationId xmlns:a16="http://schemas.microsoft.com/office/drawing/2014/main" xmlns="" id="{387F9370-64D6-46B5-845F-007FEF123AB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72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031" name="Text Box 1">
          <a:extLst>
            <a:ext uri="{FF2B5EF4-FFF2-40B4-BE49-F238E27FC236}">
              <a16:creationId xmlns:a16="http://schemas.microsoft.com/office/drawing/2014/main" xmlns="" id="{B964C32F-BDE3-4546-B6BA-31E80C30573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032" name="Text Box 1">
          <a:extLst>
            <a:ext uri="{FF2B5EF4-FFF2-40B4-BE49-F238E27FC236}">
              <a16:creationId xmlns:a16="http://schemas.microsoft.com/office/drawing/2014/main" xmlns="" id="{75C522C4-092F-44DA-B9EE-A34FAF925FB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033" name="Text Box 1">
          <a:extLst>
            <a:ext uri="{FF2B5EF4-FFF2-40B4-BE49-F238E27FC236}">
              <a16:creationId xmlns:a16="http://schemas.microsoft.com/office/drawing/2014/main" xmlns="" id="{68E90DDA-BB85-46AC-85C1-7C32DC3AD2F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034" name="Text Box 1">
          <a:extLst>
            <a:ext uri="{FF2B5EF4-FFF2-40B4-BE49-F238E27FC236}">
              <a16:creationId xmlns:a16="http://schemas.microsoft.com/office/drawing/2014/main" xmlns="" id="{748A346E-525D-4AEA-8258-EE269C91606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035" name="Text Box 1">
          <a:extLst>
            <a:ext uri="{FF2B5EF4-FFF2-40B4-BE49-F238E27FC236}">
              <a16:creationId xmlns:a16="http://schemas.microsoft.com/office/drawing/2014/main" xmlns="" id="{DB4EA2DA-8E03-4BB3-8ED2-18F02BD1782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036" name="Text Box 1">
          <a:extLst>
            <a:ext uri="{FF2B5EF4-FFF2-40B4-BE49-F238E27FC236}">
              <a16:creationId xmlns:a16="http://schemas.microsoft.com/office/drawing/2014/main" xmlns="" id="{9CB606E0-1AFD-4E45-A07C-F559D4BE5F8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037" name="Text Box 1">
          <a:extLst>
            <a:ext uri="{FF2B5EF4-FFF2-40B4-BE49-F238E27FC236}">
              <a16:creationId xmlns:a16="http://schemas.microsoft.com/office/drawing/2014/main" xmlns="" id="{815F25F7-90D3-451E-937A-AC57CF54A72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038" name="Text Box 1">
          <a:extLst>
            <a:ext uri="{FF2B5EF4-FFF2-40B4-BE49-F238E27FC236}">
              <a16:creationId xmlns:a16="http://schemas.microsoft.com/office/drawing/2014/main" xmlns="" id="{2C2F2785-95F1-4CBC-BEA9-305790D775C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039" name="Text Box 1">
          <a:extLst>
            <a:ext uri="{FF2B5EF4-FFF2-40B4-BE49-F238E27FC236}">
              <a16:creationId xmlns:a16="http://schemas.microsoft.com/office/drawing/2014/main" xmlns="" id="{78C46561-FD32-4329-84FC-D4D52B5775A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040" name="Text Box 1">
          <a:extLst>
            <a:ext uri="{FF2B5EF4-FFF2-40B4-BE49-F238E27FC236}">
              <a16:creationId xmlns:a16="http://schemas.microsoft.com/office/drawing/2014/main" xmlns="" id="{DD91D1B8-B40F-4343-AC9E-E69B90F81FF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041" name="Text Box 1">
          <a:extLst>
            <a:ext uri="{FF2B5EF4-FFF2-40B4-BE49-F238E27FC236}">
              <a16:creationId xmlns:a16="http://schemas.microsoft.com/office/drawing/2014/main" xmlns="" id="{78B8AFC9-C2CE-4F0E-B839-FDDC698CD11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042" name="Text Box 1">
          <a:extLst>
            <a:ext uri="{FF2B5EF4-FFF2-40B4-BE49-F238E27FC236}">
              <a16:creationId xmlns:a16="http://schemas.microsoft.com/office/drawing/2014/main" xmlns="" id="{C61D0B5A-4557-4D0E-9A76-7E4A489F60B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043" name="Text Box 1">
          <a:extLst>
            <a:ext uri="{FF2B5EF4-FFF2-40B4-BE49-F238E27FC236}">
              <a16:creationId xmlns:a16="http://schemas.microsoft.com/office/drawing/2014/main" xmlns="" id="{AE66F34E-F4F6-4227-BDA3-AE6EB321F1E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044" name="Text Box 1">
          <a:extLst>
            <a:ext uri="{FF2B5EF4-FFF2-40B4-BE49-F238E27FC236}">
              <a16:creationId xmlns:a16="http://schemas.microsoft.com/office/drawing/2014/main" xmlns="" id="{0571AB78-F976-4E15-9756-C09E0F43DD5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045" name="Text Box 1">
          <a:extLst>
            <a:ext uri="{FF2B5EF4-FFF2-40B4-BE49-F238E27FC236}">
              <a16:creationId xmlns:a16="http://schemas.microsoft.com/office/drawing/2014/main" xmlns="" id="{4953AF59-7F59-4FB2-A0B7-DF3A2209ADB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046" name="Text Box 1">
          <a:extLst>
            <a:ext uri="{FF2B5EF4-FFF2-40B4-BE49-F238E27FC236}">
              <a16:creationId xmlns:a16="http://schemas.microsoft.com/office/drawing/2014/main" xmlns="" id="{0AF8E603-5240-4688-95C7-696B63F2F78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047" name="Text Box 1">
          <a:extLst>
            <a:ext uri="{FF2B5EF4-FFF2-40B4-BE49-F238E27FC236}">
              <a16:creationId xmlns:a16="http://schemas.microsoft.com/office/drawing/2014/main" xmlns="" id="{5A551CCD-6F2C-491E-B57A-A88D5A43CE8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048" name="Text Box 1">
          <a:extLst>
            <a:ext uri="{FF2B5EF4-FFF2-40B4-BE49-F238E27FC236}">
              <a16:creationId xmlns:a16="http://schemas.microsoft.com/office/drawing/2014/main" xmlns="" id="{E37E742C-224E-4B24-88F3-5F6D4EEE0E9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049" name="Text Box 1">
          <a:extLst>
            <a:ext uri="{FF2B5EF4-FFF2-40B4-BE49-F238E27FC236}">
              <a16:creationId xmlns:a16="http://schemas.microsoft.com/office/drawing/2014/main" xmlns="" id="{EA27F24A-6491-4F07-BF56-53042BA8689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050" name="Text Box 1">
          <a:extLst>
            <a:ext uri="{FF2B5EF4-FFF2-40B4-BE49-F238E27FC236}">
              <a16:creationId xmlns:a16="http://schemas.microsoft.com/office/drawing/2014/main" xmlns="" id="{9388F717-A6AA-432B-A410-34DA93AC467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051" name="Text Box 1">
          <a:extLst>
            <a:ext uri="{FF2B5EF4-FFF2-40B4-BE49-F238E27FC236}">
              <a16:creationId xmlns:a16="http://schemas.microsoft.com/office/drawing/2014/main" xmlns="" id="{402E1FCC-EB9B-46A4-AB03-AA4E253EA62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052" name="Text Box 1">
          <a:extLst>
            <a:ext uri="{FF2B5EF4-FFF2-40B4-BE49-F238E27FC236}">
              <a16:creationId xmlns:a16="http://schemas.microsoft.com/office/drawing/2014/main" xmlns="" id="{737F2502-4640-479E-A4F5-DC0FBD565AA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053" name="Text Box 1">
          <a:extLst>
            <a:ext uri="{FF2B5EF4-FFF2-40B4-BE49-F238E27FC236}">
              <a16:creationId xmlns:a16="http://schemas.microsoft.com/office/drawing/2014/main" xmlns="" id="{32F96971-2234-435C-BE67-DF96149112A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054" name="Text Box 1">
          <a:extLst>
            <a:ext uri="{FF2B5EF4-FFF2-40B4-BE49-F238E27FC236}">
              <a16:creationId xmlns:a16="http://schemas.microsoft.com/office/drawing/2014/main" xmlns="" id="{D047D5C8-7BB3-4FC7-9E7E-CF8869DE059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055" name="Text Box 1">
          <a:extLst>
            <a:ext uri="{FF2B5EF4-FFF2-40B4-BE49-F238E27FC236}">
              <a16:creationId xmlns:a16="http://schemas.microsoft.com/office/drawing/2014/main" xmlns="" id="{51BE3BFD-AF97-4680-83F0-A7F813D68D8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056" name="Text Box 1">
          <a:extLst>
            <a:ext uri="{FF2B5EF4-FFF2-40B4-BE49-F238E27FC236}">
              <a16:creationId xmlns:a16="http://schemas.microsoft.com/office/drawing/2014/main" xmlns="" id="{9925218C-071D-4749-B58F-C091650AC98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057" name="Text Box 1">
          <a:extLst>
            <a:ext uri="{FF2B5EF4-FFF2-40B4-BE49-F238E27FC236}">
              <a16:creationId xmlns:a16="http://schemas.microsoft.com/office/drawing/2014/main" xmlns="" id="{1640D308-1E79-4A3E-963C-75046B52608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058" name="Text Box 1">
          <a:extLst>
            <a:ext uri="{FF2B5EF4-FFF2-40B4-BE49-F238E27FC236}">
              <a16:creationId xmlns:a16="http://schemas.microsoft.com/office/drawing/2014/main" xmlns="" id="{0A416802-8E32-41BF-8398-0CACEE6A8E9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059" name="Text Box 1">
          <a:extLst>
            <a:ext uri="{FF2B5EF4-FFF2-40B4-BE49-F238E27FC236}">
              <a16:creationId xmlns:a16="http://schemas.microsoft.com/office/drawing/2014/main" xmlns="" id="{58250BB0-640E-4271-833F-8EFF40F2147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060" name="Text Box 1">
          <a:extLst>
            <a:ext uri="{FF2B5EF4-FFF2-40B4-BE49-F238E27FC236}">
              <a16:creationId xmlns:a16="http://schemas.microsoft.com/office/drawing/2014/main" xmlns="" id="{19D5CA9E-5968-4C88-92B2-E70555C761C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061" name="Text Box 1">
          <a:extLst>
            <a:ext uri="{FF2B5EF4-FFF2-40B4-BE49-F238E27FC236}">
              <a16:creationId xmlns:a16="http://schemas.microsoft.com/office/drawing/2014/main" xmlns="" id="{236997B3-EAC0-491C-9A79-236E12C17CC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062" name="Text Box 1">
          <a:extLst>
            <a:ext uri="{FF2B5EF4-FFF2-40B4-BE49-F238E27FC236}">
              <a16:creationId xmlns:a16="http://schemas.microsoft.com/office/drawing/2014/main" xmlns="" id="{B89EB1DD-C1D3-457B-A2AF-99B537CCBDC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063" name="Text Box 1">
          <a:extLst>
            <a:ext uri="{FF2B5EF4-FFF2-40B4-BE49-F238E27FC236}">
              <a16:creationId xmlns:a16="http://schemas.microsoft.com/office/drawing/2014/main" xmlns="" id="{C03C5B08-6CAB-4FC0-8035-C60AC67A4DB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064" name="Text Box 1">
          <a:extLst>
            <a:ext uri="{FF2B5EF4-FFF2-40B4-BE49-F238E27FC236}">
              <a16:creationId xmlns:a16="http://schemas.microsoft.com/office/drawing/2014/main" xmlns="" id="{5582772E-DFCE-4B78-B736-4386D660AD8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065" name="Text Box 1">
          <a:extLst>
            <a:ext uri="{FF2B5EF4-FFF2-40B4-BE49-F238E27FC236}">
              <a16:creationId xmlns:a16="http://schemas.microsoft.com/office/drawing/2014/main" xmlns="" id="{E317FA77-BE30-4D3D-AEDC-248DEA0317F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066" name="Text Box 1">
          <a:extLst>
            <a:ext uri="{FF2B5EF4-FFF2-40B4-BE49-F238E27FC236}">
              <a16:creationId xmlns:a16="http://schemas.microsoft.com/office/drawing/2014/main" xmlns="" id="{C8E9DD2D-1C14-45AC-9F7D-EE39EA34118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067" name="Text Box 1">
          <a:extLst>
            <a:ext uri="{FF2B5EF4-FFF2-40B4-BE49-F238E27FC236}">
              <a16:creationId xmlns:a16="http://schemas.microsoft.com/office/drawing/2014/main" xmlns="" id="{26A86D2C-AD8C-41F3-8AC7-D98A808E1A7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068" name="Text Box 1">
          <a:extLst>
            <a:ext uri="{FF2B5EF4-FFF2-40B4-BE49-F238E27FC236}">
              <a16:creationId xmlns:a16="http://schemas.microsoft.com/office/drawing/2014/main" xmlns="" id="{AFBECD4C-A844-488C-966E-D69306D900C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069" name="Text Box 1">
          <a:extLst>
            <a:ext uri="{FF2B5EF4-FFF2-40B4-BE49-F238E27FC236}">
              <a16:creationId xmlns:a16="http://schemas.microsoft.com/office/drawing/2014/main" xmlns="" id="{F553ECEC-01C6-44FD-A035-2BFD25C7F82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070" name="Text Box 1">
          <a:extLst>
            <a:ext uri="{FF2B5EF4-FFF2-40B4-BE49-F238E27FC236}">
              <a16:creationId xmlns:a16="http://schemas.microsoft.com/office/drawing/2014/main" xmlns="" id="{C7A8208F-0A9A-4C3D-9189-AC62AFFE6BE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071" name="Text Box 1">
          <a:extLst>
            <a:ext uri="{FF2B5EF4-FFF2-40B4-BE49-F238E27FC236}">
              <a16:creationId xmlns:a16="http://schemas.microsoft.com/office/drawing/2014/main" xmlns="" id="{82385E10-1396-4F9E-A35C-52A76CB0C77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072" name="Text Box 1">
          <a:extLst>
            <a:ext uri="{FF2B5EF4-FFF2-40B4-BE49-F238E27FC236}">
              <a16:creationId xmlns:a16="http://schemas.microsoft.com/office/drawing/2014/main" xmlns="" id="{75897A91-619F-42D4-A68A-895D4F4EE091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073" name="Text Box 1">
          <a:extLst>
            <a:ext uri="{FF2B5EF4-FFF2-40B4-BE49-F238E27FC236}">
              <a16:creationId xmlns:a16="http://schemas.microsoft.com/office/drawing/2014/main" xmlns="" id="{BDD77DDD-B252-4F2E-84A9-E636C12B17D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074" name="Text Box 1">
          <a:extLst>
            <a:ext uri="{FF2B5EF4-FFF2-40B4-BE49-F238E27FC236}">
              <a16:creationId xmlns:a16="http://schemas.microsoft.com/office/drawing/2014/main" xmlns="" id="{50DB04F3-FA3B-48CA-BE2C-091E3352E73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075" name="Text Box 1">
          <a:extLst>
            <a:ext uri="{FF2B5EF4-FFF2-40B4-BE49-F238E27FC236}">
              <a16:creationId xmlns:a16="http://schemas.microsoft.com/office/drawing/2014/main" xmlns="" id="{D064397C-D845-449F-826A-A2D31571FE6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076" name="Text Box 1">
          <a:extLst>
            <a:ext uri="{FF2B5EF4-FFF2-40B4-BE49-F238E27FC236}">
              <a16:creationId xmlns:a16="http://schemas.microsoft.com/office/drawing/2014/main" xmlns="" id="{28762F55-4958-4E80-ACC4-4BDFD4ABDE7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077" name="Text Box 1">
          <a:extLst>
            <a:ext uri="{FF2B5EF4-FFF2-40B4-BE49-F238E27FC236}">
              <a16:creationId xmlns:a16="http://schemas.microsoft.com/office/drawing/2014/main" xmlns="" id="{4216F0A3-B509-42E6-9378-8A452EBF068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078" name="Text Box 1">
          <a:extLst>
            <a:ext uri="{FF2B5EF4-FFF2-40B4-BE49-F238E27FC236}">
              <a16:creationId xmlns:a16="http://schemas.microsoft.com/office/drawing/2014/main" xmlns="" id="{2C15B7AC-07CE-416E-ABBA-F6DE693416A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079" name="Text Box 1">
          <a:extLst>
            <a:ext uri="{FF2B5EF4-FFF2-40B4-BE49-F238E27FC236}">
              <a16:creationId xmlns:a16="http://schemas.microsoft.com/office/drawing/2014/main" xmlns="" id="{17CEFAC9-C77B-4B0E-9624-775CB4FB660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080" name="Text Box 1">
          <a:extLst>
            <a:ext uri="{FF2B5EF4-FFF2-40B4-BE49-F238E27FC236}">
              <a16:creationId xmlns:a16="http://schemas.microsoft.com/office/drawing/2014/main" xmlns="" id="{030CA5A3-249E-4E30-A621-F7B537D8A5A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081" name="Text Box 1">
          <a:extLst>
            <a:ext uri="{FF2B5EF4-FFF2-40B4-BE49-F238E27FC236}">
              <a16:creationId xmlns:a16="http://schemas.microsoft.com/office/drawing/2014/main" xmlns="" id="{EF08A6C2-AA57-4165-AD71-C149C675371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082" name="Text Box 1">
          <a:extLst>
            <a:ext uri="{FF2B5EF4-FFF2-40B4-BE49-F238E27FC236}">
              <a16:creationId xmlns:a16="http://schemas.microsoft.com/office/drawing/2014/main" xmlns="" id="{861BA686-BD40-4BB5-9715-E2F12D17964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083" name="Text Box 1">
          <a:extLst>
            <a:ext uri="{FF2B5EF4-FFF2-40B4-BE49-F238E27FC236}">
              <a16:creationId xmlns:a16="http://schemas.microsoft.com/office/drawing/2014/main" xmlns="" id="{3372EE1E-9F61-43FA-A16A-6B2D5AD0979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084" name="Text Box 1">
          <a:extLst>
            <a:ext uri="{FF2B5EF4-FFF2-40B4-BE49-F238E27FC236}">
              <a16:creationId xmlns:a16="http://schemas.microsoft.com/office/drawing/2014/main" xmlns="" id="{7909A77B-85CC-49ED-AD02-C6445368CC8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085" name="Text Box 1">
          <a:extLst>
            <a:ext uri="{FF2B5EF4-FFF2-40B4-BE49-F238E27FC236}">
              <a16:creationId xmlns:a16="http://schemas.microsoft.com/office/drawing/2014/main" xmlns="" id="{CD00B4E3-9E06-43C1-B854-CF67A436FCE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086" name="Text Box 1">
          <a:extLst>
            <a:ext uri="{FF2B5EF4-FFF2-40B4-BE49-F238E27FC236}">
              <a16:creationId xmlns:a16="http://schemas.microsoft.com/office/drawing/2014/main" xmlns="" id="{59C39FB5-DA78-4A4B-B753-611FBED35A6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087" name="Text Box 1">
          <a:extLst>
            <a:ext uri="{FF2B5EF4-FFF2-40B4-BE49-F238E27FC236}">
              <a16:creationId xmlns:a16="http://schemas.microsoft.com/office/drawing/2014/main" xmlns="" id="{8F300837-F4F2-41A3-9D50-3C7C968A929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088" name="Text Box 1">
          <a:extLst>
            <a:ext uri="{FF2B5EF4-FFF2-40B4-BE49-F238E27FC236}">
              <a16:creationId xmlns:a16="http://schemas.microsoft.com/office/drawing/2014/main" xmlns="" id="{6438AD9C-05C2-402C-A818-F35EAE15E1F1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089" name="Text Box 1">
          <a:extLst>
            <a:ext uri="{FF2B5EF4-FFF2-40B4-BE49-F238E27FC236}">
              <a16:creationId xmlns:a16="http://schemas.microsoft.com/office/drawing/2014/main" xmlns="" id="{ABE0A9A1-1B8B-43EA-9D13-7EA4E732D49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090" name="Text Box 1">
          <a:extLst>
            <a:ext uri="{FF2B5EF4-FFF2-40B4-BE49-F238E27FC236}">
              <a16:creationId xmlns:a16="http://schemas.microsoft.com/office/drawing/2014/main" xmlns="" id="{F0FE7972-2BED-4FD4-BBC5-BCB75A755F9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091" name="Text Box 1">
          <a:extLst>
            <a:ext uri="{FF2B5EF4-FFF2-40B4-BE49-F238E27FC236}">
              <a16:creationId xmlns:a16="http://schemas.microsoft.com/office/drawing/2014/main" xmlns="" id="{50E46F8F-523C-499E-B853-B2FDCA876C2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092" name="Text Box 1">
          <a:extLst>
            <a:ext uri="{FF2B5EF4-FFF2-40B4-BE49-F238E27FC236}">
              <a16:creationId xmlns:a16="http://schemas.microsoft.com/office/drawing/2014/main" xmlns="" id="{5C33B242-2FB4-446B-9878-3988C7C3BB0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093" name="Text Box 1">
          <a:extLst>
            <a:ext uri="{FF2B5EF4-FFF2-40B4-BE49-F238E27FC236}">
              <a16:creationId xmlns:a16="http://schemas.microsoft.com/office/drawing/2014/main" xmlns="" id="{DE88FB9C-2C1F-4925-97FA-0EF8A800838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094" name="Text Box 1">
          <a:extLst>
            <a:ext uri="{FF2B5EF4-FFF2-40B4-BE49-F238E27FC236}">
              <a16:creationId xmlns:a16="http://schemas.microsoft.com/office/drawing/2014/main" xmlns="" id="{BE79C179-ACBA-4FBE-ACF5-55D82709557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095" name="Text Box 1">
          <a:extLst>
            <a:ext uri="{FF2B5EF4-FFF2-40B4-BE49-F238E27FC236}">
              <a16:creationId xmlns:a16="http://schemas.microsoft.com/office/drawing/2014/main" xmlns="" id="{ABF95FA3-2CC6-4AD1-BDD9-B217991EE01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096" name="Text Box 1">
          <a:extLst>
            <a:ext uri="{FF2B5EF4-FFF2-40B4-BE49-F238E27FC236}">
              <a16:creationId xmlns:a16="http://schemas.microsoft.com/office/drawing/2014/main" xmlns="" id="{4980E5AC-DE74-42BF-AA28-5F8D0E2F5E3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097" name="Text Box 1">
          <a:extLst>
            <a:ext uri="{FF2B5EF4-FFF2-40B4-BE49-F238E27FC236}">
              <a16:creationId xmlns:a16="http://schemas.microsoft.com/office/drawing/2014/main" xmlns="" id="{4B52D285-09C3-4A7C-ABA6-AE12EFCF932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098" name="Text Box 1">
          <a:extLst>
            <a:ext uri="{FF2B5EF4-FFF2-40B4-BE49-F238E27FC236}">
              <a16:creationId xmlns:a16="http://schemas.microsoft.com/office/drawing/2014/main" xmlns="" id="{D39702E4-24D0-4E1B-9B2C-E8D7275705B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099" name="Text Box 1">
          <a:extLst>
            <a:ext uri="{FF2B5EF4-FFF2-40B4-BE49-F238E27FC236}">
              <a16:creationId xmlns:a16="http://schemas.microsoft.com/office/drawing/2014/main" xmlns="" id="{59AE75BB-78DD-4D0A-BEF0-9659AA922DD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100" name="Text Box 1">
          <a:extLst>
            <a:ext uri="{FF2B5EF4-FFF2-40B4-BE49-F238E27FC236}">
              <a16:creationId xmlns:a16="http://schemas.microsoft.com/office/drawing/2014/main" xmlns="" id="{00EBEECD-4F7D-47EC-B67E-D335F13A588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101" name="Text Box 1">
          <a:extLst>
            <a:ext uri="{FF2B5EF4-FFF2-40B4-BE49-F238E27FC236}">
              <a16:creationId xmlns:a16="http://schemas.microsoft.com/office/drawing/2014/main" xmlns="" id="{B11E0E84-8843-4DE1-9C16-8AFC7660ACB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102" name="Text Box 1">
          <a:extLst>
            <a:ext uri="{FF2B5EF4-FFF2-40B4-BE49-F238E27FC236}">
              <a16:creationId xmlns:a16="http://schemas.microsoft.com/office/drawing/2014/main" xmlns="" id="{C7069566-9E8A-4551-BE96-4D65373F280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103" name="Text Box 1">
          <a:extLst>
            <a:ext uri="{FF2B5EF4-FFF2-40B4-BE49-F238E27FC236}">
              <a16:creationId xmlns:a16="http://schemas.microsoft.com/office/drawing/2014/main" xmlns="" id="{6FA38B4B-5086-4E7A-9C88-336EC82AC31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104" name="Text Box 1">
          <a:extLst>
            <a:ext uri="{FF2B5EF4-FFF2-40B4-BE49-F238E27FC236}">
              <a16:creationId xmlns:a16="http://schemas.microsoft.com/office/drawing/2014/main" xmlns="" id="{5D625CCA-F6F3-4033-A918-DD2EEFF5E4D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105" name="Text Box 1">
          <a:extLst>
            <a:ext uri="{FF2B5EF4-FFF2-40B4-BE49-F238E27FC236}">
              <a16:creationId xmlns:a16="http://schemas.microsoft.com/office/drawing/2014/main" xmlns="" id="{EF0B55A1-9DEE-456D-B968-36EE64907B2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106" name="Text Box 1">
          <a:extLst>
            <a:ext uri="{FF2B5EF4-FFF2-40B4-BE49-F238E27FC236}">
              <a16:creationId xmlns:a16="http://schemas.microsoft.com/office/drawing/2014/main" xmlns="" id="{F432D81D-8345-4F7F-A228-0C4A96A1DD9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107" name="Text Box 1">
          <a:extLst>
            <a:ext uri="{FF2B5EF4-FFF2-40B4-BE49-F238E27FC236}">
              <a16:creationId xmlns:a16="http://schemas.microsoft.com/office/drawing/2014/main" xmlns="" id="{F5B7DD89-DC1D-4394-A404-407AE1DD84B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108" name="Text Box 1">
          <a:extLst>
            <a:ext uri="{FF2B5EF4-FFF2-40B4-BE49-F238E27FC236}">
              <a16:creationId xmlns:a16="http://schemas.microsoft.com/office/drawing/2014/main" xmlns="" id="{7BDAC214-86F6-4297-971F-552A5488A8D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109" name="Text Box 1">
          <a:extLst>
            <a:ext uri="{FF2B5EF4-FFF2-40B4-BE49-F238E27FC236}">
              <a16:creationId xmlns:a16="http://schemas.microsoft.com/office/drawing/2014/main" xmlns="" id="{1A052416-2911-4703-BD40-76C655B152B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110" name="Text Box 1">
          <a:extLst>
            <a:ext uri="{FF2B5EF4-FFF2-40B4-BE49-F238E27FC236}">
              <a16:creationId xmlns:a16="http://schemas.microsoft.com/office/drawing/2014/main" xmlns="" id="{FA3DC6A3-25F4-4399-89EA-BC7824B7371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111" name="Text Box 1">
          <a:extLst>
            <a:ext uri="{FF2B5EF4-FFF2-40B4-BE49-F238E27FC236}">
              <a16:creationId xmlns:a16="http://schemas.microsoft.com/office/drawing/2014/main" xmlns="" id="{C366F741-293E-4E8F-AD14-CF28D06408F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112" name="Text Box 1">
          <a:extLst>
            <a:ext uri="{FF2B5EF4-FFF2-40B4-BE49-F238E27FC236}">
              <a16:creationId xmlns:a16="http://schemas.microsoft.com/office/drawing/2014/main" xmlns="" id="{55688AEA-FBD5-4F41-AD3A-0B47804EA9C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113" name="Text Box 1">
          <a:extLst>
            <a:ext uri="{FF2B5EF4-FFF2-40B4-BE49-F238E27FC236}">
              <a16:creationId xmlns:a16="http://schemas.microsoft.com/office/drawing/2014/main" xmlns="" id="{A8201075-6742-4798-8FDB-258B0CB628A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114" name="Text Box 1">
          <a:extLst>
            <a:ext uri="{FF2B5EF4-FFF2-40B4-BE49-F238E27FC236}">
              <a16:creationId xmlns:a16="http://schemas.microsoft.com/office/drawing/2014/main" xmlns="" id="{4A6F24C5-BAE8-4961-859C-F1FBCBB56BD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115" name="Text Box 1">
          <a:extLst>
            <a:ext uri="{FF2B5EF4-FFF2-40B4-BE49-F238E27FC236}">
              <a16:creationId xmlns:a16="http://schemas.microsoft.com/office/drawing/2014/main" xmlns="" id="{EA808CB3-FDB8-4BB6-8E52-9ED95293FD5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116" name="Text Box 1">
          <a:extLst>
            <a:ext uri="{FF2B5EF4-FFF2-40B4-BE49-F238E27FC236}">
              <a16:creationId xmlns:a16="http://schemas.microsoft.com/office/drawing/2014/main" xmlns="" id="{A2C422DC-C2CF-45F6-8F59-D9DC008D1AB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117" name="Text Box 1">
          <a:extLst>
            <a:ext uri="{FF2B5EF4-FFF2-40B4-BE49-F238E27FC236}">
              <a16:creationId xmlns:a16="http://schemas.microsoft.com/office/drawing/2014/main" xmlns="" id="{F4D82620-327E-496F-95C1-06BB2E09DC2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118" name="Text Box 1">
          <a:extLst>
            <a:ext uri="{FF2B5EF4-FFF2-40B4-BE49-F238E27FC236}">
              <a16:creationId xmlns:a16="http://schemas.microsoft.com/office/drawing/2014/main" xmlns="" id="{2BFE5932-BA94-4818-85FB-0BEE72301BA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119" name="Text Box 1">
          <a:extLst>
            <a:ext uri="{FF2B5EF4-FFF2-40B4-BE49-F238E27FC236}">
              <a16:creationId xmlns:a16="http://schemas.microsoft.com/office/drawing/2014/main" xmlns="" id="{BE0CD1A2-0BE5-4A8E-8D1A-6B283B24A3A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120" name="Text Box 1">
          <a:extLst>
            <a:ext uri="{FF2B5EF4-FFF2-40B4-BE49-F238E27FC236}">
              <a16:creationId xmlns:a16="http://schemas.microsoft.com/office/drawing/2014/main" xmlns="" id="{103ED672-7478-4548-A9BE-BFA9844FCE8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121" name="Text Box 1">
          <a:extLst>
            <a:ext uri="{FF2B5EF4-FFF2-40B4-BE49-F238E27FC236}">
              <a16:creationId xmlns:a16="http://schemas.microsoft.com/office/drawing/2014/main" xmlns="" id="{39539993-4ABF-4A7B-A06E-CBC285281FA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122" name="Text Box 1">
          <a:extLst>
            <a:ext uri="{FF2B5EF4-FFF2-40B4-BE49-F238E27FC236}">
              <a16:creationId xmlns:a16="http://schemas.microsoft.com/office/drawing/2014/main" xmlns="" id="{74398997-5E60-499A-B47D-A5B55698A3C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123" name="Text Box 1">
          <a:extLst>
            <a:ext uri="{FF2B5EF4-FFF2-40B4-BE49-F238E27FC236}">
              <a16:creationId xmlns:a16="http://schemas.microsoft.com/office/drawing/2014/main" xmlns="" id="{5A040054-47D9-4DE4-91DD-6A04B86F0C9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124" name="Text Box 1">
          <a:extLst>
            <a:ext uri="{FF2B5EF4-FFF2-40B4-BE49-F238E27FC236}">
              <a16:creationId xmlns:a16="http://schemas.microsoft.com/office/drawing/2014/main" xmlns="" id="{B77CA679-245B-4C74-B31B-42A3F92402F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125" name="Text Box 1">
          <a:extLst>
            <a:ext uri="{FF2B5EF4-FFF2-40B4-BE49-F238E27FC236}">
              <a16:creationId xmlns:a16="http://schemas.microsoft.com/office/drawing/2014/main" xmlns="" id="{06730547-E7D0-4B08-B211-ACA28F5A844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126" name="Text Box 1">
          <a:extLst>
            <a:ext uri="{FF2B5EF4-FFF2-40B4-BE49-F238E27FC236}">
              <a16:creationId xmlns:a16="http://schemas.microsoft.com/office/drawing/2014/main" xmlns="" id="{0949BB96-6963-4764-893E-2EF46BA627F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127" name="Text Box 1">
          <a:extLst>
            <a:ext uri="{FF2B5EF4-FFF2-40B4-BE49-F238E27FC236}">
              <a16:creationId xmlns:a16="http://schemas.microsoft.com/office/drawing/2014/main" xmlns="" id="{9A67066E-908A-45DF-95D8-853EA750CD6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128" name="Text Box 1">
          <a:extLst>
            <a:ext uri="{FF2B5EF4-FFF2-40B4-BE49-F238E27FC236}">
              <a16:creationId xmlns:a16="http://schemas.microsoft.com/office/drawing/2014/main" xmlns="" id="{23E47683-61FF-4F64-9E3C-D616E18A659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129" name="Text Box 1">
          <a:extLst>
            <a:ext uri="{FF2B5EF4-FFF2-40B4-BE49-F238E27FC236}">
              <a16:creationId xmlns:a16="http://schemas.microsoft.com/office/drawing/2014/main" xmlns="" id="{1370904E-49F5-4D82-B946-5B8F3804A94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130" name="Text Box 1">
          <a:extLst>
            <a:ext uri="{FF2B5EF4-FFF2-40B4-BE49-F238E27FC236}">
              <a16:creationId xmlns:a16="http://schemas.microsoft.com/office/drawing/2014/main" xmlns="" id="{068B7B0A-052C-4F02-8AFC-D6FD127C6631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2131" name="Text Box 1">
          <a:extLst>
            <a:ext uri="{FF2B5EF4-FFF2-40B4-BE49-F238E27FC236}">
              <a16:creationId xmlns:a16="http://schemas.microsoft.com/office/drawing/2014/main" xmlns="" id="{C6F3CBF3-83F0-4990-93DD-E9E7A2D59FD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2132" name="Text Box 1">
          <a:extLst>
            <a:ext uri="{FF2B5EF4-FFF2-40B4-BE49-F238E27FC236}">
              <a16:creationId xmlns:a16="http://schemas.microsoft.com/office/drawing/2014/main" xmlns="" id="{989537BF-6E52-4A35-9C97-F109A611EC5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2133" name="Text Box 1">
          <a:extLst>
            <a:ext uri="{FF2B5EF4-FFF2-40B4-BE49-F238E27FC236}">
              <a16:creationId xmlns:a16="http://schemas.microsoft.com/office/drawing/2014/main" xmlns="" id="{BC6560F5-4364-4A96-A20C-02EADCEC6DF1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2134" name="Text Box 1">
          <a:extLst>
            <a:ext uri="{FF2B5EF4-FFF2-40B4-BE49-F238E27FC236}">
              <a16:creationId xmlns:a16="http://schemas.microsoft.com/office/drawing/2014/main" xmlns="" id="{A71523CF-8483-4860-BB78-29762D3A06E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2135" name="Text Box 1">
          <a:extLst>
            <a:ext uri="{FF2B5EF4-FFF2-40B4-BE49-F238E27FC236}">
              <a16:creationId xmlns:a16="http://schemas.microsoft.com/office/drawing/2014/main" xmlns="" id="{B30C3E2B-7829-4036-82A4-A614060E250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2136" name="Text Box 1">
          <a:extLst>
            <a:ext uri="{FF2B5EF4-FFF2-40B4-BE49-F238E27FC236}">
              <a16:creationId xmlns:a16="http://schemas.microsoft.com/office/drawing/2014/main" xmlns="" id="{3B99E0C6-1E99-4FCB-864A-F42BD052F40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2137" name="Text Box 1">
          <a:extLst>
            <a:ext uri="{FF2B5EF4-FFF2-40B4-BE49-F238E27FC236}">
              <a16:creationId xmlns:a16="http://schemas.microsoft.com/office/drawing/2014/main" xmlns="" id="{061E9A14-4720-4CD3-8D10-46232F4700D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2138" name="Text Box 1">
          <a:extLst>
            <a:ext uri="{FF2B5EF4-FFF2-40B4-BE49-F238E27FC236}">
              <a16:creationId xmlns:a16="http://schemas.microsoft.com/office/drawing/2014/main" xmlns="" id="{8C224C70-F5BA-4608-9615-53E66B75C6D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2139" name="Text Box 1">
          <a:extLst>
            <a:ext uri="{FF2B5EF4-FFF2-40B4-BE49-F238E27FC236}">
              <a16:creationId xmlns:a16="http://schemas.microsoft.com/office/drawing/2014/main" xmlns="" id="{B7CDFD08-FF44-49B2-A52C-9A244D9A4D9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2140" name="Text Box 1">
          <a:extLst>
            <a:ext uri="{FF2B5EF4-FFF2-40B4-BE49-F238E27FC236}">
              <a16:creationId xmlns:a16="http://schemas.microsoft.com/office/drawing/2014/main" xmlns="" id="{5C7F3D92-AA77-4063-B3DA-C2659F0C7AD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2141" name="Text Box 1">
          <a:extLst>
            <a:ext uri="{FF2B5EF4-FFF2-40B4-BE49-F238E27FC236}">
              <a16:creationId xmlns:a16="http://schemas.microsoft.com/office/drawing/2014/main" xmlns="" id="{53ECC11A-0BB1-46F9-BF0F-83B12E5E6C7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2142" name="Text Box 1">
          <a:extLst>
            <a:ext uri="{FF2B5EF4-FFF2-40B4-BE49-F238E27FC236}">
              <a16:creationId xmlns:a16="http://schemas.microsoft.com/office/drawing/2014/main" xmlns="" id="{D92D1FF5-AE29-466F-B204-A5FFA4D9903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2143" name="Text Box 1">
          <a:extLst>
            <a:ext uri="{FF2B5EF4-FFF2-40B4-BE49-F238E27FC236}">
              <a16:creationId xmlns:a16="http://schemas.microsoft.com/office/drawing/2014/main" xmlns="" id="{D0DDCDCF-AB04-4869-A79C-514BF7B6B35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2144" name="Text Box 1">
          <a:extLst>
            <a:ext uri="{FF2B5EF4-FFF2-40B4-BE49-F238E27FC236}">
              <a16:creationId xmlns:a16="http://schemas.microsoft.com/office/drawing/2014/main" xmlns="" id="{647D1431-09AC-4F4C-96B7-6C0C7B463A0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2145" name="Text Box 1">
          <a:extLst>
            <a:ext uri="{FF2B5EF4-FFF2-40B4-BE49-F238E27FC236}">
              <a16:creationId xmlns:a16="http://schemas.microsoft.com/office/drawing/2014/main" xmlns="" id="{3D13189D-EC3A-460C-AFE3-71C50CE3616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2146" name="Text Box 1">
          <a:extLst>
            <a:ext uri="{FF2B5EF4-FFF2-40B4-BE49-F238E27FC236}">
              <a16:creationId xmlns:a16="http://schemas.microsoft.com/office/drawing/2014/main" xmlns="" id="{925ABC9D-9B2F-4685-99BF-B1B9FBD9289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2147" name="Text Box 1">
          <a:extLst>
            <a:ext uri="{FF2B5EF4-FFF2-40B4-BE49-F238E27FC236}">
              <a16:creationId xmlns:a16="http://schemas.microsoft.com/office/drawing/2014/main" xmlns="" id="{011BD0D9-FAAD-49AF-A04F-137AE4E1B92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2148" name="Text Box 1">
          <a:extLst>
            <a:ext uri="{FF2B5EF4-FFF2-40B4-BE49-F238E27FC236}">
              <a16:creationId xmlns:a16="http://schemas.microsoft.com/office/drawing/2014/main" xmlns="" id="{3737C4B6-C654-4A11-B935-F282AD3B5B8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2149" name="Text Box 1">
          <a:extLst>
            <a:ext uri="{FF2B5EF4-FFF2-40B4-BE49-F238E27FC236}">
              <a16:creationId xmlns:a16="http://schemas.microsoft.com/office/drawing/2014/main" xmlns="" id="{3EFE17F8-949D-4651-BF95-05053E80F72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2150" name="Text Box 1">
          <a:extLst>
            <a:ext uri="{FF2B5EF4-FFF2-40B4-BE49-F238E27FC236}">
              <a16:creationId xmlns:a16="http://schemas.microsoft.com/office/drawing/2014/main" xmlns="" id="{F04083D9-81DC-4A8D-AEE4-2B8312AE484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2151" name="Text Box 1">
          <a:extLst>
            <a:ext uri="{FF2B5EF4-FFF2-40B4-BE49-F238E27FC236}">
              <a16:creationId xmlns:a16="http://schemas.microsoft.com/office/drawing/2014/main" xmlns="" id="{F9618BBF-1C9A-4166-AFF1-DC4D7214B8B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2152" name="Text Box 1">
          <a:extLst>
            <a:ext uri="{FF2B5EF4-FFF2-40B4-BE49-F238E27FC236}">
              <a16:creationId xmlns:a16="http://schemas.microsoft.com/office/drawing/2014/main" xmlns="" id="{D85CC19F-C133-48F0-8A31-AD2215D24361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2153" name="Text Box 1">
          <a:extLst>
            <a:ext uri="{FF2B5EF4-FFF2-40B4-BE49-F238E27FC236}">
              <a16:creationId xmlns:a16="http://schemas.microsoft.com/office/drawing/2014/main" xmlns="" id="{8C6C84D3-4742-4FEA-B6FA-3AA5ED81723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2154" name="Text Box 1">
          <a:extLst>
            <a:ext uri="{FF2B5EF4-FFF2-40B4-BE49-F238E27FC236}">
              <a16:creationId xmlns:a16="http://schemas.microsoft.com/office/drawing/2014/main" xmlns="" id="{0D90E67B-3CB7-4AED-BDFD-10534317770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2155" name="Text Box 1">
          <a:extLst>
            <a:ext uri="{FF2B5EF4-FFF2-40B4-BE49-F238E27FC236}">
              <a16:creationId xmlns:a16="http://schemas.microsoft.com/office/drawing/2014/main" xmlns="" id="{8EFFEB9B-9F4C-4728-8164-0643D544110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2156" name="Text Box 1">
          <a:extLst>
            <a:ext uri="{FF2B5EF4-FFF2-40B4-BE49-F238E27FC236}">
              <a16:creationId xmlns:a16="http://schemas.microsoft.com/office/drawing/2014/main" xmlns="" id="{44364A1E-7BF4-4F13-8D8C-BD8FD6E0694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2157" name="Text Box 1">
          <a:extLst>
            <a:ext uri="{FF2B5EF4-FFF2-40B4-BE49-F238E27FC236}">
              <a16:creationId xmlns:a16="http://schemas.microsoft.com/office/drawing/2014/main" xmlns="" id="{A3CAF02F-F44C-4F69-A482-063EBC55CEB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2158" name="Text Box 1">
          <a:extLst>
            <a:ext uri="{FF2B5EF4-FFF2-40B4-BE49-F238E27FC236}">
              <a16:creationId xmlns:a16="http://schemas.microsoft.com/office/drawing/2014/main" xmlns="" id="{F0704843-E50D-4C32-B0A7-6AB9256EB4B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2159" name="Text Box 1">
          <a:extLst>
            <a:ext uri="{FF2B5EF4-FFF2-40B4-BE49-F238E27FC236}">
              <a16:creationId xmlns:a16="http://schemas.microsoft.com/office/drawing/2014/main" xmlns="" id="{2228B1D1-1CB8-40FC-9944-8DB06C76DDF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2160" name="Text Box 1">
          <a:extLst>
            <a:ext uri="{FF2B5EF4-FFF2-40B4-BE49-F238E27FC236}">
              <a16:creationId xmlns:a16="http://schemas.microsoft.com/office/drawing/2014/main" xmlns="" id="{70276F37-3394-4BFF-A968-F041D91B13C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2161" name="Text Box 1">
          <a:extLst>
            <a:ext uri="{FF2B5EF4-FFF2-40B4-BE49-F238E27FC236}">
              <a16:creationId xmlns:a16="http://schemas.microsoft.com/office/drawing/2014/main" xmlns="" id="{0D50AC0D-DE87-4798-9A66-5CC1A2239F4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2162" name="Text Box 1">
          <a:extLst>
            <a:ext uri="{FF2B5EF4-FFF2-40B4-BE49-F238E27FC236}">
              <a16:creationId xmlns:a16="http://schemas.microsoft.com/office/drawing/2014/main" xmlns="" id="{D85BDEED-F273-4C8A-B7B5-2354DFE88F9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2163" name="Text Box 1">
          <a:extLst>
            <a:ext uri="{FF2B5EF4-FFF2-40B4-BE49-F238E27FC236}">
              <a16:creationId xmlns:a16="http://schemas.microsoft.com/office/drawing/2014/main" xmlns="" id="{19B39CFA-B321-4DA9-8160-BA4015E2FE2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2164" name="Text Box 1">
          <a:extLst>
            <a:ext uri="{FF2B5EF4-FFF2-40B4-BE49-F238E27FC236}">
              <a16:creationId xmlns:a16="http://schemas.microsoft.com/office/drawing/2014/main" xmlns="" id="{E9CD9A83-D452-41C6-AB26-8951B5F793A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2165" name="Text Box 1">
          <a:extLst>
            <a:ext uri="{FF2B5EF4-FFF2-40B4-BE49-F238E27FC236}">
              <a16:creationId xmlns:a16="http://schemas.microsoft.com/office/drawing/2014/main" xmlns="" id="{2117813A-6A1A-4272-9762-4E3A961467B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2166" name="Text Box 1">
          <a:extLst>
            <a:ext uri="{FF2B5EF4-FFF2-40B4-BE49-F238E27FC236}">
              <a16:creationId xmlns:a16="http://schemas.microsoft.com/office/drawing/2014/main" xmlns="" id="{338FE7FA-41AC-4314-A810-6CFC870E18E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2167" name="Text Box 1">
          <a:extLst>
            <a:ext uri="{FF2B5EF4-FFF2-40B4-BE49-F238E27FC236}">
              <a16:creationId xmlns:a16="http://schemas.microsoft.com/office/drawing/2014/main" xmlns="" id="{0B9B2C5B-C22F-45D1-A4B3-4BA1B31CDD4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2168" name="Text Box 1">
          <a:extLst>
            <a:ext uri="{FF2B5EF4-FFF2-40B4-BE49-F238E27FC236}">
              <a16:creationId xmlns:a16="http://schemas.microsoft.com/office/drawing/2014/main" xmlns="" id="{0A1FEBD9-305E-4D51-B44E-C74E73DEF7F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2169" name="Text Box 1">
          <a:extLst>
            <a:ext uri="{FF2B5EF4-FFF2-40B4-BE49-F238E27FC236}">
              <a16:creationId xmlns:a16="http://schemas.microsoft.com/office/drawing/2014/main" xmlns="" id="{63A2A140-8465-495E-9E6C-E14131E9331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2170" name="Text Box 1">
          <a:extLst>
            <a:ext uri="{FF2B5EF4-FFF2-40B4-BE49-F238E27FC236}">
              <a16:creationId xmlns:a16="http://schemas.microsoft.com/office/drawing/2014/main" xmlns="" id="{C3FE6386-53F2-435C-B466-929E7F246F8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2171" name="Text Box 1">
          <a:extLst>
            <a:ext uri="{FF2B5EF4-FFF2-40B4-BE49-F238E27FC236}">
              <a16:creationId xmlns:a16="http://schemas.microsoft.com/office/drawing/2014/main" xmlns="" id="{A688D2B0-2E32-4530-BC8D-26AE09F9637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2172" name="Text Box 1">
          <a:extLst>
            <a:ext uri="{FF2B5EF4-FFF2-40B4-BE49-F238E27FC236}">
              <a16:creationId xmlns:a16="http://schemas.microsoft.com/office/drawing/2014/main" xmlns="" id="{FBF712C0-FFF3-4BB7-93CD-3B61170E1C6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2173" name="Text Box 1">
          <a:extLst>
            <a:ext uri="{FF2B5EF4-FFF2-40B4-BE49-F238E27FC236}">
              <a16:creationId xmlns:a16="http://schemas.microsoft.com/office/drawing/2014/main" xmlns="" id="{52D7E420-3EC8-4772-AC6C-6A6EDCC159E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2174" name="Text Box 1">
          <a:extLst>
            <a:ext uri="{FF2B5EF4-FFF2-40B4-BE49-F238E27FC236}">
              <a16:creationId xmlns:a16="http://schemas.microsoft.com/office/drawing/2014/main" xmlns="" id="{863DF66D-6F59-4985-8B21-8F995867421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2175" name="Text Box 1">
          <a:extLst>
            <a:ext uri="{FF2B5EF4-FFF2-40B4-BE49-F238E27FC236}">
              <a16:creationId xmlns:a16="http://schemas.microsoft.com/office/drawing/2014/main" xmlns="" id="{A19E31AD-3091-49D1-990F-C37B46B46E4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2176" name="Text Box 1">
          <a:extLst>
            <a:ext uri="{FF2B5EF4-FFF2-40B4-BE49-F238E27FC236}">
              <a16:creationId xmlns:a16="http://schemas.microsoft.com/office/drawing/2014/main" xmlns="" id="{928FB245-830D-44BA-8425-2B332E5D05B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2177" name="Text Box 1">
          <a:extLst>
            <a:ext uri="{FF2B5EF4-FFF2-40B4-BE49-F238E27FC236}">
              <a16:creationId xmlns:a16="http://schemas.microsoft.com/office/drawing/2014/main" xmlns="" id="{5A5523B7-8849-4577-ACB1-30F73B6A1B1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2178" name="Text Box 1">
          <a:extLst>
            <a:ext uri="{FF2B5EF4-FFF2-40B4-BE49-F238E27FC236}">
              <a16:creationId xmlns:a16="http://schemas.microsoft.com/office/drawing/2014/main" xmlns="" id="{EF32BE1E-E6B5-4B0D-95CD-C2F4774F710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2179" name="Text Box 1">
          <a:extLst>
            <a:ext uri="{FF2B5EF4-FFF2-40B4-BE49-F238E27FC236}">
              <a16:creationId xmlns:a16="http://schemas.microsoft.com/office/drawing/2014/main" xmlns="" id="{683C7387-8786-4626-9DCE-5B94D6E1541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2180" name="Text Box 1">
          <a:extLst>
            <a:ext uri="{FF2B5EF4-FFF2-40B4-BE49-F238E27FC236}">
              <a16:creationId xmlns:a16="http://schemas.microsoft.com/office/drawing/2014/main" xmlns="" id="{6DA89A53-15F7-4B48-9E3A-33328333DD4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181" name="Text Box 1">
          <a:extLst>
            <a:ext uri="{FF2B5EF4-FFF2-40B4-BE49-F238E27FC236}">
              <a16:creationId xmlns:a16="http://schemas.microsoft.com/office/drawing/2014/main" xmlns="" id="{1ABE8583-B8BE-4B6E-A4AF-AECBB7F15BD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182" name="Text Box 1">
          <a:extLst>
            <a:ext uri="{FF2B5EF4-FFF2-40B4-BE49-F238E27FC236}">
              <a16:creationId xmlns:a16="http://schemas.microsoft.com/office/drawing/2014/main" xmlns="" id="{EBA22827-85DE-440C-8DEA-749E31243B6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183" name="Text Box 1">
          <a:extLst>
            <a:ext uri="{FF2B5EF4-FFF2-40B4-BE49-F238E27FC236}">
              <a16:creationId xmlns:a16="http://schemas.microsoft.com/office/drawing/2014/main" xmlns="" id="{4B185C77-DAD9-4D4F-A0D2-D1D2BC0726D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184" name="Text Box 1">
          <a:extLst>
            <a:ext uri="{FF2B5EF4-FFF2-40B4-BE49-F238E27FC236}">
              <a16:creationId xmlns:a16="http://schemas.microsoft.com/office/drawing/2014/main" xmlns="" id="{13BCED7C-F660-41E1-B497-13B83597E5C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185" name="Text Box 1">
          <a:extLst>
            <a:ext uri="{FF2B5EF4-FFF2-40B4-BE49-F238E27FC236}">
              <a16:creationId xmlns:a16="http://schemas.microsoft.com/office/drawing/2014/main" xmlns="" id="{F79FFEB1-A1C1-4173-885B-35501BF9CEF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186" name="Text Box 1">
          <a:extLst>
            <a:ext uri="{FF2B5EF4-FFF2-40B4-BE49-F238E27FC236}">
              <a16:creationId xmlns:a16="http://schemas.microsoft.com/office/drawing/2014/main" xmlns="" id="{F26CD50C-C68E-4574-B6D5-14CC2101B06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187" name="Text Box 1">
          <a:extLst>
            <a:ext uri="{FF2B5EF4-FFF2-40B4-BE49-F238E27FC236}">
              <a16:creationId xmlns:a16="http://schemas.microsoft.com/office/drawing/2014/main" xmlns="" id="{FDA0CE54-1EA9-4E9D-9E23-BF926E7E630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188" name="Text Box 1">
          <a:extLst>
            <a:ext uri="{FF2B5EF4-FFF2-40B4-BE49-F238E27FC236}">
              <a16:creationId xmlns:a16="http://schemas.microsoft.com/office/drawing/2014/main" xmlns="" id="{11C36325-ECD4-4B3F-A4E0-29D89B58CBB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189" name="Text Box 1">
          <a:extLst>
            <a:ext uri="{FF2B5EF4-FFF2-40B4-BE49-F238E27FC236}">
              <a16:creationId xmlns:a16="http://schemas.microsoft.com/office/drawing/2014/main" xmlns="" id="{A3A83F22-289A-4462-AF74-40FFC800F9D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190" name="Text Box 1">
          <a:extLst>
            <a:ext uri="{FF2B5EF4-FFF2-40B4-BE49-F238E27FC236}">
              <a16:creationId xmlns:a16="http://schemas.microsoft.com/office/drawing/2014/main" xmlns="" id="{311F8523-FD99-46C7-BB72-A428877B49B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191" name="Text Box 1">
          <a:extLst>
            <a:ext uri="{FF2B5EF4-FFF2-40B4-BE49-F238E27FC236}">
              <a16:creationId xmlns:a16="http://schemas.microsoft.com/office/drawing/2014/main" xmlns="" id="{ABAEE339-1CB2-4094-8348-95292B8C90A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192" name="Text Box 1">
          <a:extLst>
            <a:ext uri="{FF2B5EF4-FFF2-40B4-BE49-F238E27FC236}">
              <a16:creationId xmlns:a16="http://schemas.microsoft.com/office/drawing/2014/main" xmlns="" id="{5A77D52B-8475-48C6-BC21-B07A7A58DF5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193" name="Text Box 1">
          <a:extLst>
            <a:ext uri="{FF2B5EF4-FFF2-40B4-BE49-F238E27FC236}">
              <a16:creationId xmlns:a16="http://schemas.microsoft.com/office/drawing/2014/main" xmlns="" id="{3BF7EAD2-E38A-47CA-B953-DB3A3B8B430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194" name="Text Box 1">
          <a:extLst>
            <a:ext uri="{FF2B5EF4-FFF2-40B4-BE49-F238E27FC236}">
              <a16:creationId xmlns:a16="http://schemas.microsoft.com/office/drawing/2014/main" xmlns="" id="{F5D131CD-1E36-489A-9C77-EF4C823D2E5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195" name="Text Box 1">
          <a:extLst>
            <a:ext uri="{FF2B5EF4-FFF2-40B4-BE49-F238E27FC236}">
              <a16:creationId xmlns:a16="http://schemas.microsoft.com/office/drawing/2014/main" xmlns="" id="{0C2AFFAC-E91F-4881-974C-F0042B1D0EB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196" name="Text Box 1">
          <a:extLst>
            <a:ext uri="{FF2B5EF4-FFF2-40B4-BE49-F238E27FC236}">
              <a16:creationId xmlns:a16="http://schemas.microsoft.com/office/drawing/2014/main" xmlns="" id="{EE8673A1-4ED7-4EBD-ADD8-5647F7900BF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197" name="Text Box 1">
          <a:extLst>
            <a:ext uri="{FF2B5EF4-FFF2-40B4-BE49-F238E27FC236}">
              <a16:creationId xmlns:a16="http://schemas.microsoft.com/office/drawing/2014/main" xmlns="" id="{65C53905-2C41-4FB8-96E6-C4478B79504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198" name="Text Box 1">
          <a:extLst>
            <a:ext uri="{FF2B5EF4-FFF2-40B4-BE49-F238E27FC236}">
              <a16:creationId xmlns:a16="http://schemas.microsoft.com/office/drawing/2014/main" xmlns="" id="{6F86FF35-1F1A-43B7-8EF1-87801F87390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199" name="Text Box 1">
          <a:extLst>
            <a:ext uri="{FF2B5EF4-FFF2-40B4-BE49-F238E27FC236}">
              <a16:creationId xmlns:a16="http://schemas.microsoft.com/office/drawing/2014/main" xmlns="" id="{B8745373-E3F2-49B1-BDC8-A14832307F4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200" name="Text Box 1">
          <a:extLst>
            <a:ext uri="{FF2B5EF4-FFF2-40B4-BE49-F238E27FC236}">
              <a16:creationId xmlns:a16="http://schemas.microsoft.com/office/drawing/2014/main" xmlns="" id="{C0ADAE18-DE56-4599-B348-C2C3A649DED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201" name="Text Box 1">
          <a:extLst>
            <a:ext uri="{FF2B5EF4-FFF2-40B4-BE49-F238E27FC236}">
              <a16:creationId xmlns:a16="http://schemas.microsoft.com/office/drawing/2014/main" xmlns="" id="{7102335B-33DF-410D-8223-2BB4985D606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202" name="Text Box 1">
          <a:extLst>
            <a:ext uri="{FF2B5EF4-FFF2-40B4-BE49-F238E27FC236}">
              <a16:creationId xmlns:a16="http://schemas.microsoft.com/office/drawing/2014/main" xmlns="" id="{D4CDA1DD-6349-4A04-99DA-C99CDF5744A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203" name="Text Box 1">
          <a:extLst>
            <a:ext uri="{FF2B5EF4-FFF2-40B4-BE49-F238E27FC236}">
              <a16:creationId xmlns:a16="http://schemas.microsoft.com/office/drawing/2014/main" xmlns="" id="{8760CC9A-714B-437E-953C-52CD90F8995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204" name="Text Box 1">
          <a:extLst>
            <a:ext uri="{FF2B5EF4-FFF2-40B4-BE49-F238E27FC236}">
              <a16:creationId xmlns:a16="http://schemas.microsoft.com/office/drawing/2014/main" xmlns="" id="{526FEE58-9B9B-47A2-95A4-AF4A626256B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205" name="Text Box 1">
          <a:extLst>
            <a:ext uri="{FF2B5EF4-FFF2-40B4-BE49-F238E27FC236}">
              <a16:creationId xmlns:a16="http://schemas.microsoft.com/office/drawing/2014/main" xmlns="" id="{1C77DD99-8F06-4282-BAFF-68F54CCCFF5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206" name="Text Box 1">
          <a:extLst>
            <a:ext uri="{FF2B5EF4-FFF2-40B4-BE49-F238E27FC236}">
              <a16:creationId xmlns:a16="http://schemas.microsoft.com/office/drawing/2014/main" xmlns="" id="{7D841858-AF14-414C-A71A-7020D3C0CFE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207" name="Text Box 1">
          <a:extLst>
            <a:ext uri="{FF2B5EF4-FFF2-40B4-BE49-F238E27FC236}">
              <a16:creationId xmlns:a16="http://schemas.microsoft.com/office/drawing/2014/main" xmlns="" id="{F596B828-D67D-4813-8995-FA3F9115B151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208" name="Text Box 1">
          <a:extLst>
            <a:ext uri="{FF2B5EF4-FFF2-40B4-BE49-F238E27FC236}">
              <a16:creationId xmlns:a16="http://schemas.microsoft.com/office/drawing/2014/main" xmlns="" id="{DECDF37C-6F6A-43A8-89CA-6FC363FDA94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209" name="Text Box 1">
          <a:extLst>
            <a:ext uri="{FF2B5EF4-FFF2-40B4-BE49-F238E27FC236}">
              <a16:creationId xmlns:a16="http://schemas.microsoft.com/office/drawing/2014/main" xmlns="" id="{FC5484CD-EDF6-412F-B169-9E22C88EC73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210" name="Text Box 1">
          <a:extLst>
            <a:ext uri="{FF2B5EF4-FFF2-40B4-BE49-F238E27FC236}">
              <a16:creationId xmlns:a16="http://schemas.microsoft.com/office/drawing/2014/main" xmlns="" id="{56329363-40E5-4ECF-9494-52E368CE495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211" name="Text Box 1">
          <a:extLst>
            <a:ext uri="{FF2B5EF4-FFF2-40B4-BE49-F238E27FC236}">
              <a16:creationId xmlns:a16="http://schemas.microsoft.com/office/drawing/2014/main" xmlns="" id="{C5CB4FEE-2542-4ACE-A510-83A738404E0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212" name="Text Box 1">
          <a:extLst>
            <a:ext uri="{FF2B5EF4-FFF2-40B4-BE49-F238E27FC236}">
              <a16:creationId xmlns:a16="http://schemas.microsoft.com/office/drawing/2014/main" xmlns="" id="{865C4EB9-9DD5-415E-9D25-ECE0E021630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213" name="Text Box 1">
          <a:extLst>
            <a:ext uri="{FF2B5EF4-FFF2-40B4-BE49-F238E27FC236}">
              <a16:creationId xmlns:a16="http://schemas.microsoft.com/office/drawing/2014/main" xmlns="" id="{F02AC5A3-53AB-4C8F-B504-7BD6FB2F871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214" name="Text Box 1">
          <a:extLst>
            <a:ext uri="{FF2B5EF4-FFF2-40B4-BE49-F238E27FC236}">
              <a16:creationId xmlns:a16="http://schemas.microsoft.com/office/drawing/2014/main" xmlns="" id="{A732F7C9-AC03-491F-963A-35C6ABA6C70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215" name="Text Box 1">
          <a:extLst>
            <a:ext uri="{FF2B5EF4-FFF2-40B4-BE49-F238E27FC236}">
              <a16:creationId xmlns:a16="http://schemas.microsoft.com/office/drawing/2014/main" xmlns="" id="{7F0800AD-3BFB-4F50-94F0-D71A27C00FD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216" name="Text Box 1">
          <a:extLst>
            <a:ext uri="{FF2B5EF4-FFF2-40B4-BE49-F238E27FC236}">
              <a16:creationId xmlns:a16="http://schemas.microsoft.com/office/drawing/2014/main" xmlns="" id="{AD2C7F88-81FD-4FEE-A05F-B48EAD64AAD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217" name="Text Box 1">
          <a:extLst>
            <a:ext uri="{FF2B5EF4-FFF2-40B4-BE49-F238E27FC236}">
              <a16:creationId xmlns:a16="http://schemas.microsoft.com/office/drawing/2014/main" xmlns="" id="{E9FB6C3F-51DB-4D71-8888-6463098F341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218" name="Text Box 1">
          <a:extLst>
            <a:ext uri="{FF2B5EF4-FFF2-40B4-BE49-F238E27FC236}">
              <a16:creationId xmlns:a16="http://schemas.microsoft.com/office/drawing/2014/main" xmlns="" id="{39310EA1-3600-4040-A204-E5F3730CFB1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219" name="Text Box 1">
          <a:extLst>
            <a:ext uri="{FF2B5EF4-FFF2-40B4-BE49-F238E27FC236}">
              <a16:creationId xmlns:a16="http://schemas.microsoft.com/office/drawing/2014/main" xmlns="" id="{FBF58122-782C-456B-B44C-83D6FCE740B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220" name="Text Box 1">
          <a:extLst>
            <a:ext uri="{FF2B5EF4-FFF2-40B4-BE49-F238E27FC236}">
              <a16:creationId xmlns:a16="http://schemas.microsoft.com/office/drawing/2014/main" xmlns="" id="{A699F776-2591-4DA9-AD91-9FD1BEA04B7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221" name="Text Box 1">
          <a:extLst>
            <a:ext uri="{FF2B5EF4-FFF2-40B4-BE49-F238E27FC236}">
              <a16:creationId xmlns:a16="http://schemas.microsoft.com/office/drawing/2014/main" xmlns="" id="{024DC3AE-1F54-4D94-8E55-7CC8586D00D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222" name="Text Box 1">
          <a:extLst>
            <a:ext uri="{FF2B5EF4-FFF2-40B4-BE49-F238E27FC236}">
              <a16:creationId xmlns:a16="http://schemas.microsoft.com/office/drawing/2014/main" xmlns="" id="{786C7836-B8A5-4FA8-878D-AF06E64E639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223" name="Text Box 1">
          <a:extLst>
            <a:ext uri="{FF2B5EF4-FFF2-40B4-BE49-F238E27FC236}">
              <a16:creationId xmlns:a16="http://schemas.microsoft.com/office/drawing/2014/main" xmlns="" id="{A6025C88-5A9B-4FD5-8A42-F0D2CA30CD6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224" name="Text Box 1">
          <a:extLst>
            <a:ext uri="{FF2B5EF4-FFF2-40B4-BE49-F238E27FC236}">
              <a16:creationId xmlns:a16="http://schemas.microsoft.com/office/drawing/2014/main" xmlns="" id="{505004C1-F64E-48F2-8C07-75DE4E316CD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225" name="Text Box 1">
          <a:extLst>
            <a:ext uri="{FF2B5EF4-FFF2-40B4-BE49-F238E27FC236}">
              <a16:creationId xmlns:a16="http://schemas.microsoft.com/office/drawing/2014/main" xmlns="" id="{33DD3A8B-6D3A-4183-914F-38C840424A3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226" name="Text Box 1">
          <a:extLst>
            <a:ext uri="{FF2B5EF4-FFF2-40B4-BE49-F238E27FC236}">
              <a16:creationId xmlns:a16="http://schemas.microsoft.com/office/drawing/2014/main" xmlns="" id="{D927617F-F108-48B3-AC32-B332C8E2405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227" name="Text Box 1">
          <a:extLst>
            <a:ext uri="{FF2B5EF4-FFF2-40B4-BE49-F238E27FC236}">
              <a16:creationId xmlns:a16="http://schemas.microsoft.com/office/drawing/2014/main" xmlns="" id="{F3993B3B-32EC-48A1-8C7A-36DD8944AD8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228" name="Text Box 1">
          <a:extLst>
            <a:ext uri="{FF2B5EF4-FFF2-40B4-BE49-F238E27FC236}">
              <a16:creationId xmlns:a16="http://schemas.microsoft.com/office/drawing/2014/main" xmlns="" id="{1D229611-2B0E-4FBE-9C29-968915F1482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229" name="Text Box 1">
          <a:extLst>
            <a:ext uri="{FF2B5EF4-FFF2-40B4-BE49-F238E27FC236}">
              <a16:creationId xmlns:a16="http://schemas.microsoft.com/office/drawing/2014/main" xmlns="" id="{A0014851-6B8E-4B1E-BF24-AB1781D2EBC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230" name="Text Box 1">
          <a:extLst>
            <a:ext uri="{FF2B5EF4-FFF2-40B4-BE49-F238E27FC236}">
              <a16:creationId xmlns:a16="http://schemas.microsoft.com/office/drawing/2014/main" xmlns="" id="{1E3AB0CE-F74A-4349-B4F0-BCE8885C872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2231" name="Text Box 1">
          <a:extLst>
            <a:ext uri="{FF2B5EF4-FFF2-40B4-BE49-F238E27FC236}">
              <a16:creationId xmlns:a16="http://schemas.microsoft.com/office/drawing/2014/main" xmlns="" id="{33E6A956-8D38-4B91-AB93-CD8359341D6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2232" name="Text Box 1">
          <a:extLst>
            <a:ext uri="{FF2B5EF4-FFF2-40B4-BE49-F238E27FC236}">
              <a16:creationId xmlns:a16="http://schemas.microsoft.com/office/drawing/2014/main" xmlns="" id="{785F91ED-2424-4269-95E7-8C50AD29E0D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2233" name="Text Box 1">
          <a:extLst>
            <a:ext uri="{FF2B5EF4-FFF2-40B4-BE49-F238E27FC236}">
              <a16:creationId xmlns:a16="http://schemas.microsoft.com/office/drawing/2014/main" xmlns="" id="{3DA7E115-C112-4B63-9788-3742826FDB8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2234" name="Text Box 1">
          <a:extLst>
            <a:ext uri="{FF2B5EF4-FFF2-40B4-BE49-F238E27FC236}">
              <a16:creationId xmlns:a16="http://schemas.microsoft.com/office/drawing/2014/main" xmlns="" id="{2842E745-06AF-4C58-BE44-955080B7946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2235" name="Text Box 1">
          <a:extLst>
            <a:ext uri="{FF2B5EF4-FFF2-40B4-BE49-F238E27FC236}">
              <a16:creationId xmlns:a16="http://schemas.microsoft.com/office/drawing/2014/main" xmlns="" id="{0D664A3B-C3A6-499E-A741-250BDEE7F49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2236" name="Text Box 1">
          <a:extLst>
            <a:ext uri="{FF2B5EF4-FFF2-40B4-BE49-F238E27FC236}">
              <a16:creationId xmlns:a16="http://schemas.microsoft.com/office/drawing/2014/main" xmlns="" id="{8E0B85E7-2FF2-46B2-B749-191D7F012F4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2237" name="Text Box 1">
          <a:extLst>
            <a:ext uri="{FF2B5EF4-FFF2-40B4-BE49-F238E27FC236}">
              <a16:creationId xmlns:a16="http://schemas.microsoft.com/office/drawing/2014/main" xmlns="" id="{2D56A4EF-652D-4952-8266-2367CF004FD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2238" name="Text Box 1">
          <a:extLst>
            <a:ext uri="{FF2B5EF4-FFF2-40B4-BE49-F238E27FC236}">
              <a16:creationId xmlns:a16="http://schemas.microsoft.com/office/drawing/2014/main" xmlns="" id="{8E96ABB0-FF63-49E6-B3FE-8154B605321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2239" name="Text Box 1">
          <a:extLst>
            <a:ext uri="{FF2B5EF4-FFF2-40B4-BE49-F238E27FC236}">
              <a16:creationId xmlns:a16="http://schemas.microsoft.com/office/drawing/2014/main" xmlns="" id="{0F35058F-5C73-4C06-AD38-4337945D83F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2240" name="Text Box 1">
          <a:extLst>
            <a:ext uri="{FF2B5EF4-FFF2-40B4-BE49-F238E27FC236}">
              <a16:creationId xmlns:a16="http://schemas.microsoft.com/office/drawing/2014/main" xmlns="" id="{478B052B-641C-41BF-AD86-078AC154230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2241" name="Text Box 1">
          <a:extLst>
            <a:ext uri="{FF2B5EF4-FFF2-40B4-BE49-F238E27FC236}">
              <a16:creationId xmlns:a16="http://schemas.microsoft.com/office/drawing/2014/main" xmlns="" id="{401F2315-EEAF-4E4F-BBB3-D5FF06788AA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2242" name="Text Box 1">
          <a:extLst>
            <a:ext uri="{FF2B5EF4-FFF2-40B4-BE49-F238E27FC236}">
              <a16:creationId xmlns:a16="http://schemas.microsoft.com/office/drawing/2014/main" xmlns="" id="{F6CFF655-3640-4C09-8CFA-C99956F95CD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2243" name="Text Box 1">
          <a:extLst>
            <a:ext uri="{FF2B5EF4-FFF2-40B4-BE49-F238E27FC236}">
              <a16:creationId xmlns:a16="http://schemas.microsoft.com/office/drawing/2014/main" xmlns="" id="{F0EDCEB8-D8CA-49DF-A726-95287C72D0A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2244" name="Text Box 1">
          <a:extLst>
            <a:ext uri="{FF2B5EF4-FFF2-40B4-BE49-F238E27FC236}">
              <a16:creationId xmlns:a16="http://schemas.microsoft.com/office/drawing/2014/main" xmlns="" id="{F878C7CE-D958-463C-8BDC-43EAF4FE850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2245" name="Text Box 1">
          <a:extLst>
            <a:ext uri="{FF2B5EF4-FFF2-40B4-BE49-F238E27FC236}">
              <a16:creationId xmlns:a16="http://schemas.microsoft.com/office/drawing/2014/main" xmlns="" id="{D570A928-ACDE-4172-9141-451D7B63E09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2246" name="Text Box 1">
          <a:extLst>
            <a:ext uri="{FF2B5EF4-FFF2-40B4-BE49-F238E27FC236}">
              <a16:creationId xmlns:a16="http://schemas.microsoft.com/office/drawing/2014/main" xmlns="" id="{D1AEFF1F-9846-4C5E-AA00-7A06394D369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2247" name="Text Box 1">
          <a:extLst>
            <a:ext uri="{FF2B5EF4-FFF2-40B4-BE49-F238E27FC236}">
              <a16:creationId xmlns:a16="http://schemas.microsoft.com/office/drawing/2014/main" xmlns="" id="{47E52529-9084-49F9-A63E-89E8646DD92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2248" name="Text Box 1">
          <a:extLst>
            <a:ext uri="{FF2B5EF4-FFF2-40B4-BE49-F238E27FC236}">
              <a16:creationId xmlns:a16="http://schemas.microsoft.com/office/drawing/2014/main" xmlns="" id="{3A58313D-333D-4006-A595-08991377390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2249" name="Text Box 1">
          <a:extLst>
            <a:ext uri="{FF2B5EF4-FFF2-40B4-BE49-F238E27FC236}">
              <a16:creationId xmlns:a16="http://schemas.microsoft.com/office/drawing/2014/main" xmlns="" id="{2E6A283C-102F-4B5A-B15D-4D32BDE799A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2250" name="Text Box 1">
          <a:extLst>
            <a:ext uri="{FF2B5EF4-FFF2-40B4-BE49-F238E27FC236}">
              <a16:creationId xmlns:a16="http://schemas.microsoft.com/office/drawing/2014/main" xmlns="" id="{8D326329-2502-4B87-BBD6-6BAB2C2F342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2251" name="Text Box 1">
          <a:extLst>
            <a:ext uri="{FF2B5EF4-FFF2-40B4-BE49-F238E27FC236}">
              <a16:creationId xmlns:a16="http://schemas.microsoft.com/office/drawing/2014/main" xmlns="" id="{FC728192-F4CF-4DDD-A20E-BE0968F4B91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2252" name="Text Box 1">
          <a:extLst>
            <a:ext uri="{FF2B5EF4-FFF2-40B4-BE49-F238E27FC236}">
              <a16:creationId xmlns:a16="http://schemas.microsoft.com/office/drawing/2014/main" xmlns="" id="{2C1B2E6C-57F9-40A8-B337-350282CA7E7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2253" name="Text Box 1">
          <a:extLst>
            <a:ext uri="{FF2B5EF4-FFF2-40B4-BE49-F238E27FC236}">
              <a16:creationId xmlns:a16="http://schemas.microsoft.com/office/drawing/2014/main" xmlns="" id="{420E0335-6CE2-46A9-95BD-BA710DC179A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2254" name="Text Box 1">
          <a:extLst>
            <a:ext uri="{FF2B5EF4-FFF2-40B4-BE49-F238E27FC236}">
              <a16:creationId xmlns:a16="http://schemas.microsoft.com/office/drawing/2014/main" xmlns="" id="{9BB64DEB-526C-4F36-8DF8-9189495977A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2255" name="Text Box 1">
          <a:extLst>
            <a:ext uri="{FF2B5EF4-FFF2-40B4-BE49-F238E27FC236}">
              <a16:creationId xmlns:a16="http://schemas.microsoft.com/office/drawing/2014/main" xmlns="" id="{65A45DF2-3DE2-4CD8-BD80-68138835501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2256" name="Text Box 1">
          <a:extLst>
            <a:ext uri="{FF2B5EF4-FFF2-40B4-BE49-F238E27FC236}">
              <a16:creationId xmlns:a16="http://schemas.microsoft.com/office/drawing/2014/main" xmlns="" id="{A1370B3C-FF26-439D-AC84-CA055BB750C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2257" name="Text Box 1">
          <a:extLst>
            <a:ext uri="{FF2B5EF4-FFF2-40B4-BE49-F238E27FC236}">
              <a16:creationId xmlns:a16="http://schemas.microsoft.com/office/drawing/2014/main" xmlns="" id="{D506946C-CD5F-4362-B389-5F7B0346CA7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2258" name="Text Box 1">
          <a:extLst>
            <a:ext uri="{FF2B5EF4-FFF2-40B4-BE49-F238E27FC236}">
              <a16:creationId xmlns:a16="http://schemas.microsoft.com/office/drawing/2014/main" xmlns="" id="{8A515C84-473F-46E0-BEF5-9A05B0CA38E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2259" name="Text Box 1">
          <a:extLst>
            <a:ext uri="{FF2B5EF4-FFF2-40B4-BE49-F238E27FC236}">
              <a16:creationId xmlns:a16="http://schemas.microsoft.com/office/drawing/2014/main" xmlns="" id="{1078A4DC-BB0F-40EE-A433-A1B5AB9A5CB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2260" name="Text Box 1">
          <a:extLst>
            <a:ext uri="{FF2B5EF4-FFF2-40B4-BE49-F238E27FC236}">
              <a16:creationId xmlns:a16="http://schemas.microsoft.com/office/drawing/2014/main" xmlns="" id="{26159CB2-1D71-4606-9299-1D77AA41AAC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2261" name="Text Box 1">
          <a:extLst>
            <a:ext uri="{FF2B5EF4-FFF2-40B4-BE49-F238E27FC236}">
              <a16:creationId xmlns:a16="http://schemas.microsoft.com/office/drawing/2014/main" xmlns="" id="{2F136312-D45F-4C6C-92DE-865686D88EF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2262" name="Text Box 1">
          <a:extLst>
            <a:ext uri="{FF2B5EF4-FFF2-40B4-BE49-F238E27FC236}">
              <a16:creationId xmlns:a16="http://schemas.microsoft.com/office/drawing/2014/main" xmlns="" id="{84BB6E0A-1A6E-4EF4-B9D7-C6A7E353EBB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2263" name="Text Box 1">
          <a:extLst>
            <a:ext uri="{FF2B5EF4-FFF2-40B4-BE49-F238E27FC236}">
              <a16:creationId xmlns:a16="http://schemas.microsoft.com/office/drawing/2014/main" xmlns="" id="{E004664C-0063-46B9-B0CC-04B660B7FAA1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2264" name="Text Box 1">
          <a:extLst>
            <a:ext uri="{FF2B5EF4-FFF2-40B4-BE49-F238E27FC236}">
              <a16:creationId xmlns:a16="http://schemas.microsoft.com/office/drawing/2014/main" xmlns="" id="{DC716DC0-0F9C-4C66-B792-3891249E0E8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2265" name="Text Box 1">
          <a:extLst>
            <a:ext uri="{FF2B5EF4-FFF2-40B4-BE49-F238E27FC236}">
              <a16:creationId xmlns:a16="http://schemas.microsoft.com/office/drawing/2014/main" xmlns="" id="{81B6DEFD-736E-4CDC-9DFB-EC24066A5B2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2266" name="Text Box 1">
          <a:extLst>
            <a:ext uri="{FF2B5EF4-FFF2-40B4-BE49-F238E27FC236}">
              <a16:creationId xmlns:a16="http://schemas.microsoft.com/office/drawing/2014/main" xmlns="" id="{E82F1653-3B8B-4603-B8C7-2C52C2620BA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2267" name="Text Box 1">
          <a:extLst>
            <a:ext uri="{FF2B5EF4-FFF2-40B4-BE49-F238E27FC236}">
              <a16:creationId xmlns:a16="http://schemas.microsoft.com/office/drawing/2014/main" xmlns="" id="{537660DE-995E-4408-B063-FF38A73E68F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2268" name="Text Box 1">
          <a:extLst>
            <a:ext uri="{FF2B5EF4-FFF2-40B4-BE49-F238E27FC236}">
              <a16:creationId xmlns:a16="http://schemas.microsoft.com/office/drawing/2014/main" xmlns="" id="{6127A3EF-CF3B-448E-9218-7084852C046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2269" name="Text Box 1">
          <a:extLst>
            <a:ext uri="{FF2B5EF4-FFF2-40B4-BE49-F238E27FC236}">
              <a16:creationId xmlns:a16="http://schemas.microsoft.com/office/drawing/2014/main" xmlns="" id="{3A00B42E-991E-429F-9ADE-81E20B707E2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2270" name="Text Box 1">
          <a:extLst>
            <a:ext uri="{FF2B5EF4-FFF2-40B4-BE49-F238E27FC236}">
              <a16:creationId xmlns:a16="http://schemas.microsoft.com/office/drawing/2014/main" xmlns="" id="{34814847-5672-41BF-879B-CF03E657FA5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2271" name="Text Box 1">
          <a:extLst>
            <a:ext uri="{FF2B5EF4-FFF2-40B4-BE49-F238E27FC236}">
              <a16:creationId xmlns:a16="http://schemas.microsoft.com/office/drawing/2014/main" xmlns="" id="{75F33FB0-FBFE-4F20-A32F-3F06D14AE49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2272" name="Text Box 1">
          <a:extLst>
            <a:ext uri="{FF2B5EF4-FFF2-40B4-BE49-F238E27FC236}">
              <a16:creationId xmlns:a16="http://schemas.microsoft.com/office/drawing/2014/main" xmlns="" id="{E63B7ACC-C9B3-4165-B380-DAB73BFD123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2273" name="Text Box 1">
          <a:extLst>
            <a:ext uri="{FF2B5EF4-FFF2-40B4-BE49-F238E27FC236}">
              <a16:creationId xmlns:a16="http://schemas.microsoft.com/office/drawing/2014/main" xmlns="" id="{36C725FF-79E7-4316-81D0-915EF9F8162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2274" name="Text Box 1">
          <a:extLst>
            <a:ext uri="{FF2B5EF4-FFF2-40B4-BE49-F238E27FC236}">
              <a16:creationId xmlns:a16="http://schemas.microsoft.com/office/drawing/2014/main" xmlns="" id="{7FD90013-1808-466E-B985-AAEF176ACF4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2275" name="Text Box 1">
          <a:extLst>
            <a:ext uri="{FF2B5EF4-FFF2-40B4-BE49-F238E27FC236}">
              <a16:creationId xmlns:a16="http://schemas.microsoft.com/office/drawing/2014/main" xmlns="" id="{A6C78CDE-17DD-433E-8C46-42322738321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2276" name="Text Box 1">
          <a:extLst>
            <a:ext uri="{FF2B5EF4-FFF2-40B4-BE49-F238E27FC236}">
              <a16:creationId xmlns:a16="http://schemas.microsoft.com/office/drawing/2014/main" xmlns="" id="{711EE774-BA88-4D58-80BB-2AFCD35DDAD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2277" name="Text Box 1">
          <a:extLst>
            <a:ext uri="{FF2B5EF4-FFF2-40B4-BE49-F238E27FC236}">
              <a16:creationId xmlns:a16="http://schemas.microsoft.com/office/drawing/2014/main" xmlns="" id="{DCFFB39A-1602-4183-A1FB-6F0BB65DDD6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2278" name="Text Box 1">
          <a:extLst>
            <a:ext uri="{FF2B5EF4-FFF2-40B4-BE49-F238E27FC236}">
              <a16:creationId xmlns:a16="http://schemas.microsoft.com/office/drawing/2014/main" xmlns="" id="{766CE5BE-DE2D-4FEE-920C-45F463F2BAA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2279" name="Text Box 1">
          <a:extLst>
            <a:ext uri="{FF2B5EF4-FFF2-40B4-BE49-F238E27FC236}">
              <a16:creationId xmlns:a16="http://schemas.microsoft.com/office/drawing/2014/main" xmlns="" id="{871C1727-30A8-43FA-8C6D-03C42EBCA86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2280" name="Text Box 1">
          <a:extLst>
            <a:ext uri="{FF2B5EF4-FFF2-40B4-BE49-F238E27FC236}">
              <a16:creationId xmlns:a16="http://schemas.microsoft.com/office/drawing/2014/main" xmlns="" id="{B293823B-757F-450B-818D-F2E794FC99B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2281" name="Text Box 1">
          <a:extLst>
            <a:ext uri="{FF2B5EF4-FFF2-40B4-BE49-F238E27FC236}">
              <a16:creationId xmlns:a16="http://schemas.microsoft.com/office/drawing/2014/main" xmlns="" id="{98B85E7C-31E6-438F-9A01-D2B806E75A2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2282" name="Text Box 1">
          <a:extLst>
            <a:ext uri="{FF2B5EF4-FFF2-40B4-BE49-F238E27FC236}">
              <a16:creationId xmlns:a16="http://schemas.microsoft.com/office/drawing/2014/main" xmlns="" id="{BC64769D-9802-4D65-853F-A5AA3628D5D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2283" name="Text Box 1">
          <a:extLst>
            <a:ext uri="{FF2B5EF4-FFF2-40B4-BE49-F238E27FC236}">
              <a16:creationId xmlns:a16="http://schemas.microsoft.com/office/drawing/2014/main" xmlns="" id="{CE4586EE-ADD6-4DB2-B3B9-68F62A7BB001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284" name="Text Box 1">
          <a:extLst>
            <a:ext uri="{FF2B5EF4-FFF2-40B4-BE49-F238E27FC236}">
              <a16:creationId xmlns:a16="http://schemas.microsoft.com/office/drawing/2014/main" xmlns="" id="{60DEC804-F1DD-4CA9-B29A-5F418422FE9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285" name="Text Box 1">
          <a:extLst>
            <a:ext uri="{FF2B5EF4-FFF2-40B4-BE49-F238E27FC236}">
              <a16:creationId xmlns:a16="http://schemas.microsoft.com/office/drawing/2014/main" xmlns="" id="{FCE9FB03-A24E-41C2-8AEE-0ABF3472018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286" name="Text Box 1">
          <a:extLst>
            <a:ext uri="{FF2B5EF4-FFF2-40B4-BE49-F238E27FC236}">
              <a16:creationId xmlns:a16="http://schemas.microsoft.com/office/drawing/2014/main" xmlns="" id="{34F0D919-E8B2-4253-8556-CDD835A6A6C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287" name="Text Box 1">
          <a:extLst>
            <a:ext uri="{FF2B5EF4-FFF2-40B4-BE49-F238E27FC236}">
              <a16:creationId xmlns:a16="http://schemas.microsoft.com/office/drawing/2014/main" xmlns="" id="{AFA2D901-AF04-49B3-8DBE-AB343E5F8CB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288" name="Text Box 1">
          <a:extLst>
            <a:ext uri="{FF2B5EF4-FFF2-40B4-BE49-F238E27FC236}">
              <a16:creationId xmlns:a16="http://schemas.microsoft.com/office/drawing/2014/main" xmlns="" id="{EB425489-F959-4F90-8D1E-E36D079AE27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289" name="Text Box 1">
          <a:extLst>
            <a:ext uri="{FF2B5EF4-FFF2-40B4-BE49-F238E27FC236}">
              <a16:creationId xmlns:a16="http://schemas.microsoft.com/office/drawing/2014/main" xmlns="" id="{FE0FEC00-B65E-4E2B-AD8F-B7E67C00425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290" name="Text Box 1">
          <a:extLst>
            <a:ext uri="{FF2B5EF4-FFF2-40B4-BE49-F238E27FC236}">
              <a16:creationId xmlns:a16="http://schemas.microsoft.com/office/drawing/2014/main" xmlns="" id="{9D369BCC-7EC5-4930-A7A6-0EB668F38D5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291" name="Text Box 1">
          <a:extLst>
            <a:ext uri="{FF2B5EF4-FFF2-40B4-BE49-F238E27FC236}">
              <a16:creationId xmlns:a16="http://schemas.microsoft.com/office/drawing/2014/main" xmlns="" id="{6FBDB0C3-81EA-4809-973E-C895248004D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292" name="Text Box 1">
          <a:extLst>
            <a:ext uri="{FF2B5EF4-FFF2-40B4-BE49-F238E27FC236}">
              <a16:creationId xmlns:a16="http://schemas.microsoft.com/office/drawing/2014/main" xmlns="" id="{A5AC2A1F-CAEC-4B83-BFB6-778C2356380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293" name="Text Box 1">
          <a:extLst>
            <a:ext uri="{FF2B5EF4-FFF2-40B4-BE49-F238E27FC236}">
              <a16:creationId xmlns:a16="http://schemas.microsoft.com/office/drawing/2014/main" xmlns="" id="{94B749DD-6F76-4E46-B2B9-EA3992B20DB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294" name="Text Box 1">
          <a:extLst>
            <a:ext uri="{FF2B5EF4-FFF2-40B4-BE49-F238E27FC236}">
              <a16:creationId xmlns:a16="http://schemas.microsoft.com/office/drawing/2014/main" xmlns="" id="{7F1CAF71-5817-419A-858F-9B98EE6C2F2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295" name="Text Box 1">
          <a:extLst>
            <a:ext uri="{FF2B5EF4-FFF2-40B4-BE49-F238E27FC236}">
              <a16:creationId xmlns:a16="http://schemas.microsoft.com/office/drawing/2014/main" xmlns="" id="{F952FFB8-2A3A-4CB7-BE02-299167E4CF7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296" name="Text Box 1">
          <a:extLst>
            <a:ext uri="{FF2B5EF4-FFF2-40B4-BE49-F238E27FC236}">
              <a16:creationId xmlns:a16="http://schemas.microsoft.com/office/drawing/2014/main" xmlns="" id="{C99DCF58-DFB4-4E8E-A7E9-187918753C7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297" name="Text Box 1">
          <a:extLst>
            <a:ext uri="{FF2B5EF4-FFF2-40B4-BE49-F238E27FC236}">
              <a16:creationId xmlns:a16="http://schemas.microsoft.com/office/drawing/2014/main" xmlns="" id="{29197E93-F54D-4805-9BBB-25487C0AC74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2298" name="Text Box 1">
          <a:extLst>
            <a:ext uri="{FF2B5EF4-FFF2-40B4-BE49-F238E27FC236}">
              <a16:creationId xmlns:a16="http://schemas.microsoft.com/office/drawing/2014/main" xmlns="" id="{FA70DCE6-C03B-4EAD-A889-C76F83EB355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2299" name="Text Box 1">
          <a:extLst>
            <a:ext uri="{FF2B5EF4-FFF2-40B4-BE49-F238E27FC236}">
              <a16:creationId xmlns:a16="http://schemas.microsoft.com/office/drawing/2014/main" xmlns="" id="{BED44E6D-1CC2-475B-ACA0-46433762749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2300" name="Text Box 1">
          <a:extLst>
            <a:ext uri="{FF2B5EF4-FFF2-40B4-BE49-F238E27FC236}">
              <a16:creationId xmlns:a16="http://schemas.microsoft.com/office/drawing/2014/main" xmlns="" id="{AB25BDE1-F00D-4862-92E7-F31ED90FB25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2301" name="Text Box 1">
          <a:extLst>
            <a:ext uri="{FF2B5EF4-FFF2-40B4-BE49-F238E27FC236}">
              <a16:creationId xmlns:a16="http://schemas.microsoft.com/office/drawing/2014/main" xmlns="" id="{6A13A065-EF1F-42D9-B89F-963228FC01B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302" name="Text Box 1">
          <a:extLst>
            <a:ext uri="{FF2B5EF4-FFF2-40B4-BE49-F238E27FC236}">
              <a16:creationId xmlns:a16="http://schemas.microsoft.com/office/drawing/2014/main" xmlns="" id="{814368E3-4492-43A5-B96E-59614E5A230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303" name="Text Box 1">
          <a:extLst>
            <a:ext uri="{FF2B5EF4-FFF2-40B4-BE49-F238E27FC236}">
              <a16:creationId xmlns:a16="http://schemas.microsoft.com/office/drawing/2014/main" xmlns="" id="{212080FC-717B-49D1-B27A-8CC1626A799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304" name="Text Box 1">
          <a:extLst>
            <a:ext uri="{FF2B5EF4-FFF2-40B4-BE49-F238E27FC236}">
              <a16:creationId xmlns:a16="http://schemas.microsoft.com/office/drawing/2014/main" xmlns="" id="{C87A4BF3-4CA5-46A5-BD45-AB915CBAE16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305" name="Text Box 1">
          <a:extLst>
            <a:ext uri="{FF2B5EF4-FFF2-40B4-BE49-F238E27FC236}">
              <a16:creationId xmlns:a16="http://schemas.microsoft.com/office/drawing/2014/main" xmlns="" id="{01FD9B5C-F06A-4CCA-A91D-643DA4D5656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306" name="Text Box 1">
          <a:extLst>
            <a:ext uri="{FF2B5EF4-FFF2-40B4-BE49-F238E27FC236}">
              <a16:creationId xmlns:a16="http://schemas.microsoft.com/office/drawing/2014/main" xmlns="" id="{F20D6C81-FADD-49C3-9ECF-8AA12D3B346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307" name="Text Box 1">
          <a:extLst>
            <a:ext uri="{FF2B5EF4-FFF2-40B4-BE49-F238E27FC236}">
              <a16:creationId xmlns:a16="http://schemas.microsoft.com/office/drawing/2014/main" xmlns="" id="{5537D2C5-3DFA-429C-AE8A-7C941E947FA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308" name="Text Box 1">
          <a:extLst>
            <a:ext uri="{FF2B5EF4-FFF2-40B4-BE49-F238E27FC236}">
              <a16:creationId xmlns:a16="http://schemas.microsoft.com/office/drawing/2014/main" xmlns="" id="{79C17337-053A-4C63-BC25-71D1A04C403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309" name="Text Box 1">
          <a:extLst>
            <a:ext uri="{FF2B5EF4-FFF2-40B4-BE49-F238E27FC236}">
              <a16:creationId xmlns:a16="http://schemas.microsoft.com/office/drawing/2014/main" xmlns="" id="{82A2ECE1-7445-4078-88B3-C73F236990A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310" name="Text Box 1">
          <a:extLst>
            <a:ext uri="{FF2B5EF4-FFF2-40B4-BE49-F238E27FC236}">
              <a16:creationId xmlns:a16="http://schemas.microsoft.com/office/drawing/2014/main" xmlns="" id="{6E0D234C-9307-44EE-8130-D405CDBDF10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311" name="Text Box 1">
          <a:extLst>
            <a:ext uri="{FF2B5EF4-FFF2-40B4-BE49-F238E27FC236}">
              <a16:creationId xmlns:a16="http://schemas.microsoft.com/office/drawing/2014/main" xmlns="" id="{C8D64A1A-0EA2-4E97-8337-7EA8DD25607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312" name="Text Box 1">
          <a:extLst>
            <a:ext uri="{FF2B5EF4-FFF2-40B4-BE49-F238E27FC236}">
              <a16:creationId xmlns:a16="http://schemas.microsoft.com/office/drawing/2014/main" xmlns="" id="{F562127E-EFA6-4B0D-B36B-DFFFA473F3B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313" name="Text Box 1">
          <a:extLst>
            <a:ext uri="{FF2B5EF4-FFF2-40B4-BE49-F238E27FC236}">
              <a16:creationId xmlns:a16="http://schemas.microsoft.com/office/drawing/2014/main" xmlns="" id="{909442ED-51B6-44B3-AED4-DB58710E50E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2314" name="Text Box 1">
          <a:extLst>
            <a:ext uri="{FF2B5EF4-FFF2-40B4-BE49-F238E27FC236}">
              <a16:creationId xmlns:a16="http://schemas.microsoft.com/office/drawing/2014/main" xmlns="" id="{F85E714D-34C7-44E1-B94B-843A68F8E15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2315" name="Text Box 1">
          <a:extLst>
            <a:ext uri="{FF2B5EF4-FFF2-40B4-BE49-F238E27FC236}">
              <a16:creationId xmlns:a16="http://schemas.microsoft.com/office/drawing/2014/main" xmlns="" id="{536D90E1-D2CC-4D31-9233-968FC6D0DB9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2316" name="Text Box 1">
          <a:extLst>
            <a:ext uri="{FF2B5EF4-FFF2-40B4-BE49-F238E27FC236}">
              <a16:creationId xmlns:a16="http://schemas.microsoft.com/office/drawing/2014/main" xmlns="" id="{663B28B5-7754-4473-90F4-7CF4C2F122B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2317" name="Text Box 1">
          <a:extLst>
            <a:ext uri="{FF2B5EF4-FFF2-40B4-BE49-F238E27FC236}">
              <a16:creationId xmlns:a16="http://schemas.microsoft.com/office/drawing/2014/main" xmlns="" id="{D11E0620-01E6-4AFB-B1DC-42C1D2B01C4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318" name="Text Box 1">
          <a:extLst>
            <a:ext uri="{FF2B5EF4-FFF2-40B4-BE49-F238E27FC236}">
              <a16:creationId xmlns:a16="http://schemas.microsoft.com/office/drawing/2014/main" xmlns="" id="{EC2FD362-C2B7-4A65-8474-6A7C5845235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319" name="Text Box 1">
          <a:extLst>
            <a:ext uri="{FF2B5EF4-FFF2-40B4-BE49-F238E27FC236}">
              <a16:creationId xmlns:a16="http://schemas.microsoft.com/office/drawing/2014/main" xmlns="" id="{6F3A8389-2D28-415E-A29E-E3F08BCCFD3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320" name="Text Box 1">
          <a:extLst>
            <a:ext uri="{FF2B5EF4-FFF2-40B4-BE49-F238E27FC236}">
              <a16:creationId xmlns:a16="http://schemas.microsoft.com/office/drawing/2014/main" xmlns="" id="{01AF3416-CBDF-4413-8418-8D7BFA85CFC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321" name="Text Box 1">
          <a:extLst>
            <a:ext uri="{FF2B5EF4-FFF2-40B4-BE49-F238E27FC236}">
              <a16:creationId xmlns:a16="http://schemas.microsoft.com/office/drawing/2014/main" xmlns="" id="{4B1139B6-34EB-41E8-BB24-4824BA5631F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322" name="Text Box 1">
          <a:extLst>
            <a:ext uri="{FF2B5EF4-FFF2-40B4-BE49-F238E27FC236}">
              <a16:creationId xmlns:a16="http://schemas.microsoft.com/office/drawing/2014/main" xmlns="" id="{9725B622-061D-4D35-8101-076CDA92901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323" name="Text Box 1">
          <a:extLst>
            <a:ext uri="{FF2B5EF4-FFF2-40B4-BE49-F238E27FC236}">
              <a16:creationId xmlns:a16="http://schemas.microsoft.com/office/drawing/2014/main" xmlns="" id="{5DB90C53-B23A-4D47-836A-6CB591B090D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324" name="Text Box 1">
          <a:extLst>
            <a:ext uri="{FF2B5EF4-FFF2-40B4-BE49-F238E27FC236}">
              <a16:creationId xmlns:a16="http://schemas.microsoft.com/office/drawing/2014/main" xmlns="" id="{2B76C3BC-70D9-468B-8FB2-6C9284385AC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325" name="Text Box 1">
          <a:extLst>
            <a:ext uri="{FF2B5EF4-FFF2-40B4-BE49-F238E27FC236}">
              <a16:creationId xmlns:a16="http://schemas.microsoft.com/office/drawing/2014/main" xmlns="" id="{222DDA03-44E3-4C9E-844D-A757FA96BD3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326" name="Text Box 1">
          <a:extLst>
            <a:ext uri="{FF2B5EF4-FFF2-40B4-BE49-F238E27FC236}">
              <a16:creationId xmlns:a16="http://schemas.microsoft.com/office/drawing/2014/main" xmlns="" id="{3CA753DF-AAEA-43EF-A3F9-3AC674B00A9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327" name="Text Box 1">
          <a:extLst>
            <a:ext uri="{FF2B5EF4-FFF2-40B4-BE49-F238E27FC236}">
              <a16:creationId xmlns:a16="http://schemas.microsoft.com/office/drawing/2014/main" xmlns="" id="{1A8E344F-ADA9-4BF6-9FBF-C42B1965E44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328" name="Text Box 1">
          <a:extLst>
            <a:ext uri="{FF2B5EF4-FFF2-40B4-BE49-F238E27FC236}">
              <a16:creationId xmlns:a16="http://schemas.microsoft.com/office/drawing/2014/main" xmlns="" id="{BE0A11E9-AD9F-4AD5-ADB7-AEA53F4D391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329" name="Text Box 1">
          <a:extLst>
            <a:ext uri="{FF2B5EF4-FFF2-40B4-BE49-F238E27FC236}">
              <a16:creationId xmlns:a16="http://schemas.microsoft.com/office/drawing/2014/main" xmlns="" id="{EFB8C0EF-4FA7-44AF-B6F3-DDF2C535C9B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2330" name="Text Box 1">
          <a:extLst>
            <a:ext uri="{FF2B5EF4-FFF2-40B4-BE49-F238E27FC236}">
              <a16:creationId xmlns:a16="http://schemas.microsoft.com/office/drawing/2014/main" xmlns="" id="{FC158F5A-47AB-42E5-9C9B-F697100254F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2331" name="Text Box 1">
          <a:extLst>
            <a:ext uri="{FF2B5EF4-FFF2-40B4-BE49-F238E27FC236}">
              <a16:creationId xmlns:a16="http://schemas.microsoft.com/office/drawing/2014/main" xmlns="" id="{26658D86-F589-4FB1-A4E1-AE8B00B706A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2332" name="Text Box 1">
          <a:extLst>
            <a:ext uri="{FF2B5EF4-FFF2-40B4-BE49-F238E27FC236}">
              <a16:creationId xmlns:a16="http://schemas.microsoft.com/office/drawing/2014/main" xmlns="" id="{6E111958-F591-4F7D-821E-9C4E8EA0FA2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34268"/>
    <xdr:sp macro="" textlink="">
      <xdr:nvSpPr>
        <xdr:cNvPr id="2333" name="Text Box 1">
          <a:extLst>
            <a:ext uri="{FF2B5EF4-FFF2-40B4-BE49-F238E27FC236}">
              <a16:creationId xmlns:a16="http://schemas.microsoft.com/office/drawing/2014/main" xmlns="" id="{9A530575-58E5-4A6A-8977-0E1DDEDE10C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334" name="Text Box 1">
          <a:extLst>
            <a:ext uri="{FF2B5EF4-FFF2-40B4-BE49-F238E27FC236}">
              <a16:creationId xmlns:a16="http://schemas.microsoft.com/office/drawing/2014/main" xmlns="" id="{9827382C-17A3-4320-B393-F1764892C30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335" name="Text Box 1">
          <a:extLst>
            <a:ext uri="{FF2B5EF4-FFF2-40B4-BE49-F238E27FC236}">
              <a16:creationId xmlns:a16="http://schemas.microsoft.com/office/drawing/2014/main" xmlns="" id="{77DAC52B-5211-43A8-9DFE-9ACA2EFDFA6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336" name="Text Box 1">
          <a:extLst>
            <a:ext uri="{FF2B5EF4-FFF2-40B4-BE49-F238E27FC236}">
              <a16:creationId xmlns:a16="http://schemas.microsoft.com/office/drawing/2014/main" xmlns="" id="{26426C18-9C51-40F3-B2A2-C22F2BC7CF5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337" name="Text Box 1">
          <a:extLst>
            <a:ext uri="{FF2B5EF4-FFF2-40B4-BE49-F238E27FC236}">
              <a16:creationId xmlns:a16="http://schemas.microsoft.com/office/drawing/2014/main" xmlns="" id="{B3F22472-C204-42A3-B321-8953DDA2FA6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338" name="Text Box 1">
          <a:extLst>
            <a:ext uri="{FF2B5EF4-FFF2-40B4-BE49-F238E27FC236}">
              <a16:creationId xmlns:a16="http://schemas.microsoft.com/office/drawing/2014/main" xmlns="" id="{06B5D871-71DB-4DFB-AAEF-1D975AEBB6E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339" name="Text Box 1">
          <a:extLst>
            <a:ext uri="{FF2B5EF4-FFF2-40B4-BE49-F238E27FC236}">
              <a16:creationId xmlns:a16="http://schemas.microsoft.com/office/drawing/2014/main" xmlns="" id="{D6ABD02F-2A5C-4900-8DAB-5A87CDEB7A3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340" name="Text Box 1">
          <a:extLst>
            <a:ext uri="{FF2B5EF4-FFF2-40B4-BE49-F238E27FC236}">
              <a16:creationId xmlns:a16="http://schemas.microsoft.com/office/drawing/2014/main" xmlns="" id="{F3DB7B66-0DCD-41D8-A65D-6FD0F6546E2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341" name="Text Box 1">
          <a:extLst>
            <a:ext uri="{FF2B5EF4-FFF2-40B4-BE49-F238E27FC236}">
              <a16:creationId xmlns:a16="http://schemas.microsoft.com/office/drawing/2014/main" xmlns="" id="{BD5E9F29-8B01-4D67-9D4A-40978B42765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342" name="Text Box 1">
          <a:extLst>
            <a:ext uri="{FF2B5EF4-FFF2-40B4-BE49-F238E27FC236}">
              <a16:creationId xmlns:a16="http://schemas.microsoft.com/office/drawing/2014/main" xmlns="" id="{8308AE96-3CBE-4037-B7B5-AE6929ACF2B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343" name="Text Box 1">
          <a:extLst>
            <a:ext uri="{FF2B5EF4-FFF2-40B4-BE49-F238E27FC236}">
              <a16:creationId xmlns:a16="http://schemas.microsoft.com/office/drawing/2014/main" xmlns="" id="{ED175BA5-4B8B-40C4-BF29-74128D0B842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344" name="Text Box 1">
          <a:extLst>
            <a:ext uri="{FF2B5EF4-FFF2-40B4-BE49-F238E27FC236}">
              <a16:creationId xmlns:a16="http://schemas.microsoft.com/office/drawing/2014/main" xmlns="" id="{E65B5ECD-5A83-4048-9932-E51F4047772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600</xdr:row>
      <xdr:rowOff>0</xdr:rowOff>
    </xdr:from>
    <xdr:ext cx="76200" cy="243793"/>
    <xdr:sp macro="" textlink="">
      <xdr:nvSpPr>
        <xdr:cNvPr id="2345" name="Text Box 1">
          <a:extLst>
            <a:ext uri="{FF2B5EF4-FFF2-40B4-BE49-F238E27FC236}">
              <a16:creationId xmlns:a16="http://schemas.microsoft.com/office/drawing/2014/main" xmlns="" id="{E972FB4A-87AD-4293-AC04-1ABC2D05477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43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346" name="Text Box 1037">
          <a:extLst>
            <a:ext uri="{FF2B5EF4-FFF2-40B4-BE49-F238E27FC236}">
              <a16:creationId xmlns:a16="http://schemas.microsoft.com/office/drawing/2014/main" xmlns="" id="{38522D5C-0152-4981-A46E-C35A6C7B031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347" name="Text Box 1038">
          <a:extLst>
            <a:ext uri="{FF2B5EF4-FFF2-40B4-BE49-F238E27FC236}">
              <a16:creationId xmlns:a16="http://schemas.microsoft.com/office/drawing/2014/main" xmlns="" id="{4AD883B7-15B8-492F-BEF7-079AB977256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348" name="Text Box 1039">
          <a:extLst>
            <a:ext uri="{FF2B5EF4-FFF2-40B4-BE49-F238E27FC236}">
              <a16:creationId xmlns:a16="http://schemas.microsoft.com/office/drawing/2014/main" xmlns="" id="{4700EC0C-C889-49E6-AF63-1856DDF4EAD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349" name="Text Box 1040">
          <a:extLst>
            <a:ext uri="{FF2B5EF4-FFF2-40B4-BE49-F238E27FC236}">
              <a16:creationId xmlns:a16="http://schemas.microsoft.com/office/drawing/2014/main" xmlns="" id="{854263F8-DA49-458C-9979-9FBA8C1F2C7F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350" name="Text Box 1041">
          <a:extLst>
            <a:ext uri="{FF2B5EF4-FFF2-40B4-BE49-F238E27FC236}">
              <a16:creationId xmlns:a16="http://schemas.microsoft.com/office/drawing/2014/main" xmlns="" id="{B4AA52D8-7C07-4FB3-8B6A-D6F810C96CAF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351" name="Text Box 1042">
          <a:extLst>
            <a:ext uri="{FF2B5EF4-FFF2-40B4-BE49-F238E27FC236}">
              <a16:creationId xmlns:a16="http://schemas.microsoft.com/office/drawing/2014/main" xmlns="" id="{00F0159B-EA58-4797-9FF9-A326AEDE407F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352" name="Text Box 1043">
          <a:extLst>
            <a:ext uri="{FF2B5EF4-FFF2-40B4-BE49-F238E27FC236}">
              <a16:creationId xmlns:a16="http://schemas.microsoft.com/office/drawing/2014/main" xmlns="" id="{621360AE-FF1E-4163-93E3-091F2AFCC224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353" name="Text Box 1044">
          <a:extLst>
            <a:ext uri="{FF2B5EF4-FFF2-40B4-BE49-F238E27FC236}">
              <a16:creationId xmlns:a16="http://schemas.microsoft.com/office/drawing/2014/main" xmlns="" id="{227DF29E-7CB5-4BD1-9EEA-BEDFB93F23F7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354" name="Text Box 1045">
          <a:extLst>
            <a:ext uri="{FF2B5EF4-FFF2-40B4-BE49-F238E27FC236}">
              <a16:creationId xmlns:a16="http://schemas.microsoft.com/office/drawing/2014/main" xmlns="" id="{CE5E8628-05A5-4D0C-95D7-8766497F717C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355" name="Text Box 1046">
          <a:extLst>
            <a:ext uri="{FF2B5EF4-FFF2-40B4-BE49-F238E27FC236}">
              <a16:creationId xmlns:a16="http://schemas.microsoft.com/office/drawing/2014/main" xmlns="" id="{AFB48F69-A0F3-402F-B8B9-1A5FE972CF10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356" name="Text Box 1047">
          <a:extLst>
            <a:ext uri="{FF2B5EF4-FFF2-40B4-BE49-F238E27FC236}">
              <a16:creationId xmlns:a16="http://schemas.microsoft.com/office/drawing/2014/main" xmlns="" id="{83AA8123-C9F2-4E75-ADA7-0DE68E9B3DD1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357" name="Text Box 1048">
          <a:extLst>
            <a:ext uri="{FF2B5EF4-FFF2-40B4-BE49-F238E27FC236}">
              <a16:creationId xmlns:a16="http://schemas.microsoft.com/office/drawing/2014/main" xmlns="" id="{31BBD60E-7E29-4003-BB51-655E554946C4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358" name="Text Box 1049">
          <a:extLst>
            <a:ext uri="{FF2B5EF4-FFF2-40B4-BE49-F238E27FC236}">
              <a16:creationId xmlns:a16="http://schemas.microsoft.com/office/drawing/2014/main" xmlns="" id="{9D963EFB-0DCF-43A2-8248-45B2AD893CBB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359" name="Text Box 1050">
          <a:extLst>
            <a:ext uri="{FF2B5EF4-FFF2-40B4-BE49-F238E27FC236}">
              <a16:creationId xmlns:a16="http://schemas.microsoft.com/office/drawing/2014/main" xmlns="" id="{30BA94C1-0747-481A-8F89-22E163DD42E3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360" name="Text Box 1051">
          <a:extLst>
            <a:ext uri="{FF2B5EF4-FFF2-40B4-BE49-F238E27FC236}">
              <a16:creationId xmlns:a16="http://schemas.microsoft.com/office/drawing/2014/main" xmlns="" id="{75BCE8C6-6215-4A24-913D-13D44A38D662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361" name="Text Box 1052">
          <a:extLst>
            <a:ext uri="{FF2B5EF4-FFF2-40B4-BE49-F238E27FC236}">
              <a16:creationId xmlns:a16="http://schemas.microsoft.com/office/drawing/2014/main" xmlns="" id="{2E853F0B-F4A2-426E-8642-5FCAA3B3E7E7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362" name="Text Box 1053">
          <a:extLst>
            <a:ext uri="{FF2B5EF4-FFF2-40B4-BE49-F238E27FC236}">
              <a16:creationId xmlns:a16="http://schemas.microsoft.com/office/drawing/2014/main" xmlns="" id="{9C7D2AB8-748E-4287-AD28-975E9FC77054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363" name="Text Box 1054">
          <a:extLst>
            <a:ext uri="{FF2B5EF4-FFF2-40B4-BE49-F238E27FC236}">
              <a16:creationId xmlns:a16="http://schemas.microsoft.com/office/drawing/2014/main" xmlns="" id="{64DFCADE-92A0-42F9-85E0-B98DCEF96D3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364" name="Text Box 1055">
          <a:extLst>
            <a:ext uri="{FF2B5EF4-FFF2-40B4-BE49-F238E27FC236}">
              <a16:creationId xmlns:a16="http://schemas.microsoft.com/office/drawing/2014/main" xmlns="" id="{891F663D-6392-4AC9-B6B1-0E89A3D2D0D1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365" name="Text Box 1056">
          <a:extLst>
            <a:ext uri="{FF2B5EF4-FFF2-40B4-BE49-F238E27FC236}">
              <a16:creationId xmlns:a16="http://schemas.microsoft.com/office/drawing/2014/main" xmlns="" id="{2B5218DA-3692-4AFB-86D4-CE04E9CF482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366" name="Text Box 1057">
          <a:extLst>
            <a:ext uri="{FF2B5EF4-FFF2-40B4-BE49-F238E27FC236}">
              <a16:creationId xmlns:a16="http://schemas.microsoft.com/office/drawing/2014/main" xmlns="" id="{ED6815BD-06AD-41E6-88B1-DBC29E29B39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367" name="Text Box 1058">
          <a:extLst>
            <a:ext uri="{FF2B5EF4-FFF2-40B4-BE49-F238E27FC236}">
              <a16:creationId xmlns:a16="http://schemas.microsoft.com/office/drawing/2014/main" xmlns="" id="{5C23BA99-635E-44A9-8BD8-A44FB7F6E3F5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368" name="Text Box 1059">
          <a:extLst>
            <a:ext uri="{FF2B5EF4-FFF2-40B4-BE49-F238E27FC236}">
              <a16:creationId xmlns:a16="http://schemas.microsoft.com/office/drawing/2014/main" xmlns="" id="{3D8B8140-8B1C-4598-8DD3-6C41F9150487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369" name="Text Box 1060">
          <a:extLst>
            <a:ext uri="{FF2B5EF4-FFF2-40B4-BE49-F238E27FC236}">
              <a16:creationId xmlns:a16="http://schemas.microsoft.com/office/drawing/2014/main" xmlns="" id="{6F428F77-DF34-4598-910B-52F0C3937208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370" name="Text Box 1061">
          <a:extLst>
            <a:ext uri="{FF2B5EF4-FFF2-40B4-BE49-F238E27FC236}">
              <a16:creationId xmlns:a16="http://schemas.microsoft.com/office/drawing/2014/main" xmlns="" id="{10D800B4-1B23-4F10-A3C8-C076B0E17166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371" name="Text Box 1062">
          <a:extLst>
            <a:ext uri="{FF2B5EF4-FFF2-40B4-BE49-F238E27FC236}">
              <a16:creationId xmlns:a16="http://schemas.microsoft.com/office/drawing/2014/main" xmlns="" id="{1F0037BF-6723-4EB3-BDD7-F7F4584AA598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372" name="Text Box 1063">
          <a:extLst>
            <a:ext uri="{FF2B5EF4-FFF2-40B4-BE49-F238E27FC236}">
              <a16:creationId xmlns:a16="http://schemas.microsoft.com/office/drawing/2014/main" xmlns="" id="{6961F723-4222-44D0-9275-80814C8E616D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373" name="Text Box 1064">
          <a:extLst>
            <a:ext uri="{FF2B5EF4-FFF2-40B4-BE49-F238E27FC236}">
              <a16:creationId xmlns:a16="http://schemas.microsoft.com/office/drawing/2014/main" xmlns="" id="{8003E412-DEA8-4E85-BF67-00430F32D22D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374" name="Text Box 1065">
          <a:extLst>
            <a:ext uri="{FF2B5EF4-FFF2-40B4-BE49-F238E27FC236}">
              <a16:creationId xmlns:a16="http://schemas.microsoft.com/office/drawing/2014/main" xmlns="" id="{00594B46-31E8-42E8-BF45-837AEE82A127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375" name="Text Box 1066">
          <a:extLst>
            <a:ext uri="{FF2B5EF4-FFF2-40B4-BE49-F238E27FC236}">
              <a16:creationId xmlns:a16="http://schemas.microsoft.com/office/drawing/2014/main" xmlns="" id="{3C7881D2-9130-49DD-B5DB-17643D6B58D5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376" name="Text Box 1067">
          <a:extLst>
            <a:ext uri="{FF2B5EF4-FFF2-40B4-BE49-F238E27FC236}">
              <a16:creationId xmlns:a16="http://schemas.microsoft.com/office/drawing/2014/main" xmlns="" id="{30AA6953-C2A8-4F5F-BD2A-777C08C89FD4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377" name="Text Box 1068">
          <a:extLst>
            <a:ext uri="{FF2B5EF4-FFF2-40B4-BE49-F238E27FC236}">
              <a16:creationId xmlns:a16="http://schemas.microsoft.com/office/drawing/2014/main" xmlns="" id="{0FBBF649-D1F9-4D19-833E-1B1DBD59E4B8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378" name="Text Box 1069">
          <a:extLst>
            <a:ext uri="{FF2B5EF4-FFF2-40B4-BE49-F238E27FC236}">
              <a16:creationId xmlns:a16="http://schemas.microsoft.com/office/drawing/2014/main" xmlns="" id="{1D242D27-0EC3-4A2E-B3CE-E7D5DCFD568E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379" name="Text Box 1070">
          <a:extLst>
            <a:ext uri="{FF2B5EF4-FFF2-40B4-BE49-F238E27FC236}">
              <a16:creationId xmlns:a16="http://schemas.microsoft.com/office/drawing/2014/main" xmlns="" id="{323B9D63-5BB0-41F1-A261-D82356EC873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380" name="Text Box 1071">
          <a:extLst>
            <a:ext uri="{FF2B5EF4-FFF2-40B4-BE49-F238E27FC236}">
              <a16:creationId xmlns:a16="http://schemas.microsoft.com/office/drawing/2014/main" xmlns="" id="{6FB03756-A611-4BD4-A51A-0A66E1975AA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381" name="Text Box 1072">
          <a:extLst>
            <a:ext uri="{FF2B5EF4-FFF2-40B4-BE49-F238E27FC236}">
              <a16:creationId xmlns:a16="http://schemas.microsoft.com/office/drawing/2014/main" xmlns="" id="{BFC473A8-9CF2-41A0-AD55-57D09523685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382" name="Text Box 1073">
          <a:extLst>
            <a:ext uri="{FF2B5EF4-FFF2-40B4-BE49-F238E27FC236}">
              <a16:creationId xmlns:a16="http://schemas.microsoft.com/office/drawing/2014/main" xmlns="" id="{330235BB-FEFD-42C0-8833-59751C532A4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383" name="Text Box 1074">
          <a:extLst>
            <a:ext uri="{FF2B5EF4-FFF2-40B4-BE49-F238E27FC236}">
              <a16:creationId xmlns:a16="http://schemas.microsoft.com/office/drawing/2014/main" xmlns="" id="{8F83B877-C3A3-4C3E-938A-535CF4241613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384" name="Text Box 1075">
          <a:extLst>
            <a:ext uri="{FF2B5EF4-FFF2-40B4-BE49-F238E27FC236}">
              <a16:creationId xmlns:a16="http://schemas.microsoft.com/office/drawing/2014/main" xmlns="" id="{1C2B0F4F-91FD-4B62-B712-E8B3CADBD900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385" name="Text Box 1076">
          <a:extLst>
            <a:ext uri="{FF2B5EF4-FFF2-40B4-BE49-F238E27FC236}">
              <a16:creationId xmlns:a16="http://schemas.microsoft.com/office/drawing/2014/main" xmlns="" id="{09E6A362-6514-4757-A276-B565F39BC170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386" name="Text Box 1077">
          <a:extLst>
            <a:ext uri="{FF2B5EF4-FFF2-40B4-BE49-F238E27FC236}">
              <a16:creationId xmlns:a16="http://schemas.microsoft.com/office/drawing/2014/main" xmlns="" id="{8214BC5C-6B00-47BE-AC0E-AA3954F910AC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387" name="Text Box 1078">
          <a:extLst>
            <a:ext uri="{FF2B5EF4-FFF2-40B4-BE49-F238E27FC236}">
              <a16:creationId xmlns:a16="http://schemas.microsoft.com/office/drawing/2014/main" xmlns="" id="{385CFC8B-99A2-4BB3-9EC7-229E45F2EF92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388" name="Text Box 1079">
          <a:extLst>
            <a:ext uri="{FF2B5EF4-FFF2-40B4-BE49-F238E27FC236}">
              <a16:creationId xmlns:a16="http://schemas.microsoft.com/office/drawing/2014/main" xmlns="" id="{5FC5D82B-AADB-4300-87C6-1BE656FD70F3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389" name="Text Box 1080">
          <a:extLst>
            <a:ext uri="{FF2B5EF4-FFF2-40B4-BE49-F238E27FC236}">
              <a16:creationId xmlns:a16="http://schemas.microsoft.com/office/drawing/2014/main" xmlns="" id="{FDCD8791-FA5F-464C-B173-2EA9536043B9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390" name="Text Box 1081">
          <a:extLst>
            <a:ext uri="{FF2B5EF4-FFF2-40B4-BE49-F238E27FC236}">
              <a16:creationId xmlns:a16="http://schemas.microsoft.com/office/drawing/2014/main" xmlns="" id="{049BEAD5-D712-4915-BCC6-5E26ACDA0AC5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391" name="Text Box 1082">
          <a:extLst>
            <a:ext uri="{FF2B5EF4-FFF2-40B4-BE49-F238E27FC236}">
              <a16:creationId xmlns:a16="http://schemas.microsoft.com/office/drawing/2014/main" xmlns="" id="{6BDA3B83-9DAB-44D4-81CF-71697580E3EA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392" name="Text Box 1083">
          <a:extLst>
            <a:ext uri="{FF2B5EF4-FFF2-40B4-BE49-F238E27FC236}">
              <a16:creationId xmlns:a16="http://schemas.microsoft.com/office/drawing/2014/main" xmlns="" id="{C7DF9C71-7499-467D-A1F3-0EDA18C32A9D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393" name="Text Box 1084">
          <a:extLst>
            <a:ext uri="{FF2B5EF4-FFF2-40B4-BE49-F238E27FC236}">
              <a16:creationId xmlns:a16="http://schemas.microsoft.com/office/drawing/2014/main" xmlns="" id="{BAEF139C-B6A6-438D-B578-8385905A98B9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394" name="Text Box 1085">
          <a:extLst>
            <a:ext uri="{FF2B5EF4-FFF2-40B4-BE49-F238E27FC236}">
              <a16:creationId xmlns:a16="http://schemas.microsoft.com/office/drawing/2014/main" xmlns="" id="{2586FF14-071E-44B9-B301-254EFEC5F37B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395" name="Text Box 1086">
          <a:extLst>
            <a:ext uri="{FF2B5EF4-FFF2-40B4-BE49-F238E27FC236}">
              <a16:creationId xmlns:a16="http://schemas.microsoft.com/office/drawing/2014/main" xmlns="" id="{CFE21045-3D8B-4A67-ACA5-DC6DE245358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396" name="Text Box 1087">
          <a:extLst>
            <a:ext uri="{FF2B5EF4-FFF2-40B4-BE49-F238E27FC236}">
              <a16:creationId xmlns:a16="http://schemas.microsoft.com/office/drawing/2014/main" xmlns="" id="{8B937BAE-49EC-41A5-9AA3-FE0CC618F29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397" name="Text Box 1088">
          <a:extLst>
            <a:ext uri="{FF2B5EF4-FFF2-40B4-BE49-F238E27FC236}">
              <a16:creationId xmlns:a16="http://schemas.microsoft.com/office/drawing/2014/main" xmlns="" id="{F441D813-2217-4282-A661-E0849963849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398" name="Text Box 1089">
          <a:extLst>
            <a:ext uri="{FF2B5EF4-FFF2-40B4-BE49-F238E27FC236}">
              <a16:creationId xmlns:a16="http://schemas.microsoft.com/office/drawing/2014/main" xmlns="" id="{ABB0815D-C536-4421-AC16-1123B39B19A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399" name="Text Box 1090">
          <a:extLst>
            <a:ext uri="{FF2B5EF4-FFF2-40B4-BE49-F238E27FC236}">
              <a16:creationId xmlns:a16="http://schemas.microsoft.com/office/drawing/2014/main" xmlns="" id="{6D70C8B6-2852-4A53-898B-BEB3CFDC1688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400" name="Text Box 1091">
          <a:extLst>
            <a:ext uri="{FF2B5EF4-FFF2-40B4-BE49-F238E27FC236}">
              <a16:creationId xmlns:a16="http://schemas.microsoft.com/office/drawing/2014/main" xmlns="" id="{3DE09236-E42A-49AB-9676-DC49A97B76B7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401" name="Text Box 1092">
          <a:extLst>
            <a:ext uri="{FF2B5EF4-FFF2-40B4-BE49-F238E27FC236}">
              <a16:creationId xmlns:a16="http://schemas.microsoft.com/office/drawing/2014/main" xmlns="" id="{F0629539-C730-453B-9A6F-260A87CEFB85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402" name="Text Box 1093">
          <a:extLst>
            <a:ext uri="{FF2B5EF4-FFF2-40B4-BE49-F238E27FC236}">
              <a16:creationId xmlns:a16="http://schemas.microsoft.com/office/drawing/2014/main" xmlns="" id="{86F6C754-49D4-4AF0-B6E2-6F56EC9E9A9E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403" name="Text Box 1094">
          <a:extLst>
            <a:ext uri="{FF2B5EF4-FFF2-40B4-BE49-F238E27FC236}">
              <a16:creationId xmlns:a16="http://schemas.microsoft.com/office/drawing/2014/main" xmlns="" id="{2FFE8CE6-C800-4C00-9638-F5789ECACB3B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404" name="Text Box 1095">
          <a:extLst>
            <a:ext uri="{FF2B5EF4-FFF2-40B4-BE49-F238E27FC236}">
              <a16:creationId xmlns:a16="http://schemas.microsoft.com/office/drawing/2014/main" xmlns="" id="{469604EB-CECB-40FF-ACB0-4917D9938E5A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405" name="Text Box 1096">
          <a:extLst>
            <a:ext uri="{FF2B5EF4-FFF2-40B4-BE49-F238E27FC236}">
              <a16:creationId xmlns:a16="http://schemas.microsoft.com/office/drawing/2014/main" xmlns="" id="{41334E12-4375-4848-B6E5-2B47D8B53CB9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406" name="Text Box 1097">
          <a:extLst>
            <a:ext uri="{FF2B5EF4-FFF2-40B4-BE49-F238E27FC236}">
              <a16:creationId xmlns:a16="http://schemas.microsoft.com/office/drawing/2014/main" xmlns="" id="{48BB987B-E3F9-4C40-B88D-B1E0F414C2E4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407" name="Text Box 1098">
          <a:extLst>
            <a:ext uri="{FF2B5EF4-FFF2-40B4-BE49-F238E27FC236}">
              <a16:creationId xmlns:a16="http://schemas.microsoft.com/office/drawing/2014/main" xmlns="" id="{CA1BDC12-899C-4AAE-B01D-8B66D4AB0532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408" name="Text Box 1099">
          <a:extLst>
            <a:ext uri="{FF2B5EF4-FFF2-40B4-BE49-F238E27FC236}">
              <a16:creationId xmlns:a16="http://schemas.microsoft.com/office/drawing/2014/main" xmlns="" id="{43378A13-BF80-4E84-82DC-E9EB3BB297D1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409" name="Text Box 1100">
          <a:extLst>
            <a:ext uri="{FF2B5EF4-FFF2-40B4-BE49-F238E27FC236}">
              <a16:creationId xmlns:a16="http://schemas.microsoft.com/office/drawing/2014/main" xmlns="" id="{5A201856-229B-4381-B510-078E06685B7F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410" name="Text Box 1101">
          <a:extLst>
            <a:ext uri="{FF2B5EF4-FFF2-40B4-BE49-F238E27FC236}">
              <a16:creationId xmlns:a16="http://schemas.microsoft.com/office/drawing/2014/main" xmlns="" id="{2E0296BF-2B71-4CCA-BD46-722D9C93B872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411" name="Text Box 1102">
          <a:extLst>
            <a:ext uri="{FF2B5EF4-FFF2-40B4-BE49-F238E27FC236}">
              <a16:creationId xmlns:a16="http://schemas.microsoft.com/office/drawing/2014/main" xmlns="" id="{24D8A40E-7C5A-4D6B-AD6E-A78B4EB610FA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412" name="Text Box 1103">
          <a:extLst>
            <a:ext uri="{FF2B5EF4-FFF2-40B4-BE49-F238E27FC236}">
              <a16:creationId xmlns:a16="http://schemas.microsoft.com/office/drawing/2014/main" xmlns="" id="{0EB06D3F-22C7-403F-8F11-661ABB7F7E9C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413" name="Text Box 1104">
          <a:extLst>
            <a:ext uri="{FF2B5EF4-FFF2-40B4-BE49-F238E27FC236}">
              <a16:creationId xmlns:a16="http://schemas.microsoft.com/office/drawing/2014/main" xmlns="" id="{8613421D-634F-45A9-BF4E-C3EBFA69667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414" name="Text Box 1105">
          <a:extLst>
            <a:ext uri="{FF2B5EF4-FFF2-40B4-BE49-F238E27FC236}">
              <a16:creationId xmlns:a16="http://schemas.microsoft.com/office/drawing/2014/main" xmlns="" id="{95315EFD-9B59-4D00-804A-B77D6306122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415" name="Text Box 1106">
          <a:extLst>
            <a:ext uri="{FF2B5EF4-FFF2-40B4-BE49-F238E27FC236}">
              <a16:creationId xmlns:a16="http://schemas.microsoft.com/office/drawing/2014/main" xmlns="" id="{A334D5A8-AC76-4FCE-AD02-80E9423F259C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416" name="Text Box 1107">
          <a:extLst>
            <a:ext uri="{FF2B5EF4-FFF2-40B4-BE49-F238E27FC236}">
              <a16:creationId xmlns:a16="http://schemas.microsoft.com/office/drawing/2014/main" xmlns="" id="{CE3099B0-6355-4B34-B322-E3B82CEFD0A9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417" name="Text Box 1108">
          <a:extLst>
            <a:ext uri="{FF2B5EF4-FFF2-40B4-BE49-F238E27FC236}">
              <a16:creationId xmlns:a16="http://schemas.microsoft.com/office/drawing/2014/main" xmlns="" id="{1721053D-1DA3-44E2-BF22-D36B1691BAE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418" name="Text Box 1109">
          <a:extLst>
            <a:ext uri="{FF2B5EF4-FFF2-40B4-BE49-F238E27FC236}">
              <a16:creationId xmlns:a16="http://schemas.microsoft.com/office/drawing/2014/main" xmlns="" id="{16E85113-73C9-4F20-8D3F-CED0B38D725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419" name="Text Box 1110">
          <a:extLst>
            <a:ext uri="{FF2B5EF4-FFF2-40B4-BE49-F238E27FC236}">
              <a16:creationId xmlns:a16="http://schemas.microsoft.com/office/drawing/2014/main" xmlns="" id="{6426826D-5AAA-47A1-B47A-02D94A81BE7D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420" name="Text Box 1111">
          <a:extLst>
            <a:ext uri="{FF2B5EF4-FFF2-40B4-BE49-F238E27FC236}">
              <a16:creationId xmlns:a16="http://schemas.microsoft.com/office/drawing/2014/main" xmlns="" id="{0CAE7876-28B5-4E1D-82AF-9B440EF9076B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421" name="Text Box 1112">
          <a:extLst>
            <a:ext uri="{FF2B5EF4-FFF2-40B4-BE49-F238E27FC236}">
              <a16:creationId xmlns:a16="http://schemas.microsoft.com/office/drawing/2014/main" xmlns="" id="{5FF3F9AD-EA3C-4548-A79F-F2F330D67631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422" name="Text Box 1113">
          <a:extLst>
            <a:ext uri="{FF2B5EF4-FFF2-40B4-BE49-F238E27FC236}">
              <a16:creationId xmlns:a16="http://schemas.microsoft.com/office/drawing/2014/main" xmlns="" id="{E8BB0514-AB55-46C4-83EE-0DD1F809CFC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423" name="Text Box 1114">
          <a:extLst>
            <a:ext uri="{FF2B5EF4-FFF2-40B4-BE49-F238E27FC236}">
              <a16:creationId xmlns:a16="http://schemas.microsoft.com/office/drawing/2014/main" xmlns="" id="{9FADE1AB-007A-4D71-A4D2-6929F882D716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424" name="Text Box 1115">
          <a:extLst>
            <a:ext uri="{FF2B5EF4-FFF2-40B4-BE49-F238E27FC236}">
              <a16:creationId xmlns:a16="http://schemas.microsoft.com/office/drawing/2014/main" xmlns="" id="{EB0E9449-D34E-4715-A303-C19AF63F61AD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425" name="Text Box 1116">
          <a:extLst>
            <a:ext uri="{FF2B5EF4-FFF2-40B4-BE49-F238E27FC236}">
              <a16:creationId xmlns:a16="http://schemas.microsoft.com/office/drawing/2014/main" xmlns="" id="{D2990081-0419-46C2-8F4C-FFE1F7DAFA1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426" name="Text Box 1117">
          <a:extLst>
            <a:ext uri="{FF2B5EF4-FFF2-40B4-BE49-F238E27FC236}">
              <a16:creationId xmlns:a16="http://schemas.microsoft.com/office/drawing/2014/main" xmlns="" id="{BBA4C783-E867-47AA-B123-1F64FE44E9E1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427" name="Text Box 1118">
          <a:extLst>
            <a:ext uri="{FF2B5EF4-FFF2-40B4-BE49-F238E27FC236}">
              <a16:creationId xmlns:a16="http://schemas.microsoft.com/office/drawing/2014/main" xmlns="" id="{983A15EC-C4C0-40C7-9401-BB7A13B442CD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428" name="Text Box 1119">
          <a:extLst>
            <a:ext uri="{FF2B5EF4-FFF2-40B4-BE49-F238E27FC236}">
              <a16:creationId xmlns:a16="http://schemas.microsoft.com/office/drawing/2014/main" xmlns="" id="{72EF7BB3-6F02-43E2-8A3A-830E152969AE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429" name="Text Box 1120">
          <a:extLst>
            <a:ext uri="{FF2B5EF4-FFF2-40B4-BE49-F238E27FC236}">
              <a16:creationId xmlns:a16="http://schemas.microsoft.com/office/drawing/2014/main" xmlns="" id="{E17896AA-A3D4-4C23-8684-D93977B4DC2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430" name="Text Box 1121">
          <a:extLst>
            <a:ext uri="{FF2B5EF4-FFF2-40B4-BE49-F238E27FC236}">
              <a16:creationId xmlns:a16="http://schemas.microsoft.com/office/drawing/2014/main" xmlns="" id="{F01FCBE5-A325-44B3-ABA8-435446C6057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431" name="Text Box 1122">
          <a:extLst>
            <a:ext uri="{FF2B5EF4-FFF2-40B4-BE49-F238E27FC236}">
              <a16:creationId xmlns:a16="http://schemas.microsoft.com/office/drawing/2014/main" xmlns="" id="{5B9CFF5D-8B1D-4E8F-8E33-2364EA59B723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432" name="Text Box 1123">
          <a:extLst>
            <a:ext uri="{FF2B5EF4-FFF2-40B4-BE49-F238E27FC236}">
              <a16:creationId xmlns:a16="http://schemas.microsoft.com/office/drawing/2014/main" xmlns="" id="{CCA04A4E-56DB-45C6-99B4-238126CBBCFA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433" name="Text Box 1124">
          <a:extLst>
            <a:ext uri="{FF2B5EF4-FFF2-40B4-BE49-F238E27FC236}">
              <a16:creationId xmlns:a16="http://schemas.microsoft.com/office/drawing/2014/main" xmlns="" id="{BDA57B0F-D68F-4E8F-A5B6-3AD1C7D4579E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434" name="Text Box 1125">
          <a:extLst>
            <a:ext uri="{FF2B5EF4-FFF2-40B4-BE49-F238E27FC236}">
              <a16:creationId xmlns:a16="http://schemas.microsoft.com/office/drawing/2014/main" xmlns="" id="{4A8513A8-2F18-4D57-89CA-83B433F85063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435" name="Text Box 1126">
          <a:extLst>
            <a:ext uri="{FF2B5EF4-FFF2-40B4-BE49-F238E27FC236}">
              <a16:creationId xmlns:a16="http://schemas.microsoft.com/office/drawing/2014/main" xmlns="" id="{36374A3F-4C02-41F9-AA39-15A31BC93977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436" name="Text Box 1127">
          <a:extLst>
            <a:ext uri="{FF2B5EF4-FFF2-40B4-BE49-F238E27FC236}">
              <a16:creationId xmlns:a16="http://schemas.microsoft.com/office/drawing/2014/main" xmlns="" id="{BB7F8A3A-153F-43D6-99D2-CBDD1E7C1CA1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437" name="Text Box 1128">
          <a:extLst>
            <a:ext uri="{FF2B5EF4-FFF2-40B4-BE49-F238E27FC236}">
              <a16:creationId xmlns:a16="http://schemas.microsoft.com/office/drawing/2014/main" xmlns="" id="{A1D591E4-D000-4720-9B99-37BD8649ECC4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438" name="Text Box 1129">
          <a:extLst>
            <a:ext uri="{FF2B5EF4-FFF2-40B4-BE49-F238E27FC236}">
              <a16:creationId xmlns:a16="http://schemas.microsoft.com/office/drawing/2014/main" xmlns="" id="{AEF2A772-AF1C-4BF0-80F8-4DAF4292BAFC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439" name="Text Box 1130">
          <a:extLst>
            <a:ext uri="{FF2B5EF4-FFF2-40B4-BE49-F238E27FC236}">
              <a16:creationId xmlns:a16="http://schemas.microsoft.com/office/drawing/2014/main" xmlns="" id="{8463412D-6D03-41C1-9F75-11562551C184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440" name="Text Box 1131">
          <a:extLst>
            <a:ext uri="{FF2B5EF4-FFF2-40B4-BE49-F238E27FC236}">
              <a16:creationId xmlns:a16="http://schemas.microsoft.com/office/drawing/2014/main" xmlns="" id="{3C786135-4DFD-455B-939E-500C892098B5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441" name="Text Box 1132">
          <a:extLst>
            <a:ext uri="{FF2B5EF4-FFF2-40B4-BE49-F238E27FC236}">
              <a16:creationId xmlns:a16="http://schemas.microsoft.com/office/drawing/2014/main" xmlns="" id="{493A1105-7C9F-4098-A65C-E2D8E1FF86D3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442" name="Text Box 1133">
          <a:extLst>
            <a:ext uri="{FF2B5EF4-FFF2-40B4-BE49-F238E27FC236}">
              <a16:creationId xmlns:a16="http://schemas.microsoft.com/office/drawing/2014/main" xmlns="" id="{C86C2828-7F87-41C1-BEBF-A4C7AB78DA3C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443" name="Text Box 1134">
          <a:extLst>
            <a:ext uri="{FF2B5EF4-FFF2-40B4-BE49-F238E27FC236}">
              <a16:creationId xmlns:a16="http://schemas.microsoft.com/office/drawing/2014/main" xmlns="" id="{F10A9690-FC5C-4BF6-B919-015A4F83C60B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444" name="Text Box 1135">
          <a:extLst>
            <a:ext uri="{FF2B5EF4-FFF2-40B4-BE49-F238E27FC236}">
              <a16:creationId xmlns:a16="http://schemas.microsoft.com/office/drawing/2014/main" xmlns="" id="{A58C8C14-05D3-409B-B349-AC2C1EA15FAA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445" name="Text Box 1136">
          <a:extLst>
            <a:ext uri="{FF2B5EF4-FFF2-40B4-BE49-F238E27FC236}">
              <a16:creationId xmlns:a16="http://schemas.microsoft.com/office/drawing/2014/main" xmlns="" id="{5C29E55D-3E8B-4D72-8F4B-D863F7DE412B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446" name="Text Box 1137">
          <a:extLst>
            <a:ext uri="{FF2B5EF4-FFF2-40B4-BE49-F238E27FC236}">
              <a16:creationId xmlns:a16="http://schemas.microsoft.com/office/drawing/2014/main" xmlns="" id="{B8A9AB72-40CB-43C3-BEA1-F25478633806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447" name="Text Box 1138">
          <a:extLst>
            <a:ext uri="{FF2B5EF4-FFF2-40B4-BE49-F238E27FC236}">
              <a16:creationId xmlns:a16="http://schemas.microsoft.com/office/drawing/2014/main" xmlns="" id="{7A136F48-775A-4832-8209-E4F341373DB3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448" name="Text Box 1139">
          <a:extLst>
            <a:ext uri="{FF2B5EF4-FFF2-40B4-BE49-F238E27FC236}">
              <a16:creationId xmlns:a16="http://schemas.microsoft.com/office/drawing/2014/main" xmlns="" id="{EB4358A8-A340-4235-A747-4044F606C3F2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449" name="Text Box 1140">
          <a:extLst>
            <a:ext uri="{FF2B5EF4-FFF2-40B4-BE49-F238E27FC236}">
              <a16:creationId xmlns:a16="http://schemas.microsoft.com/office/drawing/2014/main" xmlns="" id="{EDC8339E-734B-4575-91EC-F4A39CCB258D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450" name="Text Box 1141">
          <a:extLst>
            <a:ext uri="{FF2B5EF4-FFF2-40B4-BE49-F238E27FC236}">
              <a16:creationId xmlns:a16="http://schemas.microsoft.com/office/drawing/2014/main" xmlns="" id="{25BD3B51-630D-4BB1-B82B-7893718CA7EF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451" name="Text Box 1142">
          <a:extLst>
            <a:ext uri="{FF2B5EF4-FFF2-40B4-BE49-F238E27FC236}">
              <a16:creationId xmlns:a16="http://schemas.microsoft.com/office/drawing/2014/main" xmlns="" id="{B64A5C9C-F0E2-4478-B83C-751B041981F2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452" name="Text Box 1143">
          <a:extLst>
            <a:ext uri="{FF2B5EF4-FFF2-40B4-BE49-F238E27FC236}">
              <a16:creationId xmlns:a16="http://schemas.microsoft.com/office/drawing/2014/main" xmlns="" id="{7CAA76D6-82F6-40A0-B60F-262B6EA8AF84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453" name="Text Box 1144">
          <a:extLst>
            <a:ext uri="{FF2B5EF4-FFF2-40B4-BE49-F238E27FC236}">
              <a16:creationId xmlns:a16="http://schemas.microsoft.com/office/drawing/2014/main" xmlns="" id="{85DD411B-47E8-4447-BCD5-B7652B78EE11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454" name="Text Box 1145">
          <a:extLst>
            <a:ext uri="{FF2B5EF4-FFF2-40B4-BE49-F238E27FC236}">
              <a16:creationId xmlns:a16="http://schemas.microsoft.com/office/drawing/2014/main" xmlns="" id="{146D6397-8F76-4BAE-8F8D-503B610AE450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455" name="Text Box 1146">
          <a:extLst>
            <a:ext uri="{FF2B5EF4-FFF2-40B4-BE49-F238E27FC236}">
              <a16:creationId xmlns:a16="http://schemas.microsoft.com/office/drawing/2014/main" xmlns="" id="{1112E186-8957-4109-89FB-C24F3D72AE27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456" name="Text Box 1147">
          <a:extLst>
            <a:ext uri="{FF2B5EF4-FFF2-40B4-BE49-F238E27FC236}">
              <a16:creationId xmlns:a16="http://schemas.microsoft.com/office/drawing/2014/main" xmlns="" id="{074F1CE3-27A2-4A0C-B8B1-9EA77FF3643D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457" name="Text Box 1148">
          <a:extLst>
            <a:ext uri="{FF2B5EF4-FFF2-40B4-BE49-F238E27FC236}">
              <a16:creationId xmlns:a16="http://schemas.microsoft.com/office/drawing/2014/main" xmlns="" id="{20E3C831-D09C-4704-8C02-6015F8E310E8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458" name="Text Box 1149">
          <a:extLst>
            <a:ext uri="{FF2B5EF4-FFF2-40B4-BE49-F238E27FC236}">
              <a16:creationId xmlns:a16="http://schemas.microsoft.com/office/drawing/2014/main" xmlns="" id="{9BC8FA02-81DC-4483-AD15-2AFEFDFC6A74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459" name="Text Box 1150">
          <a:extLst>
            <a:ext uri="{FF2B5EF4-FFF2-40B4-BE49-F238E27FC236}">
              <a16:creationId xmlns:a16="http://schemas.microsoft.com/office/drawing/2014/main" xmlns="" id="{9E28AE70-846B-41EB-B2FB-D890374C2D6E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460" name="Text Box 1151">
          <a:extLst>
            <a:ext uri="{FF2B5EF4-FFF2-40B4-BE49-F238E27FC236}">
              <a16:creationId xmlns:a16="http://schemas.microsoft.com/office/drawing/2014/main" xmlns="" id="{A3574971-D5EB-4FA4-BBE0-A578038ED575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461" name="Text Box 1152">
          <a:extLst>
            <a:ext uri="{FF2B5EF4-FFF2-40B4-BE49-F238E27FC236}">
              <a16:creationId xmlns:a16="http://schemas.microsoft.com/office/drawing/2014/main" xmlns="" id="{7313CA94-A980-4D55-9ED0-669A95BC9052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462" name="Text Box 1153">
          <a:extLst>
            <a:ext uri="{FF2B5EF4-FFF2-40B4-BE49-F238E27FC236}">
              <a16:creationId xmlns:a16="http://schemas.microsoft.com/office/drawing/2014/main" xmlns="" id="{BC40BB4B-3E4E-4F8F-B9ED-B11553626511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463" name="Text Box 1154">
          <a:extLst>
            <a:ext uri="{FF2B5EF4-FFF2-40B4-BE49-F238E27FC236}">
              <a16:creationId xmlns:a16="http://schemas.microsoft.com/office/drawing/2014/main" xmlns="" id="{1DAB6C30-3E64-4F56-AFB5-83C1BC93A119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464" name="Text Box 1155">
          <a:extLst>
            <a:ext uri="{FF2B5EF4-FFF2-40B4-BE49-F238E27FC236}">
              <a16:creationId xmlns:a16="http://schemas.microsoft.com/office/drawing/2014/main" xmlns="" id="{CDD48421-14D6-4BEA-B131-FC9273C2CA3B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465" name="Text Box 1156">
          <a:extLst>
            <a:ext uri="{FF2B5EF4-FFF2-40B4-BE49-F238E27FC236}">
              <a16:creationId xmlns:a16="http://schemas.microsoft.com/office/drawing/2014/main" xmlns="" id="{D7C40241-57EC-4E5F-BC5E-B0BCA3BEED40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466" name="Text Box 1157">
          <a:extLst>
            <a:ext uri="{FF2B5EF4-FFF2-40B4-BE49-F238E27FC236}">
              <a16:creationId xmlns:a16="http://schemas.microsoft.com/office/drawing/2014/main" xmlns="" id="{4124A008-E4A7-4E02-B823-9BCE16686896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467" name="Text Box 1158">
          <a:extLst>
            <a:ext uri="{FF2B5EF4-FFF2-40B4-BE49-F238E27FC236}">
              <a16:creationId xmlns:a16="http://schemas.microsoft.com/office/drawing/2014/main" xmlns="" id="{0604A9EA-64D9-4420-B3D3-2EBD67C60720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468" name="Text Box 1159">
          <a:extLst>
            <a:ext uri="{FF2B5EF4-FFF2-40B4-BE49-F238E27FC236}">
              <a16:creationId xmlns:a16="http://schemas.microsoft.com/office/drawing/2014/main" xmlns="" id="{E9A1A1C5-BC50-4FA1-B5FF-DDD65C270187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469" name="Text Box 1160">
          <a:extLst>
            <a:ext uri="{FF2B5EF4-FFF2-40B4-BE49-F238E27FC236}">
              <a16:creationId xmlns:a16="http://schemas.microsoft.com/office/drawing/2014/main" xmlns="" id="{2C83F0FD-C7DE-4800-8165-3A8633B7848E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470" name="Text Box 1161">
          <a:extLst>
            <a:ext uri="{FF2B5EF4-FFF2-40B4-BE49-F238E27FC236}">
              <a16:creationId xmlns:a16="http://schemas.microsoft.com/office/drawing/2014/main" xmlns="" id="{7669836B-628A-4C1E-A4A4-73AAA5291320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471" name="Text Box 1162">
          <a:extLst>
            <a:ext uri="{FF2B5EF4-FFF2-40B4-BE49-F238E27FC236}">
              <a16:creationId xmlns:a16="http://schemas.microsoft.com/office/drawing/2014/main" xmlns="" id="{C4536054-B834-4548-84D4-D4E454D9F063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472" name="Text Box 1163">
          <a:extLst>
            <a:ext uri="{FF2B5EF4-FFF2-40B4-BE49-F238E27FC236}">
              <a16:creationId xmlns:a16="http://schemas.microsoft.com/office/drawing/2014/main" xmlns="" id="{ECF954C1-2997-4917-A36C-C8E777B5E56A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473" name="Text Box 1164">
          <a:extLst>
            <a:ext uri="{FF2B5EF4-FFF2-40B4-BE49-F238E27FC236}">
              <a16:creationId xmlns:a16="http://schemas.microsoft.com/office/drawing/2014/main" xmlns="" id="{C575D94D-0605-4351-B5C3-9288377A7B97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474" name="Text Box 1165">
          <a:extLst>
            <a:ext uri="{FF2B5EF4-FFF2-40B4-BE49-F238E27FC236}">
              <a16:creationId xmlns:a16="http://schemas.microsoft.com/office/drawing/2014/main" xmlns="" id="{6F613AF1-C118-4CDA-9A51-51EB98CF9624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475" name="Text Box 1166">
          <a:extLst>
            <a:ext uri="{FF2B5EF4-FFF2-40B4-BE49-F238E27FC236}">
              <a16:creationId xmlns:a16="http://schemas.microsoft.com/office/drawing/2014/main" xmlns="" id="{460768F6-2CA0-4289-B539-48E6E5CD6475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476" name="Text Box 1167">
          <a:extLst>
            <a:ext uri="{FF2B5EF4-FFF2-40B4-BE49-F238E27FC236}">
              <a16:creationId xmlns:a16="http://schemas.microsoft.com/office/drawing/2014/main" xmlns="" id="{9E4E8C2F-6A59-40BB-98CD-BA9912EE7B5C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477" name="Text Box 1168">
          <a:extLst>
            <a:ext uri="{FF2B5EF4-FFF2-40B4-BE49-F238E27FC236}">
              <a16:creationId xmlns:a16="http://schemas.microsoft.com/office/drawing/2014/main" xmlns="" id="{FDE00B65-C390-466A-9572-954ABEA229E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478" name="Text Box 1169">
          <a:extLst>
            <a:ext uri="{FF2B5EF4-FFF2-40B4-BE49-F238E27FC236}">
              <a16:creationId xmlns:a16="http://schemas.microsoft.com/office/drawing/2014/main" xmlns="" id="{68537C74-0B18-42F7-A4DA-D262956DC0A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2479" name="Text Box 1170">
          <a:extLst>
            <a:ext uri="{FF2B5EF4-FFF2-40B4-BE49-F238E27FC236}">
              <a16:creationId xmlns:a16="http://schemas.microsoft.com/office/drawing/2014/main" xmlns="" id="{443AEE2A-60B5-4AD2-B8A4-825FAA58C8EC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480" name="Text Box 1171">
          <a:extLst>
            <a:ext uri="{FF2B5EF4-FFF2-40B4-BE49-F238E27FC236}">
              <a16:creationId xmlns:a16="http://schemas.microsoft.com/office/drawing/2014/main" xmlns="" id="{B3F22B43-E87B-4E72-B358-ED5DFA3C3930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481" name="Text Box 1172">
          <a:extLst>
            <a:ext uri="{FF2B5EF4-FFF2-40B4-BE49-F238E27FC236}">
              <a16:creationId xmlns:a16="http://schemas.microsoft.com/office/drawing/2014/main" xmlns="" id="{3F5A659B-E98F-476A-B928-8538397CFE44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482" name="Text Box 1173">
          <a:extLst>
            <a:ext uri="{FF2B5EF4-FFF2-40B4-BE49-F238E27FC236}">
              <a16:creationId xmlns:a16="http://schemas.microsoft.com/office/drawing/2014/main" xmlns="" id="{686AE26B-7784-47E3-B5DC-18F1A17B0517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483" name="Text Box 1174">
          <a:extLst>
            <a:ext uri="{FF2B5EF4-FFF2-40B4-BE49-F238E27FC236}">
              <a16:creationId xmlns:a16="http://schemas.microsoft.com/office/drawing/2014/main" xmlns="" id="{7B66C1F0-F956-45D4-9742-A0787C8161AA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2484" name="Text Box 1175">
          <a:extLst>
            <a:ext uri="{FF2B5EF4-FFF2-40B4-BE49-F238E27FC236}">
              <a16:creationId xmlns:a16="http://schemas.microsoft.com/office/drawing/2014/main" xmlns="" id="{FCEA1D67-9053-48DA-86C5-7684B2AC6303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2485" name="Text Box 1176">
          <a:extLst>
            <a:ext uri="{FF2B5EF4-FFF2-40B4-BE49-F238E27FC236}">
              <a16:creationId xmlns:a16="http://schemas.microsoft.com/office/drawing/2014/main" xmlns="" id="{84C44700-4A92-4570-A06E-B965CE402CDB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2486" name="Text Box 1177">
          <a:extLst>
            <a:ext uri="{FF2B5EF4-FFF2-40B4-BE49-F238E27FC236}">
              <a16:creationId xmlns:a16="http://schemas.microsoft.com/office/drawing/2014/main" xmlns="" id="{3C25EBCB-582D-4835-9A9E-3ADEB8A576E3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2487" name="Text Box 1178">
          <a:extLst>
            <a:ext uri="{FF2B5EF4-FFF2-40B4-BE49-F238E27FC236}">
              <a16:creationId xmlns:a16="http://schemas.microsoft.com/office/drawing/2014/main" xmlns="" id="{235408DE-6A40-4D58-A920-2A29F90F4C46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2488" name="Text Box 1179">
          <a:extLst>
            <a:ext uri="{FF2B5EF4-FFF2-40B4-BE49-F238E27FC236}">
              <a16:creationId xmlns:a16="http://schemas.microsoft.com/office/drawing/2014/main" xmlns="" id="{E3A3299C-C03B-46C4-8BA2-BD561139DCB8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2489" name="Text Box 1180">
          <a:extLst>
            <a:ext uri="{FF2B5EF4-FFF2-40B4-BE49-F238E27FC236}">
              <a16:creationId xmlns:a16="http://schemas.microsoft.com/office/drawing/2014/main" xmlns="" id="{E342959F-3B7A-4594-BA06-08444B4F96A3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2490" name="Text Box 1181">
          <a:extLst>
            <a:ext uri="{FF2B5EF4-FFF2-40B4-BE49-F238E27FC236}">
              <a16:creationId xmlns:a16="http://schemas.microsoft.com/office/drawing/2014/main" xmlns="" id="{693CA2EB-3F4A-4B4D-B446-5FAED4D19CF2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2491" name="Text Box 1182">
          <a:extLst>
            <a:ext uri="{FF2B5EF4-FFF2-40B4-BE49-F238E27FC236}">
              <a16:creationId xmlns:a16="http://schemas.microsoft.com/office/drawing/2014/main" xmlns="" id="{A45061A7-C3F5-4A62-A298-24F34CDC535A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2492" name="Text Box 1183">
          <a:extLst>
            <a:ext uri="{FF2B5EF4-FFF2-40B4-BE49-F238E27FC236}">
              <a16:creationId xmlns:a16="http://schemas.microsoft.com/office/drawing/2014/main" xmlns="" id="{246C49EA-601B-4210-968E-52E52AF36D43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2493" name="Text Box 1184">
          <a:extLst>
            <a:ext uri="{FF2B5EF4-FFF2-40B4-BE49-F238E27FC236}">
              <a16:creationId xmlns:a16="http://schemas.microsoft.com/office/drawing/2014/main" xmlns="" id="{B9C7D5E3-E042-4C52-8867-967B7811D57C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2494" name="Text Box 1185">
          <a:extLst>
            <a:ext uri="{FF2B5EF4-FFF2-40B4-BE49-F238E27FC236}">
              <a16:creationId xmlns:a16="http://schemas.microsoft.com/office/drawing/2014/main" xmlns="" id="{6FAFBF50-438D-4CE8-8145-69D0D01897F3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2495" name="Text Box 1186">
          <a:extLst>
            <a:ext uri="{FF2B5EF4-FFF2-40B4-BE49-F238E27FC236}">
              <a16:creationId xmlns:a16="http://schemas.microsoft.com/office/drawing/2014/main" xmlns="" id="{7799DF57-3C29-4234-9197-86C99A83D47C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2496" name="Text Box 1187">
          <a:extLst>
            <a:ext uri="{FF2B5EF4-FFF2-40B4-BE49-F238E27FC236}">
              <a16:creationId xmlns:a16="http://schemas.microsoft.com/office/drawing/2014/main" xmlns="" id="{4DCC4215-F06A-47D6-BE7F-90B7EE442644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2497" name="Text Box 1188">
          <a:extLst>
            <a:ext uri="{FF2B5EF4-FFF2-40B4-BE49-F238E27FC236}">
              <a16:creationId xmlns:a16="http://schemas.microsoft.com/office/drawing/2014/main" xmlns="" id="{D0122733-D0F6-4E01-920E-145594B6FAF3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2498" name="Text Box 1189">
          <a:extLst>
            <a:ext uri="{FF2B5EF4-FFF2-40B4-BE49-F238E27FC236}">
              <a16:creationId xmlns:a16="http://schemas.microsoft.com/office/drawing/2014/main" xmlns="" id="{20257362-B232-4466-8567-1FF727B3280D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2499" name="Text Box 1190">
          <a:extLst>
            <a:ext uri="{FF2B5EF4-FFF2-40B4-BE49-F238E27FC236}">
              <a16:creationId xmlns:a16="http://schemas.microsoft.com/office/drawing/2014/main" xmlns="" id="{2516E4EF-0276-4615-9F58-0F9987DD99C9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2500" name="Text Box 1191">
          <a:extLst>
            <a:ext uri="{FF2B5EF4-FFF2-40B4-BE49-F238E27FC236}">
              <a16:creationId xmlns:a16="http://schemas.microsoft.com/office/drawing/2014/main" xmlns="" id="{B2E6ED38-3798-4005-B1F4-23B14994DD86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2501" name="Text Box 1192">
          <a:extLst>
            <a:ext uri="{FF2B5EF4-FFF2-40B4-BE49-F238E27FC236}">
              <a16:creationId xmlns:a16="http://schemas.microsoft.com/office/drawing/2014/main" xmlns="" id="{4F652162-553B-485E-A1F1-A7F6C1359CD3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2502" name="Text Box 1193">
          <a:extLst>
            <a:ext uri="{FF2B5EF4-FFF2-40B4-BE49-F238E27FC236}">
              <a16:creationId xmlns:a16="http://schemas.microsoft.com/office/drawing/2014/main" xmlns="" id="{99AAD769-6887-4555-8101-CACA1506AFA9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2503" name="Text Box 1194">
          <a:extLst>
            <a:ext uri="{FF2B5EF4-FFF2-40B4-BE49-F238E27FC236}">
              <a16:creationId xmlns:a16="http://schemas.microsoft.com/office/drawing/2014/main" xmlns="" id="{8B75F279-5872-4058-A0CA-0EF6D3CB8DF7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2504" name="Text Box 1195">
          <a:extLst>
            <a:ext uri="{FF2B5EF4-FFF2-40B4-BE49-F238E27FC236}">
              <a16:creationId xmlns:a16="http://schemas.microsoft.com/office/drawing/2014/main" xmlns="" id="{E79F4EB6-A832-4A48-9ED5-70472DA7FC07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2505" name="Text Box 1196">
          <a:extLst>
            <a:ext uri="{FF2B5EF4-FFF2-40B4-BE49-F238E27FC236}">
              <a16:creationId xmlns:a16="http://schemas.microsoft.com/office/drawing/2014/main" xmlns="" id="{16E1462A-07A3-4BBE-A860-24F65E565354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2506" name="Text Box 1197">
          <a:extLst>
            <a:ext uri="{FF2B5EF4-FFF2-40B4-BE49-F238E27FC236}">
              <a16:creationId xmlns:a16="http://schemas.microsoft.com/office/drawing/2014/main" xmlns="" id="{43233356-41AF-4B5C-81EE-16C40D7DCDC9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2507" name="Text Box 1198">
          <a:extLst>
            <a:ext uri="{FF2B5EF4-FFF2-40B4-BE49-F238E27FC236}">
              <a16:creationId xmlns:a16="http://schemas.microsoft.com/office/drawing/2014/main" xmlns="" id="{4FA80026-2B6B-48E9-BAB8-D8633F8B58BF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2508" name="Text Box 1199">
          <a:extLst>
            <a:ext uri="{FF2B5EF4-FFF2-40B4-BE49-F238E27FC236}">
              <a16:creationId xmlns:a16="http://schemas.microsoft.com/office/drawing/2014/main" xmlns="" id="{9A945F13-529E-4985-A076-C51B03458BF2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2509" name="Text Box 1200">
          <a:extLst>
            <a:ext uri="{FF2B5EF4-FFF2-40B4-BE49-F238E27FC236}">
              <a16:creationId xmlns:a16="http://schemas.microsoft.com/office/drawing/2014/main" xmlns="" id="{7BAA2357-A9D0-4478-8F59-F8FD38372103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2510" name="Text Box 1201">
          <a:extLst>
            <a:ext uri="{FF2B5EF4-FFF2-40B4-BE49-F238E27FC236}">
              <a16:creationId xmlns:a16="http://schemas.microsoft.com/office/drawing/2014/main" xmlns="" id="{D28CEEEC-5ECD-49E5-B2AD-D8BA5332BA5F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2511" name="Text Box 1202">
          <a:extLst>
            <a:ext uri="{FF2B5EF4-FFF2-40B4-BE49-F238E27FC236}">
              <a16:creationId xmlns:a16="http://schemas.microsoft.com/office/drawing/2014/main" xmlns="" id="{21337BEA-5C63-4103-A98B-30C133C1FD29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2512" name="Text Box 1203">
          <a:extLst>
            <a:ext uri="{FF2B5EF4-FFF2-40B4-BE49-F238E27FC236}">
              <a16:creationId xmlns:a16="http://schemas.microsoft.com/office/drawing/2014/main" xmlns="" id="{961B0C28-4968-45DB-9A2E-31F6B453C0B6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2513" name="Text Box 1204">
          <a:extLst>
            <a:ext uri="{FF2B5EF4-FFF2-40B4-BE49-F238E27FC236}">
              <a16:creationId xmlns:a16="http://schemas.microsoft.com/office/drawing/2014/main" xmlns="" id="{9C4F5F36-0552-4940-9E7B-44C5DD17A1E2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2514" name="Text Box 1205">
          <a:extLst>
            <a:ext uri="{FF2B5EF4-FFF2-40B4-BE49-F238E27FC236}">
              <a16:creationId xmlns:a16="http://schemas.microsoft.com/office/drawing/2014/main" xmlns="" id="{A7A72ACD-A959-4CA2-A678-D9875A1BF98B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2515" name="Text Box 1206">
          <a:extLst>
            <a:ext uri="{FF2B5EF4-FFF2-40B4-BE49-F238E27FC236}">
              <a16:creationId xmlns:a16="http://schemas.microsoft.com/office/drawing/2014/main" xmlns="" id="{FE649800-F8B9-4C4A-8E27-B81275D87F2F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2516" name="Text Box 1207">
          <a:extLst>
            <a:ext uri="{FF2B5EF4-FFF2-40B4-BE49-F238E27FC236}">
              <a16:creationId xmlns:a16="http://schemas.microsoft.com/office/drawing/2014/main" xmlns="" id="{368837ED-0B18-43A2-AB1D-0BDA020A703C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2517" name="Text Box 1208">
          <a:extLst>
            <a:ext uri="{FF2B5EF4-FFF2-40B4-BE49-F238E27FC236}">
              <a16:creationId xmlns:a16="http://schemas.microsoft.com/office/drawing/2014/main" xmlns="" id="{D51F516B-FFDD-490D-B9B4-9B144BC9B5C9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2518" name="Text Box 1209">
          <a:extLst>
            <a:ext uri="{FF2B5EF4-FFF2-40B4-BE49-F238E27FC236}">
              <a16:creationId xmlns:a16="http://schemas.microsoft.com/office/drawing/2014/main" xmlns="" id="{918B78DF-C45F-4458-9514-F8A02C7C926E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2519" name="Text Box 1210">
          <a:extLst>
            <a:ext uri="{FF2B5EF4-FFF2-40B4-BE49-F238E27FC236}">
              <a16:creationId xmlns:a16="http://schemas.microsoft.com/office/drawing/2014/main" xmlns="" id="{6149C3A3-7DAF-46CC-9383-6854984B9F80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2520" name="Text Box 1211">
          <a:extLst>
            <a:ext uri="{FF2B5EF4-FFF2-40B4-BE49-F238E27FC236}">
              <a16:creationId xmlns:a16="http://schemas.microsoft.com/office/drawing/2014/main" xmlns="" id="{518AFC79-5FE6-43FF-84D5-7D4878209A80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2521" name="Text Box 1212">
          <a:extLst>
            <a:ext uri="{FF2B5EF4-FFF2-40B4-BE49-F238E27FC236}">
              <a16:creationId xmlns:a16="http://schemas.microsoft.com/office/drawing/2014/main" xmlns="" id="{A91D139C-8740-470F-A3E0-6C78FDB936FD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2522" name="Text Box 1213">
          <a:extLst>
            <a:ext uri="{FF2B5EF4-FFF2-40B4-BE49-F238E27FC236}">
              <a16:creationId xmlns:a16="http://schemas.microsoft.com/office/drawing/2014/main" xmlns="" id="{DD797FAE-A3E7-483E-8B2C-5BE1275E035E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2523" name="Text Box 1214">
          <a:extLst>
            <a:ext uri="{FF2B5EF4-FFF2-40B4-BE49-F238E27FC236}">
              <a16:creationId xmlns:a16="http://schemas.microsoft.com/office/drawing/2014/main" xmlns="" id="{DDCBE2F0-48FB-4274-BBCD-F498B4443C75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2524" name="Text Box 1215">
          <a:extLst>
            <a:ext uri="{FF2B5EF4-FFF2-40B4-BE49-F238E27FC236}">
              <a16:creationId xmlns:a16="http://schemas.microsoft.com/office/drawing/2014/main" xmlns="" id="{F0787986-50BE-4E70-8E5C-F2B85CDE1B40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2525" name="Text Box 1216">
          <a:extLst>
            <a:ext uri="{FF2B5EF4-FFF2-40B4-BE49-F238E27FC236}">
              <a16:creationId xmlns:a16="http://schemas.microsoft.com/office/drawing/2014/main" xmlns="" id="{0572D563-58C3-42BD-8D6D-7990B804A347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2526" name="Text Box 1217">
          <a:extLst>
            <a:ext uri="{FF2B5EF4-FFF2-40B4-BE49-F238E27FC236}">
              <a16:creationId xmlns:a16="http://schemas.microsoft.com/office/drawing/2014/main" xmlns="" id="{67411270-A9A7-4A39-A912-27B6E957D9F3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2527" name="Text Box 1218">
          <a:extLst>
            <a:ext uri="{FF2B5EF4-FFF2-40B4-BE49-F238E27FC236}">
              <a16:creationId xmlns:a16="http://schemas.microsoft.com/office/drawing/2014/main" xmlns="" id="{DD3699F6-90DF-4845-8B68-505E40286A7E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2528" name="Text Box 1219">
          <a:extLst>
            <a:ext uri="{FF2B5EF4-FFF2-40B4-BE49-F238E27FC236}">
              <a16:creationId xmlns:a16="http://schemas.microsoft.com/office/drawing/2014/main" xmlns="" id="{D4A61D29-6BF7-4C57-A5E2-B132113C1C24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2529" name="Text Box 1220">
          <a:extLst>
            <a:ext uri="{FF2B5EF4-FFF2-40B4-BE49-F238E27FC236}">
              <a16:creationId xmlns:a16="http://schemas.microsoft.com/office/drawing/2014/main" xmlns="" id="{0955B426-FDB5-4489-9C1A-E3530EE23A08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2530" name="Text Box 1221">
          <a:extLst>
            <a:ext uri="{FF2B5EF4-FFF2-40B4-BE49-F238E27FC236}">
              <a16:creationId xmlns:a16="http://schemas.microsoft.com/office/drawing/2014/main" xmlns="" id="{81F31A50-B266-4814-9AB6-A4400807795D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2531" name="Text Box 1222">
          <a:extLst>
            <a:ext uri="{FF2B5EF4-FFF2-40B4-BE49-F238E27FC236}">
              <a16:creationId xmlns:a16="http://schemas.microsoft.com/office/drawing/2014/main" xmlns="" id="{89792AEE-4F5C-4B73-BBFC-17729190F0D9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2532" name="Text Box 1223">
          <a:extLst>
            <a:ext uri="{FF2B5EF4-FFF2-40B4-BE49-F238E27FC236}">
              <a16:creationId xmlns:a16="http://schemas.microsoft.com/office/drawing/2014/main" xmlns="" id="{3E46E068-89BF-4B00-A620-A6ABB0BCB8F1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2533" name="Text Box 1224">
          <a:extLst>
            <a:ext uri="{FF2B5EF4-FFF2-40B4-BE49-F238E27FC236}">
              <a16:creationId xmlns:a16="http://schemas.microsoft.com/office/drawing/2014/main" xmlns="" id="{3098C317-B96A-470C-94E5-2D6FD1E9C59F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2534" name="Text Box 1225">
          <a:extLst>
            <a:ext uri="{FF2B5EF4-FFF2-40B4-BE49-F238E27FC236}">
              <a16:creationId xmlns:a16="http://schemas.microsoft.com/office/drawing/2014/main" xmlns="" id="{CD99483E-2464-4B47-96C8-D34BE0DFCD33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2535" name="Text Box 1226">
          <a:extLst>
            <a:ext uri="{FF2B5EF4-FFF2-40B4-BE49-F238E27FC236}">
              <a16:creationId xmlns:a16="http://schemas.microsoft.com/office/drawing/2014/main" xmlns="" id="{BAE8F985-6CB1-40C1-AAFA-770261E2A0C1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2536" name="Text Box 1227">
          <a:extLst>
            <a:ext uri="{FF2B5EF4-FFF2-40B4-BE49-F238E27FC236}">
              <a16:creationId xmlns:a16="http://schemas.microsoft.com/office/drawing/2014/main" xmlns="" id="{7589A357-C1D4-4BC7-B3B3-A685310DAD04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2537" name="Text Box 1228">
          <a:extLst>
            <a:ext uri="{FF2B5EF4-FFF2-40B4-BE49-F238E27FC236}">
              <a16:creationId xmlns:a16="http://schemas.microsoft.com/office/drawing/2014/main" xmlns="" id="{5FFE2283-FBE1-46A4-9F69-FB525FBCD777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2538" name="Text Box 1229">
          <a:extLst>
            <a:ext uri="{FF2B5EF4-FFF2-40B4-BE49-F238E27FC236}">
              <a16:creationId xmlns:a16="http://schemas.microsoft.com/office/drawing/2014/main" xmlns="" id="{3FC93285-0914-4135-AB88-CBF6D7C38D95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2539" name="Text Box 1230">
          <a:extLst>
            <a:ext uri="{FF2B5EF4-FFF2-40B4-BE49-F238E27FC236}">
              <a16:creationId xmlns:a16="http://schemas.microsoft.com/office/drawing/2014/main" xmlns="" id="{398F76FF-5205-4588-8E72-F3CA3A292ADA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2540" name="Text Box 1231">
          <a:extLst>
            <a:ext uri="{FF2B5EF4-FFF2-40B4-BE49-F238E27FC236}">
              <a16:creationId xmlns:a16="http://schemas.microsoft.com/office/drawing/2014/main" xmlns="" id="{2BC8998A-8F6C-4185-87E3-D710C1040B50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2541" name="Text Box 1232">
          <a:extLst>
            <a:ext uri="{FF2B5EF4-FFF2-40B4-BE49-F238E27FC236}">
              <a16:creationId xmlns:a16="http://schemas.microsoft.com/office/drawing/2014/main" xmlns="" id="{3166228E-850C-4FD2-947A-576CB192B973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2542" name="Text Box 1233">
          <a:extLst>
            <a:ext uri="{FF2B5EF4-FFF2-40B4-BE49-F238E27FC236}">
              <a16:creationId xmlns:a16="http://schemas.microsoft.com/office/drawing/2014/main" xmlns="" id="{1656FF07-6C89-4029-94B0-F471311A033D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2543" name="Text Box 1234">
          <a:extLst>
            <a:ext uri="{FF2B5EF4-FFF2-40B4-BE49-F238E27FC236}">
              <a16:creationId xmlns:a16="http://schemas.microsoft.com/office/drawing/2014/main" xmlns="" id="{E37DD9F1-834F-42F7-A9AE-D0A24523279F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2544" name="Text Box 1235">
          <a:extLst>
            <a:ext uri="{FF2B5EF4-FFF2-40B4-BE49-F238E27FC236}">
              <a16:creationId xmlns:a16="http://schemas.microsoft.com/office/drawing/2014/main" xmlns="" id="{7DBEDF9C-5C42-4247-AC25-4B6C78029D70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2545" name="Text Box 1236">
          <a:extLst>
            <a:ext uri="{FF2B5EF4-FFF2-40B4-BE49-F238E27FC236}">
              <a16:creationId xmlns:a16="http://schemas.microsoft.com/office/drawing/2014/main" xmlns="" id="{0E4F8D5A-0908-45EE-BF4C-498AA56999FB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2546" name="Text Box 1237">
          <a:extLst>
            <a:ext uri="{FF2B5EF4-FFF2-40B4-BE49-F238E27FC236}">
              <a16:creationId xmlns:a16="http://schemas.microsoft.com/office/drawing/2014/main" xmlns="" id="{0506BF2F-C178-4485-8352-4CF2913D83BC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2547" name="Text Box 1238">
          <a:extLst>
            <a:ext uri="{FF2B5EF4-FFF2-40B4-BE49-F238E27FC236}">
              <a16:creationId xmlns:a16="http://schemas.microsoft.com/office/drawing/2014/main" xmlns="" id="{477257ED-D9DD-4036-9652-8F0F7C38E7E0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548" name="Text Box 1239">
          <a:extLst>
            <a:ext uri="{FF2B5EF4-FFF2-40B4-BE49-F238E27FC236}">
              <a16:creationId xmlns:a16="http://schemas.microsoft.com/office/drawing/2014/main" xmlns="" id="{BFDA8308-2D64-43F5-989A-1CED737A5A5B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549" name="Text Box 1240">
          <a:extLst>
            <a:ext uri="{FF2B5EF4-FFF2-40B4-BE49-F238E27FC236}">
              <a16:creationId xmlns:a16="http://schemas.microsoft.com/office/drawing/2014/main" xmlns="" id="{5A94077A-67C7-4F5E-94FB-DC0D5ED880C7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550" name="Text Box 1241">
          <a:extLst>
            <a:ext uri="{FF2B5EF4-FFF2-40B4-BE49-F238E27FC236}">
              <a16:creationId xmlns:a16="http://schemas.microsoft.com/office/drawing/2014/main" xmlns="" id="{686C984F-1778-4B6C-AAAF-85E28259A62C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551" name="Text Box 1242">
          <a:extLst>
            <a:ext uri="{FF2B5EF4-FFF2-40B4-BE49-F238E27FC236}">
              <a16:creationId xmlns:a16="http://schemas.microsoft.com/office/drawing/2014/main" xmlns="" id="{B6C6DCB2-0AC8-4D4E-ACD4-F768F44289F7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552" name="Text Box 1243">
          <a:extLst>
            <a:ext uri="{FF2B5EF4-FFF2-40B4-BE49-F238E27FC236}">
              <a16:creationId xmlns:a16="http://schemas.microsoft.com/office/drawing/2014/main" xmlns="" id="{0620E9AC-8A2B-43DF-863E-13C68799075A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553" name="Text Box 1244">
          <a:extLst>
            <a:ext uri="{FF2B5EF4-FFF2-40B4-BE49-F238E27FC236}">
              <a16:creationId xmlns:a16="http://schemas.microsoft.com/office/drawing/2014/main" xmlns="" id="{8358328B-EFD4-4DD5-8BC2-8C01B3E9785C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554" name="Text Box 1245">
          <a:extLst>
            <a:ext uri="{FF2B5EF4-FFF2-40B4-BE49-F238E27FC236}">
              <a16:creationId xmlns:a16="http://schemas.microsoft.com/office/drawing/2014/main" xmlns="" id="{561A96D7-A85F-43ED-9085-6BD4584DDD9E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555" name="Text Box 1246">
          <a:extLst>
            <a:ext uri="{FF2B5EF4-FFF2-40B4-BE49-F238E27FC236}">
              <a16:creationId xmlns:a16="http://schemas.microsoft.com/office/drawing/2014/main" xmlns="" id="{0B0C8D27-58E3-438F-BEF0-BE612B2DAE29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556" name="Text Box 1247">
          <a:extLst>
            <a:ext uri="{FF2B5EF4-FFF2-40B4-BE49-F238E27FC236}">
              <a16:creationId xmlns:a16="http://schemas.microsoft.com/office/drawing/2014/main" xmlns="" id="{795A7D21-0D8F-4103-9449-7A7043D42342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557" name="Text Box 1248">
          <a:extLst>
            <a:ext uri="{FF2B5EF4-FFF2-40B4-BE49-F238E27FC236}">
              <a16:creationId xmlns:a16="http://schemas.microsoft.com/office/drawing/2014/main" xmlns="" id="{8E0237A2-E4BA-458F-9248-20BFC5DAFB98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558" name="Text Box 1249">
          <a:extLst>
            <a:ext uri="{FF2B5EF4-FFF2-40B4-BE49-F238E27FC236}">
              <a16:creationId xmlns:a16="http://schemas.microsoft.com/office/drawing/2014/main" xmlns="" id="{45C8EF60-D1DD-481A-AC9D-42D00ADA2E6F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559" name="Text Box 1250">
          <a:extLst>
            <a:ext uri="{FF2B5EF4-FFF2-40B4-BE49-F238E27FC236}">
              <a16:creationId xmlns:a16="http://schemas.microsoft.com/office/drawing/2014/main" xmlns="" id="{2BA12666-75EF-46A6-9C05-ABF2CDAD7669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560" name="Text Box 1251">
          <a:extLst>
            <a:ext uri="{FF2B5EF4-FFF2-40B4-BE49-F238E27FC236}">
              <a16:creationId xmlns:a16="http://schemas.microsoft.com/office/drawing/2014/main" xmlns="" id="{6F3EFE2A-CBCA-46D2-A705-7591B0E9A1F7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561" name="Text Box 1252">
          <a:extLst>
            <a:ext uri="{FF2B5EF4-FFF2-40B4-BE49-F238E27FC236}">
              <a16:creationId xmlns:a16="http://schemas.microsoft.com/office/drawing/2014/main" xmlns="" id="{78633F69-8997-47DB-96C7-86759F10956C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562" name="Text Box 1253">
          <a:extLst>
            <a:ext uri="{FF2B5EF4-FFF2-40B4-BE49-F238E27FC236}">
              <a16:creationId xmlns:a16="http://schemas.microsoft.com/office/drawing/2014/main" xmlns="" id="{5DD59F18-3488-428B-BBA6-04F7A76B4FA6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563" name="Text Box 1254">
          <a:extLst>
            <a:ext uri="{FF2B5EF4-FFF2-40B4-BE49-F238E27FC236}">
              <a16:creationId xmlns:a16="http://schemas.microsoft.com/office/drawing/2014/main" xmlns="" id="{78597445-25F4-427A-97B3-0DD6FB108AF5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564" name="Text Box 1255">
          <a:extLst>
            <a:ext uri="{FF2B5EF4-FFF2-40B4-BE49-F238E27FC236}">
              <a16:creationId xmlns:a16="http://schemas.microsoft.com/office/drawing/2014/main" xmlns="" id="{0226D3D7-018B-45E2-8133-7856E38EDFC4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565" name="Text Box 1256">
          <a:extLst>
            <a:ext uri="{FF2B5EF4-FFF2-40B4-BE49-F238E27FC236}">
              <a16:creationId xmlns:a16="http://schemas.microsoft.com/office/drawing/2014/main" xmlns="" id="{57C7AB02-3802-4FF8-AA3B-50C95FB47D1E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566" name="Text Box 1257">
          <a:extLst>
            <a:ext uri="{FF2B5EF4-FFF2-40B4-BE49-F238E27FC236}">
              <a16:creationId xmlns:a16="http://schemas.microsoft.com/office/drawing/2014/main" xmlns="" id="{14C77ED9-5556-4BA2-BE9F-D20CACCADA54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567" name="Text Box 1258">
          <a:extLst>
            <a:ext uri="{FF2B5EF4-FFF2-40B4-BE49-F238E27FC236}">
              <a16:creationId xmlns:a16="http://schemas.microsoft.com/office/drawing/2014/main" xmlns="" id="{F0E71037-F5D0-4F3B-9421-E6FB4273AD2E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568" name="Text Box 1259">
          <a:extLst>
            <a:ext uri="{FF2B5EF4-FFF2-40B4-BE49-F238E27FC236}">
              <a16:creationId xmlns:a16="http://schemas.microsoft.com/office/drawing/2014/main" xmlns="" id="{A3C49028-176F-4A5A-A757-CD9574F0A7BB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569" name="Text Box 1260">
          <a:extLst>
            <a:ext uri="{FF2B5EF4-FFF2-40B4-BE49-F238E27FC236}">
              <a16:creationId xmlns:a16="http://schemas.microsoft.com/office/drawing/2014/main" xmlns="" id="{B2CA2525-4719-48A3-8024-CBE8AAA1E084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570" name="Text Box 1261">
          <a:extLst>
            <a:ext uri="{FF2B5EF4-FFF2-40B4-BE49-F238E27FC236}">
              <a16:creationId xmlns:a16="http://schemas.microsoft.com/office/drawing/2014/main" xmlns="" id="{02DF79FD-0BD6-4FF5-860A-F5C6F9D52BAA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571" name="Text Box 1262">
          <a:extLst>
            <a:ext uri="{FF2B5EF4-FFF2-40B4-BE49-F238E27FC236}">
              <a16:creationId xmlns:a16="http://schemas.microsoft.com/office/drawing/2014/main" xmlns="" id="{76FA7566-6CAB-4B8C-BA96-F648BC231D64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572" name="Text Box 1263">
          <a:extLst>
            <a:ext uri="{FF2B5EF4-FFF2-40B4-BE49-F238E27FC236}">
              <a16:creationId xmlns:a16="http://schemas.microsoft.com/office/drawing/2014/main" xmlns="" id="{D29F936A-B90E-4AF7-8D54-585669F5AD70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573" name="Text Box 1264">
          <a:extLst>
            <a:ext uri="{FF2B5EF4-FFF2-40B4-BE49-F238E27FC236}">
              <a16:creationId xmlns:a16="http://schemas.microsoft.com/office/drawing/2014/main" xmlns="" id="{3DC7E21D-5525-49C8-8C99-7B6AC3CBDBFD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574" name="Text Box 1265">
          <a:extLst>
            <a:ext uri="{FF2B5EF4-FFF2-40B4-BE49-F238E27FC236}">
              <a16:creationId xmlns:a16="http://schemas.microsoft.com/office/drawing/2014/main" xmlns="" id="{E6AA6F57-8DE0-4206-B9A6-8D3A37CBFFAB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575" name="Text Box 1266">
          <a:extLst>
            <a:ext uri="{FF2B5EF4-FFF2-40B4-BE49-F238E27FC236}">
              <a16:creationId xmlns:a16="http://schemas.microsoft.com/office/drawing/2014/main" xmlns="" id="{EA74E30D-64B0-4534-8922-494F4E0A5FE6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576" name="Text Box 1267">
          <a:extLst>
            <a:ext uri="{FF2B5EF4-FFF2-40B4-BE49-F238E27FC236}">
              <a16:creationId xmlns:a16="http://schemas.microsoft.com/office/drawing/2014/main" xmlns="" id="{09F839B5-61FB-4718-A241-0D611B6EE234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577" name="Text Box 1268">
          <a:extLst>
            <a:ext uri="{FF2B5EF4-FFF2-40B4-BE49-F238E27FC236}">
              <a16:creationId xmlns:a16="http://schemas.microsoft.com/office/drawing/2014/main" xmlns="" id="{9F6E9F61-4232-4DD2-8746-23BF5E14DFAD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578" name="Text Box 1269">
          <a:extLst>
            <a:ext uri="{FF2B5EF4-FFF2-40B4-BE49-F238E27FC236}">
              <a16:creationId xmlns:a16="http://schemas.microsoft.com/office/drawing/2014/main" xmlns="" id="{DFF0D95B-B169-444B-8C77-87B31619AF19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579" name="Text Box 1270">
          <a:extLst>
            <a:ext uri="{FF2B5EF4-FFF2-40B4-BE49-F238E27FC236}">
              <a16:creationId xmlns:a16="http://schemas.microsoft.com/office/drawing/2014/main" xmlns="" id="{1846ABF9-41EB-4C48-9A55-700794824EEC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580" name="Text Box 1271">
          <a:extLst>
            <a:ext uri="{FF2B5EF4-FFF2-40B4-BE49-F238E27FC236}">
              <a16:creationId xmlns:a16="http://schemas.microsoft.com/office/drawing/2014/main" xmlns="" id="{4159C315-7CE4-4D50-9652-8680875DCCA3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581" name="Text Box 1272">
          <a:extLst>
            <a:ext uri="{FF2B5EF4-FFF2-40B4-BE49-F238E27FC236}">
              <a16:creationId xmlns:a16="http://schemas.microsoft.com/office/drawing/2014/main" xmlns="" id="{58FAE485-582C-45E7-BE6C-051CCFC90C31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582" name="Text Box 1273">
          <a:extLst>
            <a:ext uri="{FF2B5EF4-FFF2-40B4-BE49-F238E27FC236}">
              <a16:creationId xmlns:a16="http://schemas.microsoft.com/office/drawing/2014/main" xmlns="" id="{27BFD709-922D-4EFE-8021-BCC9C4AFFBBA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583" name="Text Box 1274">
          <a:extLst>
            <a:ext uri="{FF2B5EF4-FFF2-40B4-BE49-F238E27FC236}">
              <a16:creationId xmlns:a16="http://schemas.microsoft.com/office/drawing/2014/main" xmlns="" id="{31EE9880-835E-430D-A4B2-352DA462D4DA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584" name="Text Box 1275">
          <a:extLst>
            <a:ext uri="{FF2B5EF4-FFF2-40B4-BE49-F238E27FC236}">
              <a16:creationId xmlns:a16="http://schemas.microsoft.com/office/drawing/2014/main" xmlns="" id="{13C34A01-01A2-43BF-AB43-2B5B9AB85CAD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585" name="Text Box 1276">
          <a:extLst>
            <a:ext uri="{FF2B5EF4-FFF2-40B4-BE49-F238E27FC236}">
              <a16:creationId xmlns:a16="http://schemas.microsoft.com/office/drawing/2014/main" xmlns="" id="{E71EB27D-D739-4D5B-993B-C1DE2DC72D9B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586" name="Text Box 1277">
          <a:extLst>
            <a:ext uri="{FF2B5EF4-FFF2-40B4-BE49-F238E27FC236}">
              <a16:creationId xmlns:a16="http://schemas.microsoft.com/office/drawing/2014/main" xmlns="" id="{BF578790-4FF7-49CA-88AD-8F42FE8145DE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587" name="Text Box 1278">
          <a:extLst>
            <a:ext uri="{FF2B5EF4-FFF2-40B4-BE49-F238E27FC236}">
              <a16:creationId xmlns:a16="http://schemas.microsoft.com/office/drawing/2014/main" xmlns="" id="{7B4B6AB1-2F0B-4BDF-AACF-BF8A2AEF2B19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588" name="Text Box 1279">
          <a:extLst>
            <a:ext uri="{FF2B5EF4-FFF2-40B4-BE49-F238E27FC236}">
              <a16:creationId xmlns:a16="http://schemas.microsoft.com/office/drawing/2014/main" xmlns="" id="{1FBD190E-3C6E-4907-A676-300A986F281D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589" name="Text Box 1280">
          <a:extLst>
            <a:ext uri="{FF2B5EF4-FFF2-40B4-BE49-F238E27FC236}">
              <a16:creationId xmlns:a16="http://schemas.microsoft.com/office/drawing/2014/main" xmlns="" id="{C15C3E09-0288-40B2-AF42-BD35C7B29376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590" name="Text Box 1281">
          <a:extLst>
            <a:ext uri="{FF2B5EF4-FFF2-40B4-BE49-F238E27FC236}">
              <a16:creationId xmlns:a16="http://schemas.microsoft.com/office/drawing/2014/main" xmlns="" id="{FFE16F61-439B-436B-BE1C-8217017360F2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591" name="Text Box 1282">
          <a:extLst>
            <a:ext uri="{FF2B5EF4-FFF2-40B4-BE49-F238E27FC236}">
              <a16:creationId xmlns:a16="http://schemas.microsoft.com/office/drawing/2014/main" xmlns="" id="{DE56B95D-6007-4050-B023-8DBF71C0AAE8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592" name="Text Box 1283">
          <a:extLst>
            <a:ext uri="{FF2B5EF4-FFF2-40B4-BE49-F238E27FC236}">
              <a16:creationId xmlns:a16="http://schemas.microsoft.com/office/drawing/2014/main" xmlns="" id="{56DD1042-6488-4009-80E6-DC9B023E98DB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593" name="Text Box 1284">
          <a:extLst>
            <a:ext uri="{FF2B5EF4-FFF2-40B4-BE49-F238E27FC236}">
              <a16:creationId xmlns:a16="http://schemas.microsoft.com/office/drawing/2014/main" xmlns="" id="{879F8922-DB72-4118-B9DA-F483B4D603CF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594" name="Text Box 1285">
          <a:extLst>
            <a:ext uri="{FF2B5EF4-FFF2-40B4-BE49-F238E27FC236}">
              <a16:creationId xmlns:a16="http://schemas.microsoft.com/office/drawing/2014/main" xmlns="" id="{A658CFEA-61B4-4F37-8A09-BC186D7392D0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595" name="Text Box 1286">
          <a:extLst>
            <a:ext uri="{FF2B5EF4-FFF2-40B4-BE49-F238E27FC236}">
              <a16:creationId xmlns:a16="http://schemas.microsoft.com/office/drawing/2014/main" xmlns="" id="{06DBB1C4-753B-4AF8-8607-2B9C09439514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596" name="Text Box 1287">
          <a:extLst>
            <a:ext uri="{FF2B5EF4-FFF2-40B4-BE49-F238E27FC236}">
              <a16:creationId xmlns:a16="http://schemas.microsoft.com/office/drawing/2014/main" xmlns="" id="{72CD74AE-AB7E-45EC-86F4-D093AE223B31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597" name="Text Box 1288">
          <a:extLst>
            <a:ext uri="{FF2B5EF4-FFF2-40B4-BE49-F238E27FC236}">
              <a16:creationId xmlns:a16="http://schemas.microsoft.com/office/drawing/2014/main" xmlns="" id="{089A7495-BED8-458F-AC80-B0FCE2358718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598" name="Text Box 1289">
          <a:extLst>
            <a:ext uri="{FF2B5EF4-FFF2-40B4-BE49-F238E27FC236}">
              <a16:creationId xmlns:a16="http://schemas.microsoft.com/office/drawing/2014/main" xmlns="" id="{326D5A6E-692C-48BA-9273-BD832FAB9510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599" name="Text Box 1290">
          <a:extLst>
            <a:ext uri="{FF2B5EF4-FFF2-40B4-BE49-F238E27FC236}">
              <a16:creationId xmlns:a16="http://schemas.microsoft.com/office/drawing/2014/main" xmlns="" id="{C062CEA2-92B0-46A8-8A4C-1A127CE5EC6E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600" name="Text Box 1291">
          <a:extLst>
            <a:ext uri="{FF2B5EF4-FFF2-40B4-BE49-F238E27FC236}">
              <a16:creationId xmlns:a16="http://schemas.microsoft.com/office/drawing/2014/main" xmlns="" id="{5E340156-BE2F-42B2-A36B-70682B5E556F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601" name="Text Box 1292">
          <a:extLst>
            <a:ext uri="{FF2B5EF4-FFF2-40B4-BE49-F238E27FC236}">
              <a16:creationId xmlns:a16="http://schemas.microsoft.com/office/drawing/2014/main" xmlns="" id="{FB65B756-B95E-4E9F-8129-A915554F89B9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602" name="Text Box 1293">
          <a:extLst>
            <a:ext uri="{FF2B5EF4-FFF2-40B4-BE49-F238E27FC236}">
              <a16:creationId xmlns:a16="http://schemas.microsoft.com/office/drawing/2014/main" xmlns="" id="{C2ABB75F-A339-46B2-9EDF-1EEBF0C72821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603" name="Text Box 1294">
          <a:extLst>
            <a:ext uri="{FF2B5EF4-FFF2-40B4-BE49-F238E27FC236}">
              <a16:creationId xmlns:a16="http://schemas.microsoft.com/office/drawing/2014/main" xmlns="" id="{293773E9-658C-4513-9D58-C204C3A6A709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604" name="Text Box 1295">
          <a:extLst>
            <a:ext uri="{FF2B5EF4-FFF2-40B4-BE49-F238E27FC236}">
              <a16:creationId xmlns:a16="http://schemas.microsoft.com/office/drawing/2014/main" xmlns="" id="{6512554F-FA3D-4314-AC68-33AD9FD2F8C6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605" name="Text Box 1296">
          <a:extLst>
            <a:ext uri="{FF2B5EF4-FFF2-40B4-BE49-F238E27FC236}">
              <a16:creationId xmlns:a16="http://schemas.microsoft.com/office/drawing/2014/main" xmlns="" id="{202DEE09-5289-4290-B018-3F7123D3E178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606" name="Text Box 1297">
          <a:extLst>
            <a:ext uri="{FF2B5EF4-FFF2-40B4-BE49-F238E27FC236}">
              <a16:creationId xmlns:a16="http://schemas.microsoft.com/office/drawing/2014/main" xmlns="" id="{8B60734B-7A07-4160-967E-AA8C3390B86C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607" name="Text Box 1298">
          <a:extLst>
            <a:ext uri="{FF2B5EF4-FFF2-40B4-BE49-F238E27FC236}">
              <a16:creationId xmlns:a16="http://schemas.microsoft.com/office/drawing/2014/main" xmlns="" id="{F7985A26-5257-4B09-84A0-02ACA737CCEE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608" name="Text Box 1299">
          <a:extLst>
            <a:ext uri="{FF2B5EF4-FFF2-40B4-BE49-F238E27FC236}">
              <a16:creationId xmlns:a16="http://schemas.microsoft.com/office/drawing/2014/main" xmlns="" id="{576A38F3-602E-42E7-8D56-0D8147C81D73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609" name="Text Box 1300">
          <a:extLst>
            <a:ext uri="{FF2B5EF4-FFF2-40B4-BE49-F238E27FC236}">
              <a16:creationId xmlns:a16="http://schemas.microsoft.com/office/drawing/2014/main" xmlns="" id="{41224A08-B74C-4F87-82E6-C2400E21D1A8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610" name="Text Box 1301">
          <a:extLst>
            <a:ext uri="{FF2B5EF4-FFF2-40B4-BE49-F238E27FC236}">
              <a16:creationId xmlns:a16="http://schemas.microsoft.com/office/drawing/2014/main" xmlns="" id="{5B364687-E8F0-474E-893D-C4E3E6B1937E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611" name="Text Box 1302">
          <a:extLst>
            <a:ext uri="{FF2B5EF4-FFF2-40B4-BE49-F238E27FC236}">
              <a16:creationId xmlns:a16="http://schemas.microsoft.com/office/drawing/2014/main" xmlns="" id="{1D138404-4F96-453E-B62F-0BFD18C380B7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612" name="Text Box 1303">
          <a:extLst>
            <a:ext uri="{FF2B5EF4-FFF2-40B4-BE49-F238E27FC236}">
              <a16:creationId xmlns:a16="http://schemas.microsoft.com/office/drawing/2014/main" xmlns="" id="{A88C4DDA-3BAC-46B8-B5B1-241C73A18305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613" name="Text Box 1304">
          <a:extLst>
            <a:ext uri="{FF2B5EF4-FFF2-40B4-BE49-F238E27FC236}">
              <a16:creationId xmlns:a16="http://schemas.microsoft.com/office/drawing/2014/main" xmlns="" id="{F2CB0BFD-EA12-41B1-8329-AD773173F56D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614" name="Text Box 1305">
          <a:extLst>
            <a:ext uri="{FF2B5EF4-FFF2-40B4-BE49-F238E27FC236}">
              <a16:creationId xmlns:a16="http://schemas.microsoft.com/office/drawing/2014/main" xmlns="" id="{69364C8E-8F25-4A7D-AC86-A162E97061DE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615" name="Text Box 1306">
          <a:extLst>
            <a:ext uri="{FF2B5EF4-FFF2-40B4-BE49-F238E27FC236}">
              <a16:creationId xmlns:a16="http://schemas.microsoft.com/office/drawing/2014/main" xmlns="" id="{90C2E7F9-8A1A-454D-9FE1-CB006888A34B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616" name="Text Box 1307">
          <a:extLst>
            <a:ext uri="{FF2B5EF4-FFF2-40B4-BE49-F238E27FC236}">
              <a16:creationId xmlns:a16="http://schemas.microsoft.com/office/drawing/2014/main" xmlns="" id="{31641391-DE17-45AC-9021-FDDB9CD8FBDF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617" name="Text Box 1308">
          <a:extLst>
            <a:ext uri="{FF2B5EF4-FFF2-40B4-BE49-F238E27FC236}">
              <a16:creationId xmlns:a16="http://schemas.microsoft.com/office/drawing/2014/main" xmlns="" id="{F21E0423-9421-4618-A9AC-0CBB4606DA31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618" name="Text Box 1309">
          <a:extLst>
            <a:ext uri="{FF2B5EF4-FFF2-40B4-BE49-F238E27FC236}">
              <a16:creationId xmlns:a16="http://schemas.microsoft.com/office/drawing/2014/main" xmlns="" id="{8D05ED4F-13B3-4352-8E4D-57C1B6938FD9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619" name="Text Box 1310">
          <a:extLst>
            <a:ext uri="{FF2B5EF4-FFF2-40B4-BE49-F238E27FC236}">
              <a16:creationId xmlns:a16="http://schemas.microsoft.com/office/drawing/2014/main" xmlns="" id="{B30656BF-A876-48FC-88F9-4203404B9856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620" name="Text Box 1311">
          <a:extLst>
            <a:ext uri="{FF2B5EF4-FFF2-40B4-BE49-F238E27FC236}">
              <a16:creationId xmlns:a16="http://schemas.microsoft.com/office/drawing/2014/main" xmlns="" id="{633F558F-DBC2-4691-B11B-E3B88C8D6928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621" name="Text Box 1312">
          <a:extLst>
            <a:ext uri="{FF2B5EF4-FFF2-40B4-BE49-F238E27FC236}">
              <a16:creationId xmlns:a16="http://schemas.microsoft.com/office/drawing/2014/main" xmlns="" id="{42AEC4BD-B4D2-4B8A-918D-C8D0DFB9DC35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622" name="Text Box 1313">
          <a:extLst>
            <a:ext uri="{FF2B5EF4-FFF2-40B4-BE49-F238E27FC236}">
              <a16:creationId xmlns:a16="http://schemas.microsoft.com/office/drawing/2014/main" xmlns="" id="{BBEA8BC4-9F59-4594-9512-F8620E11DDDE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623" name="Text Box 1314">
          <a:extLst>
            <a:ext uri="{FF2B5EF4-FFF2-40B4-BE49-F238E27FC236}">
              <a16:creationId xmlns:a16="http://schemas.microsoft.com/office/drawing/2014/main" xmlns="" id="{CA961285-B287-45BD-9E7A-42ADDCFAD1C3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624" name="Text Box 1315">
          <a:extLst>
            <a:ext uri="{FF2B5EF4-FFF2-40B4-BE49-F238E27FC236}">
              <a16:creationId xmlns:a16="http://schemas.microsoft.com/office/drawing/2014/main" xmlns="" id="{18903538-A3B5-4281-8707-2B6D5B8D52A1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625" name="Text Box 1316">
          <a:extLst>
            <a:ext uri="{FF2B5EF4-FFF2-40B4-BE49-F238E27FC236}">
              <a16:creationId xmlns:a16="http://schemas.microsoft.com/office/drawing/2014/main" xmlns="" id="{B3120B43-477B-43B9-AC98-B253D2C74FBB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626" name="Text Box 1317">
          <a:extLst>
            <a:ext uri="{FF2B5EF4-FFF2-40B4-BE49-F238E27FC236}">
              <a16:creationId xmlns:a16="http://schemas.microsoft.com/office/drawing/2014/main" xmlns="" id="{2590DD74-1B38-4D68-9BAA-2E892CA3EB60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627" name="Text Box 1318">
          <a:extLst>
            <a:ext uri="{FF2B5EF4-FFF2-40B4-BE49-F238E27FC236}">
              <a16:creationId xmlns:a16="http://schemas.microsoft.com/office/drawing/2014/main" xmlns="" id="{898F66DF-39A4-4697-AE15-B4B93F0949A1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628" name="Text Box 1319">
          <a:extLst>
            <a:ext uri="{FF2B5EF4-FFF2-40B4-BE49-F238E27FC236}">
              <a16:creationId xmlns:a16="http://schemas.microsoft.com/office/drawing/2014/main" xmlns="" id="{50058BAB-B928-45DF-8A2B-09A107FAA5EC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629" name="Text Box 1320">
          <a:extLst>
            <a:ext uri="{FF2B5EF4-FFF2-40B4-BE49-F238E27FC236}">
              <a16:creationId xmlns:a16="http://schemas.microsoft.com/office/drawing/2014/main" xmlns="" id="{D1FD00BF-8A6C-4B95-9406-E0FD5DC41398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630" name="Text Box 1321">
          <a:extLst>
            <a:ext uri="{FF2B5EF4-FFF2-40B4-BE49-F238E27FC236}">
              <a16:creationId xmlns:a16="http://schemas.microsoft.com/office/drawing/2014/main" xmlns="" id="{65DB71CB-8403-409D-B829-CBD20B721A4B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631" name="Text Box 1322">
          <a:extLst>
            <a:ext uri="{FF2B5EF4-FFF2-40B4-BE49-F238E27FC236}">
              <a16:creationId xmlns:a16="http://schemas.microsoft.com/office/drawing/2014/main" xmlns="" id="{EB70D6C2-A40C-496E-BEC4-5AE7BEDCC1B5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632" name="Text Box 1323">
          <a:extLst>
            <a:ext uri="{FF2B5EF4-FFF2-40B4-BE49-F238E27FC236}">
              <a16:creationId xmlns:a16="http://schemas.microsoft.com/office/drawing/2014/main" xmlns="" id="{3E87F11F-4DBA-412E-B5DA-128579005E99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633" name="Text Box 1324">
          <a:extLst>
            <a:ext uri="{FF2B5EF4-FFF2-40B4-BE49-F238E27FC236}">
              <a16:creationId xmlns:a16="http://schemas.microsoft.com/office/drawing/2014/main" xmlns="" id="{DE174D80-9EAF-4E62-B3D6-9E1442232336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634" name="Text Box 1325">
          <a:extLst>
            <a:ext uri="{FF2B5EF4-FFF2-40B4-BE49-F238E27FC236}">
              <a16:creationId xmlns:a16="http://schemas.microsoft.com/office/drawing/2014/main" xmlns="" id="{2D620792-C316-4995-ACC4-2DD69AEB5917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635" name="Text Box 1326">
          <a:extLst>
            <a:ext uri="{FF2B5EF4-FFF2-40B4-BE49-F238E27FC236}">
              <a16:creationId xmlns:a16="http://schemas.microsoft.com/office/drawing/2014/main" xmlns="" id="{82A334C8-FED2-4AD9-80D2-1AB6F08608A0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636" name="Text Box 1327">
          <a:extLst>
            <a:ext uri="{FF2B5EF4-FFF2-40B4-BE49-F238E27FC236}">
              <a16:creationId xmlns:a16="http://schemas.microsoft.com/office/drawing/2014/main" xmlns="" id="{9077E9C9-6750-41D5-9A74-0D9B453BF3F7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637" name="Text Box 1328">
          <a:extLst>
            <a:ext uri="{FF2B5EF4-FFF2-40B4-BE49-F238E27FC236}">
              <a16:creationId xmlns:a16="http://schemas.microsoft.com/office/drawing/2014/main" xmlns="" id="{E10DB155-19AA-4E28-92DE-CBD6ADBCFADD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638" name="Text Box 1329">
          <a:extLst>
            <a:ext uri="{FF2B5EF4-FFF2-40B4-BE49-F238E27FC236}">
              <a16:creationId xmlns:a16="http://schemas.microsoft.com/office/drawing/2014/main" xmlns="" id="{74C811AB-90B5-4281-8D1A-74736F0B68BC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639" name="Text Box 1330">
          <a:extLst>
            <a:ext uri="{FF2B5EF4-FFF2-40B4-BE49-F238E27FC236}">
              <a16:creationId xmlns:a16="http://schemas.microsoft.com/office/drawing/2014/main" xmlns="" id="{40EA78C8-41CA-4BC3-955D-6946479EC03C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640" name="Text Box 1331">
          <a:extLst>
            <a:ext uri="{FF2B5EF4-FFF2-40B4-BE49-F238E27FC236}">
              <a16:creationId xmlns:a16="http://schemas.microsoft.com/office/drawing/2014/main" xmlns="" id="{29C7FA97-FAAC-4C8F-815C-101866E6D5A2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641" name="Text Box 1332">
          <a:extLst>
            <a:ext uri="{FF2B5EF4-FFF2-40B4-BE49-F238E27FC236}">
              <a16:creationId xmlns:a16="http://schemas.microsoft.com/office/drawing/2014/main" xmlns="" id="{CEE58C3A-E58D-4096-A70D-F391F1639420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642" name="Text Box 1333">
          <a:extLst>
            <a:ext uri="{FF2B5EF4-FFF2-40B4-BE49-F238E27FC236}">
              <a16:creationId xmlns:a16="http://schemas.microsoft.com/office/drawing/2014/main" xmlns="" id="{04438064-1021-4E98-A5A3-E92EF2546251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643" name="Text Box 1334">
          <a:extLst>
            <a:ext uri="{FF2B5EF4-FFF2-40B4-BE49-F238E27FC236}">
              <a16:creationId xmlns:a16="http://schemas.microsoft.com/office/drawing/2014/main" xmlns="" id="{D54D49A4-8AF1-424F-9FB8-9F7E9083D90B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644" name="Text Box 1335">
          <a:extLst>
            <a:ext uri="{FF2B5EF4-FFF2-40B4-BE49-F238E27FC236}">
              <a16:creationId xmlns:a16="http://schemas.microsoft.com/office/drawing/2014/main" xmlns="" id="{1DA7CD32-13CB-49B1-B416-36BA9336E286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645" name="Text Box 1336">
          <a:extLst>
            <a:ext uri="{FF2B5EF4-FFF2-40B4-BE49-F238E27FC236}">
              <a16:creationId xmlns:a16="http://schemas.microsoft.com/office/drawing/2014/main" xmlns="" id="{1564916D-9EEE-42E1-A222-8A0638E6FD87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646" name="Text Box 1337">
          <a:extLst>
            <a:ext uri="{FF2B5EF4-FFF2-40B4-BE49-F238E27FC236}">
              <a16:creationId xmlns:a16="http://schemas.microsoft.com/office/drawing/2014/main" xmlns="" id="{A84F4691-8A0E-439C-BD4D-BAD476A2C202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647" name="Text Box 1338">
          <a:extLst>
            <a:ext uri="{FF2B5EF4-FFF2-40B4-BE49-F238E27FC236}">
              <a16:creationId xmlns:a16="http://schemas.microsoft.com/office/drawing/2014/main" xmlns="" id="{2B42F8A9-A812-4B42-9299-25E3261AAC57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648" name="Text Box 1339">
          <a:extLst>
            <a:ext uri="{FF2B5EF4-FFF2-40B4-BE49-F238E27FC236}">
              <a16:creationId xmlns:a16="http://schemas.microsoft.com/office/drawing/2014/main" xmlns="" id="{B5C6775C-AAD4-4258-8D8A-A87331A03D1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649" name="Text Box 1340">
          <a:extLst>
            <a:ext uri="{FF2B5EF4-FFF2-40B4-BE49-F238E27FC236}">
              <a16:creationId xmlns:a16="http://schemas.microsoft.com/office/drawing/2014/main" xmlns="" id="{3E36DB52-0BF4-4DDD-94CF-912658A1EB3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650" name="Text Box 1341">
          <a:extLst>
            <a:ext uri="{FF2B5EF4-FFF2-40B4-BE49-F238E27FC236}">
              <a16:creationId xmlns:a16="http://schemas.microsoft.com/office/drawing/2014/main" xmlns="" id="{0481A255-556A-4B70-8B71-B6CC7C43A16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651" name="Text Box 1342">
          <a:extLst>
            <a:ext uri="{FF2B5EF4-FFF2-40B4-BE49-F238E27FC236}">
              <a16:creationId xmlns:a16="http://schemas.microsoft.com/office/drawing/2014/main" xmlns="" id="{39B311FA-1182-43F6-A705-0B131766CC7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652" name="Text Box 1343">
          <a:extLst>
            <a:ext uri="{FF2B5EF4-FFF2-40B4-BE49-F238E27FC236}">
              <a16:creationId xmlns:a16="http://schemas.microsoft.com/office/drawing/2014/main" xmlns="" id="{EC6F8DAB-0AA4-40E7-9A41-ABC099BC11E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653" name="Text Box 1344">
          <a:extLst>
            <a:ext uri="{FF2B5EF4-FFF2-40B4-BE49-F238E27FC236}">
              <a16:creationId xmlns:a16="http://schemas.microsoft.com/office/drawing/2014/main" xmlns="" id="{594757D6-741A-4BA9-BD3E-6C304A5FAB3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654" name="Text Box 1345">
          <a:extLst>
            <a:ext uri="{FF2B5EF4-FFF2-40B4-BE49-F238E27FC236}">
              <a16:creationId xmlns:a16="http://schemas.microsoft.com/office/drawing/2014/main" xmlns="" id="{712A002E-9D2C-4425-AE3B-4FFD5662F99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655" name="Text Box 1346">
          <a:extLst>
            <a:ext uri="{FF2B5EF4-FFF2-40B4-BE49-F238E27FC236}">
              <a16:creationId xmlns:a16="http://schemas.microsoft.com/office/drawing/2014/main" xmlns="" id="{510EC16E-81A6-4B7B-823E-E6198898A9D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656" name="Text Box 1347">
          <a:extLst>
            <a:ext uri="{FF2B5EF4-FFF2-40B4-BE49-F238E27FC236}">
              <a16:creationId xmlns:a16="http://schemas.microsoft.com/office/drawing/2014/main" xmlns="" id="{3493B737-0048-4CFF-8113-095A034378B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657" name="Text Box 1348">
          <a:extLst>
            <a:ext uri="{FF2B5EF4-FFF2-40B4-BE49-F238E27FC236}">
              <a16:creationId xmlns:a16="http://schemas.microsoft.com/office/drawing/2014/main" xmlns="" id="{27FD385E-5479-4991-A758-EDEAA7E6EB0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658" name="Text Box 1349">
          <a:extLst>
            <a:ext uri="{FF2B5EF4-FFF2-40B4-BE49-F238E27FC236}">
              <a16:creationId xmlns:a16="http://schemas.microsoft.com/office/drawing/2014/main" xmlns="" id="{FAECFF7D-EADF-423A-86E0-390AD9972EA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659" name="Text Box 1350">
          <a:extLst>
            <a:ext uri="{FF2B5EF4-FFF2-40B4-BE49-F238E27FC236}">
              <a16:creationId xmlns:a16="http://schemas.microsoft.com/office/drawing/2014/main" xmlns="" id="{644DFD41-061F-470D-B030-5840EC5300E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660" name="Text Box 1351">
          <a:extLst>
            <a:ext uri="{FF2B5EF4-FFF2-40B4-BE49-F238E27FC236}">
              <a16:creationId xmlns:a16="http://schemas.microsoft.com/office/drawing/2014/main" xmlns="" id="{5B8F4402-0B8B-4939-B70B-B9E503D5026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661" name="Text Box 1352">
          <a:extLst>
            <a:ext uri="{FF2B5EF4-FFF2-40B4-BE49-F238E27FC236}">
              <a16:creationId xmlns:a16="http://schemas.microsoft.com/office/drawing/2014/main" xmlns="" id="{88B3DB32-927A-4BA2-AE94-64680B99D9E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662" name="Text Box 1353">
          <a:extLst>
            <a:ext uri="{FF2B5EF4-FFF2-40B4-BE49-F238E27FC236}">
              <a16:creationId xmlns:a16="http://schemas.microsoft.com/office/drawing/2014/main" xmlns="" id="{E7E315AF-65F6-4F5C-825F-8B5FE4BAAC6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663" name="Text Box 1354">
          <a:extLst>
            <a:ext uri="{FF2B5EF4-FFF2-40B4-BE49-F238E27FC236}">
              <a16:creationId xmlns:a16="http://schemas.microsoft.com/office/drawing/2014/main" xmlns="" id="{A15393AA-C748-40F6-B5F3-8D5C355114B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664" name="Text Box 1355">
          <a:extLst>
            <a:ext uri="{FF2B5EF4-FFF2-40B4-BE49-F238E27FC236}">
              <a16:creationId xmlns:a16="http://schemas.microsoft.com/office/drawing/2014/main" xmlns="" id="{B21C1997-AA98-4EB1-B3D4-FC225504E03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665" name="Text Box 1356">
          <a:extLst>
            <a:ext uri="{FF2B5EF4-FFF2-40B4-BE49-F238E27FC236}">
              <a16:creationId xmlns:a16="http://schemas.microsoft.com/office/drawing/2014/main" xmlns="" id="{DF29D15C-37A3-470E-8322-A4EF3175164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666" name="Text Box 1357">
          <a:extLst>
            <a:ext uri="{FF2B5EF4-FFF2-40B4-BE49-F238E27FC236}">
              <a16:creationId xmlns:a16="http://schemas.microsoft.com/office/drawing/2014/main" xmlns="" id="{5D66E8F6-1620-453E-BCEB-524729B9DA6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667" name="Text Box 1358">
          <a:extLst>
            <a:ext uri="{FF2B5EF4-FFF2-40B4-BE49-F238E27FC236}">
              <a16:creationId xmlns:a16="http://schemas.microsoft.com/office/drawing/2014/main" xmlns="" id="{2D886FD8-7CF1-4B24-9063-CF404B21F56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668" name="Text Box 1359">
          <a:extLst>
            <a:ext uri="{FF2B5EF4-FFF2-40B4-BE49-F238E27FC236}">
              <a16:creationId xmlns:a16="http://schemas.microsoft.com/office/drawing/2014/main" xmlns="" id="{9AFCC977-C6D6-488B-B06E-F387EE9998F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669" name="Text Box 1360">
          <a:extLst>
            <a:ext uri="{FF2B5EF4-FFF2-40B4-BE49-F238E27FC236}">
              <a16:creationId xmlns:a16="http://schemas.microsoft.com/office/drawing/2014/main" xmlns="" id="{33285956-A767-4366-A673-29742B43131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670" name="Text Box 1361">
          <a:extLst>
            <a:ext uri="{FF2B5EF4-FFF2-40B4-BE49-F238E27FC236}">
              <a16:creationId xmlns:a16="http://schemas.microsoft.com/office/drawing/2014/main" xmlns="" id="{9456C049-00B1-45F5-A85C-A172EFDDBF61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671" name="Text Box 1362">
          <a:extLst>
            <a:ext uri="{FF2B5EF4-FFF2-40B4-BE49-F238E27FC236}">
              <a16:creationId xmlns:a16="http://schemas.microsoft.com/office/drawing/2014/main" xmlns="" id="{F6057754-2695-4853-B5AC-378F84CB7A1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672" name="Text Box 1363">
          <a:extLst>
            <a:ext uri="{FF2B5EF4-FFF2-40B4-BE49-F238E27FC236}">
              <a16:creationId xmlns:a16="http://schemas.microsoft.com/office/drawing/2014/main" xmlns="" id="{A567EB1D-4E0C-4F28-A911-F20688FDC40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673" name="Text Box 1364">
          <a:extLst>
            <a:ext uri="{FF2B5EF4-FFF2-40B4-BE49-F238E27FC236}">
              <a16:creationId xmlns:a16="http://schemas.microsoft.com/office/drawing/2014/main" xmlns="" id="{E0ECF18C-EEC2-4949-A724-22F8D298DCA1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674" name="Text Box 1365">
          <a:extLst>
            <a:ext uri="{FF2B5EF4-FFF2-40B4-BE49-F238E27FC236}">
              <a16:creationId xmlns:a16="http://schemas.microsoft.com/office/drawing/2014/main" xmlns="" id="{0125188C-4718-44C7-9D77-08891F406B9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675" name="Text Box 1366">
          <a:extLst>
            <a:ext uri="{FF2B5EF4-FFF2-40B4-BE49-F238E27FC236}">
              <a16:creationId xmlns:a16="http://schemas.microsoft.com/office/drawing/2014/main" xmlns="" id="{01FF63F6-3158-486C-ADFB-54F4555ED17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676" name="Text Box 1367">
          <a:extLst>
            <a:ext uri="{FF2B5EF4-FFF2-40B4-BE49-F238E27FC236}">
              <a16:creationId xmlns:a16="http://schemas.microsoft.com/office/drawing/2014/main" xmlns="" id="{910EF60C-0BE1-4E6E-A91A-ADE7CAC96F2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677" name="Text Box 1368">
          <a:extLst>
            <a:ext uri="{FF2B5EF4-FFF2-40B4-BE49-F238E27FC236}">
              <a16:creationId xmlns:a16="http://schemas.microsoft.com/office/drawing/2014/main" xmlns="" id="{FB2DA30E-6A4D-43C2-92FD-C8DF22D7C8E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678" name="Text Box 1369">
          <a:extLst>
            <a:ext uri="{FF2B5EF4-FFF2-40B4-BE49-F238E27FC236}">
              <a16:creationId xmlns:a16="http://schemas.microsoft.com/office/drawing/2014/main" xmlns="" id="{B837B471-9B37-488F-966F-B4626C81B00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679" name="Text Box 1370">
          <a:extLst>
            <a:ext uri="{FF2B5EF4-FFF2-40B4-BE49-F238E27FC236}">
              <a16:creationId xmlns:a16="http://schemas.microsoft.com/office/drawing/2014/main" xmlns="" id="{6769C368-E092-49F2-A9B5-472A1179BFB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680" name="Text Box 1371">
          <a:extLst>
            <a:ext uri="{FF2B5EF4-FFF2-40B4-BE49-F238E27FC236}">
              <a16:creationId xmlns:a16="http://schemas.microsoft.com/office/drawing/2014/main" xmlns="" id="{950199E0-F570-4C7F-BA45-1B63BC8C9D5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681" name="Text Box 1372">
          <a:extLst>
            <a:ext uri="{FF2B5EF4-FFF2-40B4-BE49-F238E27FC236}">
              <a16:creationId xmlns:a16="http://schemas.microsoft.com/office/drawing/2014/main" xmlns="" id="{F9200627-C1F1-4E02-9264-7232F5610D8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682" name="Text Box 1373">
          <a:extLst>
            <a:ext uri="{FF2B5EF4-FFF2-40B4-BE49-F238E27FC236}">
              <a16:creationId xmlns:a16="http://schemas.microsoft.com/office/drawing/2014/main" xmlns="" id="{8D4363A6-C140-46B4-86F6-2D9DFEAF852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683" name="Text Box 1374">
          <a:extLst>
            <a:ext uri="{FF2B5EF4-FFF2-40B4-BE49-F238E27FC236}">
              <a16:creationId xmlns:a16="http://schemas.microsoft.com/office/drawing/2014/main" xmlns="" id="{F4684FB5-E5EF-42CB-BF9C-A6897CD4ECD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684" name="Text Box 1375">
          <a:extLst>
            <a:ext uri="{FF2B5EF4-FFF2-40B4-BE49-F238E27FC236}">
              <a16:creationId xmlns:a16="http://schemas.microsoft.com/office/drawing/2014/main" xmlns="" id="{6142646F-5A87-405F-AA4E-220231530A3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685" name="Text Box 1376">
          <a:extLst>
            <a:ext uri="{FF2B5EF4-FFF2-40B4-BE49-F238E27FC236}">
              <a16:creationId xmlns:a16="http://schemas.microsoft.com/office/drawing/2014/main" xmlns="" id="{ACA04F0E-0A7D-4C69-B7EF-9FCA58E485C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686" name="Text Box 1377">
          <a:extLst>
            <a:ext uri="{FF2B5EF4-FFF2-40B4-BE49-F238E27FC236}">
              <a16:creationId xmlns:a16="http://schemas.microsoft.com/office/drawing/2014/main" xmlns="" id="{4FDB11BA-D51D-4430-B452-4F8C39C7366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687" name="Text Box 1378">
          <a:extLst>
            <a:ext uri="{FF2B5EF4-FFF2-40B4-BE49-F238E27FC236}">
              <a16:creationId xmlns:a16="http://schemas.microsoft.com/office/drawing/2014/main" xmlns="" id="{33F4E229-D292-4B5F-B21F-B16DBD1031F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688" name="Text Box 1379">
          <a:extLst>
            <a:ext uri="{FF2B5EF4-FFF2-40B4-BE49-F238E27FC236}">
              <a16:creationId xmlns:a16="http://schemas.microsoft.com/office/drawing/2014/main" xmlns="" id="{C175F1C0-929B-4251-8F28-4DDB209E93A1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689" name="Text Box 1380">
          <a:extLst>
            <a:ext uri="{FF2B5EF4-FFF2-40B4-BE49-F238E27FC236}">
              <a16:creationId xmlns:a16="http://schemas.microsoft.com/office/drawing/2014/main" xmlns="" id="{832F06F7-7640-413C-A4C7-BA223F8474D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690" name="Text Box 1381">
          <a:extLst>
            <a:ext uri="{FF2B5EF4-FFF2-40B4-BE49-F238E27FC236}">
              <a16:creationId xmlns:a16="http://schemas.microsoft.com/office/drawing/2014/main" xmlns="" id="{65D5755E-5505-44A7-B5DA-D2C800B1D05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691" name="Text Box 1382">
          <a:extLst>
            <a:ext uri="{FF2B5EF4-FFF2-40B4-BE49-F238E27FC236}">
              <a16:creationId xmlns:a16="http://schemas.microsoft.com/office/drawing/2014/main" xmlns="" id="{B2C810FA-A84E-4B9B-8095-31FCB604206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692" name="Text Box 1383">
          <a:extLst>
            <a:ext uri="{FF2B5EF4-FFF2-40B4-BE49-F238E27FC236}">
              <a16:creationId xmlns:a16="http://schemas.microsoft.com/office/drawing/2014/main" xmlns="" id="{4D0E964B-C6AF-4AB5-9C07-059F3962931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693" name="Text Box 1384">
          <a:extLst>
            <a:ext uri="{FF2B5EF4-FFF2-40B4-BE49-F238E27FC236}">
              <a16:creationId xmlns:a16="http://schemas.microsoft.com/office/drawing/2014/main" xmlns="" id="{9F53E963-9216-4A21-A3E6-8E5CE2188D5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694" name="Text Box 1385">
          <a:extLst>
            <a:ext uri="{FF2B5EF4-FFF2-40B4-BE49-F238E27FC236}">
              <a16:creationId xmlns:a16="http://schemas.microsoft.com/office/drawing/2014/main" xmlns="" id="{EBEDA698-2F5A-40CB-AE34-00AC98AE518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695" name="Text Box 1386">
          <a:extLst>
            <a:ext uri="{FF2B5EF4-FFF2-40B4-BE49-F238E27FC236}">
              <a16:creationId xmlns:a16="http://schemas.microsoft.com/office/drawing/2014/main" xmlns="" id="{61536579-F959-49BA-982C-1A23A1B93B9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696" name="Text Box 1387">
          <a:extLst>
            <a:ext uri="{FF2B5EF4-FFF2-40B4-BE49-F238E27FC236}">
              <a16:creationId xmlns:a16="http://schemas.microsoft.com/office/drawing/2014/main" xmlns="" id="{EBF902F5-A72D-4A89-B503-C29E13956E2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697" name="Text Box 1388">
          <a:extLst>
            <a:ext uri="{FF2B5EF4-FFF2-40B4-BE49-F238E27FC236}">
              <a16:creationId xmlns:a16="http://schemas.microsoft.com/office/drawing/2014/main" xmlns="" id="{FB378DF0-9FE5-4734-8BB1-B572051EA8A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698" name="Text Box 1389">
          <a:extLst>
            <a:ext uri="{FF2B5EF4-FFF2-40B4-BE49-F238E27FC236}">
              <a16:creationId xmlns:a16="http://schemas.microsoft.com/office/drawing/2014/main" xmlns="" id="{2D74F84B-A664-4829-AB26-BC800466CD0F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699" name="Text Box 1390">
          <a:extLst>
            <a:ext uri="{FF2B5EF4-FFF2-40B4-BE49-F238E27FC236}">
              <a16:creationId xmlns:a16="http://schemas.microsoft.com/office/drawing/2014/main" xmlns="" id="{15454CA4-3361-4684-9848-41051FAA7669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700" name="Text Box 1391">
          <a:extLst>
            <a:ext uri="{FF2B5EF4-FFF2-40B4-BE49-F238E27FC236}">
              <a16:creationId xmlns:a16="http://schemas.microsoft.com/office/drawing/2014/main" xmlns="" id="{575C70CC-5970-4F51-83AF-831B737FB71B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701" name="Text Box 1392">
          <a:extLst>
            <a:ext uri="{FF2B5EF4-FFF2-40B4-BE49-F238E27FC236}">
              <a16:creationId xmlns:a16="http://schemas.microsoft.com/office/drawing/2014/main" xmlns="" id="{262F3D78-6D01-4FFE-AF64-77198ED4E439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702" name="Text Box 1393">
          <a:extLst>
            <a:ext uri="{FF2B5EF4-FFF2-40B4-BE49-F238E27FC236}">
              <a16:creationId xmlns:a16="http://schemas.microsoft.com/office/drawing/2014/main" xmlns="" id="{73CB29D9-3B84-4E5E-822F-AFBCC1A4824B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703" name="Text Box 1394">
          <a:extLst>
            <a:ext uri="{FF2B5EF4-FFF2-40B4-BE49-F238E27FC236}">
              <a16:creationId xmlns:a16="http://schemas.microsoft.com/office/drawing/2014/main" xmlns="" id="{A98D9525-7AC8-4825-A401-EBA3B93F577B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704" name="Text Box 1395">
          <a:extLst>
            <a:ext uri="{FF2B5EF4-FFF2-40B4-BE49-F238E27FC236}">
              <a16:creationId xmlns:a16="http://schemas.microsoft.com/office/drawing/2014/main" xmlns="" id="{839965B2-AEDE-4FF9-ABCB-5B0935B9746E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705" name="Text Box 1396">
          <a:extLst>
            <a:ext uri="{FF2B5EF4-FFF2-40B4-BE49-F238E27FC236}">
              <a16:creationId xmlns:a16="http://schemas.microsoft.com/office/drawing/2014/main" xmlns="" id="{C4F42D55-7C0C-4A6F-8660-7A0D20799CFC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706" name="Text Box 1397">
          <a:extLst>
            <a:ext uri="{FF2B5EF4-FFF2-40B4-BE49-F238E27FC236}">
              <a16:creationId xmlns:a16="http://schemas.microsoft.com/office/drawing/2014/main" xmlns="" id="{9328F48B-3682-45CC-8080-6EE9C79D5F4A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707" name="Text Box 1398">
          <a:extLst>
            <a:ext uri="{FF2B5EF4-FFF2-40B4-BE49-F238E27FC236}">
              <a16:creationId xmlns:a16="http://schemas.microsoft.com/office/drawing/2014/main" xmlns="" id="{7B7DA015-2D2A-4470-BE52-2C614EFE9298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708" name="Text Box 1399">
          <a:extLst>
            <a:ext uri="{FF2B5EF4-FFF2-40B4-BE49-F238E27FC236}">
              <a16:creationId xmlns:a16="http://schemas.microsoft.com/office/drawing/2014/main" xmlns="" id="{3E580A86-FFB5-4CA6-AE56-47888C22E85D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709" name="Text Box 1400">
          <a:extLst>
            <a:ext uri="{FF2B5EF4-FFF2-40B4-BE49-F238E27FC236}">
              <a16:creationId xmlns:a16="http://schemas.microsoft.com/office/drawing/2014/main" xmlns="" id="{2037EEF1-E650-4582-9F0A-B960EA32EFF3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710" name="Text Box 1401">
          <a:extLst>
            <a:ext uri="{FF2B5EF4-FFF2-40B4-BE49-F238E27FC236}">
              <a16:creationId xmlns:a16="http://schemas.microsoft.com/office/drawing/2014/main" xmlns="" id="{24526447-4B2F-4AA9-9824-3C01E438CF01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711" name="Text Box 1402">
          <a:extLst>
            <a:ext uri="{FF2B5EF4-FFF2-40B4-BE49-F238E27FC236}">
              <a16:creationId xmlns:a16="http://schemas.microsoft.com/office/drawing/2014/main" xmlns="" id="{376F2ECD-5D12-4CD1-BB49-CB99D88A5EF4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712" name="Text Box 1403">
          <a:extLst>
            <a:ext uri="{FF2B5EF4-FFF2-40B4-BE49-F238E27FC236}">
              <a16:creationId xmlns:a16="http://schemas.microsoft.com/office/drawing/2014/main" xmlns="" id="{057FD38D-C624-4A88-AB78-728ECEA0EC20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713" name="Text Box 1404">
          <a:extLst>
            <a:ext uri="{FF2B5EF4-FFF2-40B4-BE49-F238E27FC236}">
              <a16:creationId xmlns:a16="http://schemas.microsoft.com/office/drawing/2014/main" xmlns="" id="{50E99AAA-8D64-4E11-87B9-7364ED797F14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714" name="Text Box 1405">
          <a:extLst>
            <a:ext uri="{FF2B5EF4-FFF2-40B4-BE49-F238E27FC236}">
              <a16:creationId xmlns:a16="http://schemas.microsoft.com/office/drawing/2014/main" xmlns="" id="{60CAC53D-F9CA-4635-A8AF-6EA0990F0415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715" name="Text Box 1406">
          <a:extLst>
            <a:ext uri="{FF2B5EF4-FFF2-40B4-BE49-F238E27FC236}">
              <a16:creationId xmlns:a16="http://schemas.microsoft.com/office/drawing/2014/main" xmlns="" id="{ECA5D2A3-2AB7-4FA4-ABF1-05946528A9F5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716" name="Text Box 1407">
          <a:extLst>
            <a:ext uri="{FF2B5EF4-FFF2-40B4-BE49-F238E27FC236}">
              <a16:creationId xmlns:a16="http://schemas.microsoft.com/office/drawing/2014/main" xmlns="" id="{571CE11D-30CB-4562-82F7-507A478F4057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717" name="Text Box 1408">
          <a:extLst>
            <a:ext uri="{FF2B5EF4-FFF2-40B4-BE49-F238E27FC236}">
              <a16:creationId xmlns:a16="http://schemas.microsoft.com/office/drawing/2014/main" xmlns="" id="{19AA9D86-734A-4D07-81FE-5D44A0E3A4E9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718" name="Text Box 1409">
          <a:extLst>
            <a:ext uri="{FF2B5EF4-FFF2-40B4-BE49-F238E27FC236}">
              <a16:creationId xmlns:a16="http://schemas.microsoft.com/office/drawing/2014/main" xmlns="" id="{32308AC5-8C8A-488F-A68E-C0D79D447233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719" name="Text Box 1410">
          <a:extLst>
            <a:ext uri="{FF2B5EF4-FFF2-40B4-BE49-F238E27FC236}">
              <a16:creationId xmlns:a16="http://schemas.microsoft.com/office/drawing/2014/main" xmlns="" id="{B043B0D1-6ED8-4333-9E79-A3822708F955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720" name="Text Box 1411">
          <a:extLst>
            <a:ext uri="{FF2B5EF4-FFF2-40B4-BE49-F238E27FC236}">
              <a16:creationId xmlns:a16="http://schemas.microsoft.com/office/drawing/2014/main" xmlns="" id="{191539E4-5D2C-4374-87D1-D1B69428F2C3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721" name="Text Box 1412">
          <a:extLst>
            <a:ext uri="{FF2B5EF4-FFF2-40B4-BE49-F238E27FC236}">
              <a16:creationId xmlns:a16="http://schemas.microsoft.com/office/drawing/2014/main" xmlns="" id="{F0CC0A58-154D-4024-9265-A104A6A0F876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722" name="Text Box 1413">
          <a:extLst>
            <a:ext uri="{FF2B5EF4-FFF2-40B4-BE49-F238E27FC236}">
              <a16:creationId xmlns:a16="http://schemas.microsoft.com/office/drawing/2014/main" xmlns="" id="{CA052E81-4A9E-4D95-BE73-16EC026EAD5B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723" name="Text Box 1414">
          <a:extLst>
            <a:ext uri="{FF2B5EF4-FFF2-40B4-BE49-F238E27FC236}">
              <a16:creationId xmlns:a16="http://schemas.microsoft.com/office/drawing/2014/main" xmlns="" id="{740926D6-5521-46AA-88E7-953AD1B9EE50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724" name="Text Box 1415">
          <a:extLst>
            <a:ext uri="{FF2B5EF4-FFF2-40B4-BE49-F238E27FC236}">
              <a16:creationId xmlns:a16="http://schemas.microsoft.com/office/drawing/2014/main" xmlns="" id="{AE86CDA0-4DF1-471E-99C4-8CB99D4BEA05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725" name="Text Box 1416">
          <a:extLst>
            <a:ext uri="{FF2B5EF4-FFF2-40B4-BE49-F238E27FC236}">
              <a16:creationId xmlns:a16="http://schemas.microsoft.com/office/drawing/2014/main" xmlns="" id="{E5DBC048-E56A-4574-91B7-4066D0063C2E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726" name="Text Box 1417">
          <a:extLst>
            <a:ext uri="{FF2B5EF4-FFF2-40B4-BE49-F238E27FC236}">
              <a16:creationId xmlns:a16="http://schemas.microsoft.com/office/drawing/2014/main" xmlns="" id="{9CE37DB7-2E52-4ED5-9078-18D91DDA8B76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727" name="Text Box 1418">
          <a:extLst>
            <a:ext uri="{FF2B5EF4-FFF2-40B4-BE49-F238E27FC236}">
              <a16:creationId xmlns:a16="http://schemas.microsoft.com/office/drawing/2014/main" xmlns="" id="{421D44F1-4D81-4D1E-9297-10CC09AEE511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728" name="Text Box 1419">
          <a:extLst>
            <a:ext uri="{FF2B5EF4-FFF2-40B4-BE49-F238E27FC236}">
              <a16:creationId xmlns:a16="http://schemas.microsoft.com/office/drawing/2014/main" xmlns="" id="{ED4811D4-D0FE-4F12-8CAE-0F77147FECF9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729" name="Text Box 1420">
          <a:extLst>
            <a:ext uri="{FF2B5EF4-FFF2-40B4-BE49-F238E27FC236}">
              <a16:creationId xmlns:a16="http://schemas.microsoft.com/office/drawing/2014/main" xmlns="" id="{E1DFD8EB-A350-4B44-B88B-B4FF010F7969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730" name="Text Box 1421">
          <a:extLst>
            <a:ext uri="{FF2B5EF4-FFF2-40B4-BE49-F238E27FC236}">
              <a16:creationId xmlns:a16="http://schemas.microsoft.com/office/drawing/2014/main" xmlns="" id="{A25C0741-E7EA-4A60-9EFB-52A941B36D60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731" name="Text Box 1422">
          <a:extLst>
            <a:ext uri="{FF2B5EF4-FFF2-40B4-BE49-F238E27FC236}">
              <a16:creationId xmlns:a16="http://schemas.microsoft.com/office/drawing/2014/main" xmlns="" id="{4C8918BC-768D-48B3-B6E1-7199DEB88429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732" name="Text Box 1423">
          <a:extLst>
            <a:ext uri="{FF2B5EF4-FFF2-40B4-BE49-F238E27FC236}">
              <a16:creationId xmlns:a16="http://schemas.microsoft.com/office/drawing/2014/main" xmlns="" id="{6E9725BC-6C02-4620-B288-8F988C355434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733" name="Text Box 1424">
          <a:extLst>
            <a:ext uri="{FF2B5EF4-FFF2-40B4-BE49-F238E27FC236}">
              <a16:creationId xmlns:a16="http://schemas.microsoft.com/office/drawing/2014/main" xmlns="" id="{4F50BFDD-0F16-4578-8750-9335F07DF0EE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734" name="Text Box 1425">
          <a:extLst>
            <a:ext uri="{FF2B5EF4-FFF2-40B4-BE49-F238E27FC236}">
              <a16:creationId xmlns:a16="http://schemas.microsoft.com/office/drawing/2014/main" xmlns="" id="{58152D45-56D2-4392-854C-0408787F1CE9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735" name="Text Box 1426">
          <a:extLst>
            <a:ext uri="{FF2B5EF4-FFF2-40B4-BE49-F238E27FC236}">
              <a16:creationId xmlns:a16="http://schemas.microsoft.com/office/drawing/2014/main" xmlns="" id="{0B1FAE35-B337-4E03-905F-FA0F7D926CE0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736" name="Text Box 1427">
          <a:extLst>
            <a:ext uri="{FF2B5EF4-FFF2-40B4-BE49-F238E27FC236}">
              <a16:creationId xmlns:a16="http://schemas.microsoft.com/office/drawing/2014/main" xmlns="" id="{9429F656-69EA-4328-8E3C-B953ABCB11CD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737" name="Text Box 1428">
          <a:extLst>
            <a:ext uri="{FF2B5EF4-FFF2-40B4-BE49-F238E27FC236}">
              <a16:creationId xmlns:a16="http://schemas.microsoft.com/office/drawing/2014/main" xmlns="" id="{05E32979-CDC6-4385-891E-E3BA8C703ADC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738" name="Text Box 1429">
          <a:extLst>
            <a:ext uri="{FF2B5EF4-FFF2-40B4-BE49-F238E27FC236}">
              <a16:creationId xmlns:a16="http://schemas.microsoft.com/office/drawing/2014/main" xmlns="" id="{C4FAA0CD-CCDB-4FDD-9644-B74458639DA2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739" name="Text Box 1430">
          <a:extLst>
            <a:ext uri="{FF2B5EF4-FFF2-40B4-BE49-F238E27FC236}">
              <a16:creationId xmlns:a16="http://schemas.microsoft.com/office/drawing/2014/main" xmlns="" id="{EB272B83-B427-4F93-8C54-FEB5E64EDC29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740" name="Text Box 1431">
          <a:extLst>
            <a:ext uri="{FF2B5EF4-FFF2-40B4-BE49-F238E27FC236}">
              <a16:creationId xmlns:a16="http://schemas.microsoft.com/office/drawing/2014/main" xmlns="" id="{9474751D-3203-4D7D-A53D-3AF24DFDC22B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741" name="Text Box 1432">
          <a:extLst>
            <a:ext uri="{FF2B5EF4-FFF2-40B4-BE49-F238E27FC236}">
              <a16:creationId xmlns:a16="http://schemas.microsoft.com/office/drawing/2014/main" xmlns="" id="{F59EB7B3-9152-4C24-8DC5-86DC8C0C4A55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742" name="Text Box 1433">
          <a:extLst>
            <a:ext uri="{FF2B5EF4-FFF2-40B4-BE49-F238E27FC236}">
              <a16:creationId xmlns:a16="http://schemas.microsoft.com/office/drawing/2014/main" xmlns="" id="{F9CE2B8B-3965-4DB7-AE46-EC12C7F662DD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743" name="Text Box 1434">
          <a:extLst>
            <a:ext uri="{FF2B5EF4-FFF2-40B4-BE49-F238E27FC236}">
              <a16:creationId xmlns:a16="http://schemas.microsoft.com/office/drawing/2014/main" xmlns="" id="{DD9DC5D2-4D14-4A3D-B707-A4A840B3CDDB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744" name="Text Box 1435">
          <a:extLst>
            <a:ext uri="{FF2B5EF4-FFF2-40B4-BE49-F238E27FC236}">
              <a16:creationId xmlns:a16="http://schemas.microsoft.com/office/drawing/2014/main" xmlns="" id="{14F908F5-F61E-4113-8FA0-706A353D1B98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745" name="Text Box 1436">
          <a:extLst>
            <a:ext uri="{FF2B5EF4-FFF2-40B4-BE49-F238E27FC236}">
              <a16:creationId xmlns:a16="http://schemas.microsoft.com/office/drawing/2014/main" xmlns="" id="{7B3D092D-3538-4C42-96BC-B9650FC0F4AB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746" name="Text Box 1437">
          <a:extLst>
            <a:ext uri="{FF2B5EF4-FFF2-40B4-BE49-F238E27FC236}">
              <a16:creationId xmlns:a16="http://schemas.microsoft.com/office/drawing/2014/main" xmlns="" id="{9F5377F5-4113-43B9-BC49-10C6CBB10B6F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747" name="Text Box 1438">
          <a:extLst>
            <a:ext uri="{FF2B5EF4-FFF2-40B4-BE49-F238E27FC236}">
              <a16:creationId xmlns:a16="http://schemas.microsoft.com/office/drawing/2014/main" xmlns="" id="{8350371C-802E-4A95-AA6D-1573A2ABA9BB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748" name="Text Box 1439">
          <a:extLst>
            <a:ext uri="{FF2B5EF4-FFF2-40B4-BE49-F238E27FC236}">
              <a16:creationId xmlns:a16="http://schemas.microsoft.com/office/drawing/2014/main" xmlns="" id="{E1B2BB51-FBC6-47BF-B1C0-D4BC04DDBDB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749" name="Text Box 1440">
          <a:extLst>
            <a:ext uri="{FF2B5EF4-FFF2-40B4-BE49-F238E27FC236}">
              <a16:creationId xmlns:a16="http://schemas.microsoft.com/office/drawing/2014/main" xmlns="" id="{1031CA81-DE72-42C7-BB1F-49E35AA5CF1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750" name="Text Box 1441">
          <a:extLst>
            <a:ext uri="{FF2B5EF4-FFF2-40B4-BE49-F238E27FC236}">
              <a16:creationId xmlns:a16="http://schemas.microsoft.com/office/drawing/2014/main" xmlns="" id="{7093EB39-C60D-45BA-A248-5BE7CFD4219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751" name="Text Box 1442">
          <a:extLst>
            <a:ext uri="{FF2B5EF4-FFF2-40B4-BE49-F238E27FC236}">
              <a16:creationId xmlns:a16="http://schemas.microsoft.com/office/drawing/2014/main" xmlns="" id="{6784D517-254D-4DC1-9DE5-023DADDDAB7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752" name="Text Box 1443">
          <a:extLst>
            <a:ext uri="{FF2B5EF4-FFF2-40B4-BE49-F238E27FC236}">
              <a16:creationId xmlns:a16="http://schemas.microsoft.com/office/drawing/2014/main" xmlns="" id="{FB520EB8-DC11-41F0-B002-784F970F62A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753" name="Text Box 1444">
          <a:extLst>
            <a:ext uri="{FF2B5EF4-FFF2-40B4-BE49-F238E27FC236}">
              <a16:creationId xmlns:a16="http://schemas.microsoft.com/office/drawing/2014/main" xmlns="" id="{72216639-E537-47CF-97B1-EFC42174F7F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754" name="Text Box 1445">
          <a:extLst>
            <a:ext uri="{FF2B5EF4-FFF2-40B4-BE49-F238E27FC236}">
              <a16:creationId xmlns:a16="http://schemas.microsoft.com/office/drawing/2014/main" xmlns="" id="{D57DEDB4-0309-4C62-BEA9-AD18653E3C1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755" name="Text Box 1446">
          <a:extLst>
            <a:ext uri="{FF2B5EF4-FFF2-40B4-BE49-F238E27FC236}">
              <a16:creationId xmlns:a16="http://schemas.microsoft.com/office/drawing/2014/main" xmlns="" id="{4228883F-86A8-4EFC-BCC6-40EC3ECBAD8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756" name="Text Box 1447">
          <a:extLst>
            <a:ext uri="{FF2B5EF4-FFF2-40B4-BE49-F238E27FC236}">
              <a16:creationId xmlns:a16="http://schemas.microsoft.com/office/drawing/2014/main" xmlns="" id="{BE2B5F5A-648D-4D22-AF19-8F20DA54FFE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757" name="Text Box 1448">
          <a:extLst>
            <a:ext uri="{FF2B5EF4-FFF2-40B4-BE49-F238E27FC236}">
              <a16:creationId xmlns:a16="http://schemas.microsoft.com/office/drawing/2014/main" xmlns="" id="{BD4730F4-55BE-4FA2-BB6A-5FB8712EE1B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758" name="Text Box 1449">
          <a:extLst>
            <a:ext uri="{FF2B5EF4-FFF2-40B4-BE49-F238E27FC236}">
              <a16:creationId xmlns:a16="http://schemas.microsoft.com/office/drawing/2014/main" xmlns="" id="{E95BE951-31FD-4F58-B688-3D12E1915CE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759" name="Text Box 1450">
          <a:extLst>
            <a:ext uri="{FF2B5EF4-FFF2-40B4-BE49-F238E27FC236}">
              <a16:creationId xmlns:a16="http://schemas.microsoft.com/office/drawing/2014/main" xmlns="" id="{45789281-ECF2-435C-A33D-63442A46AB1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760" name="Text Box 1451">
          <a:extLst>
            <a:ext uri="{FF2B5EF4-FFF2-40B4-BE49-F238E27FC236}">
              <a16:creationId xmlns:a16="http://schemas.microsoft.com/office/drawing/2014/main" xmlns="" id="{7A9ED3D6-10AE-4074-8920-99E72497762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761" name="Text Box 1452">
          <a:extLst>
            <a:ext uri="{FF2B5EF4-FFF2-40B4-BE49-F238E27FC236}">
              <a16:creationId xmlns:a16="http://schemas.microsoft.com/office/drawing/2014/main" xmlns="" id="{7B4EC942-B4B9-428E-B8D1-D9026B0E632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762" name="Text Box 1453">
          <a:extLst>
            <a:ext uri="{FF2B5EF4-FFF2-40B4-BE49-F238E27FC236}">
              <a16:creationId xmlns:a16="http://schemas.microsoft.com/office/drawing/2014/main" xmlns="" id="{D1EDC128-E6B5-4B9C-B575-1E673E5E167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763" name="Text Box 1454">
          <a:extLst>
            <a:ext uri="{FF2B5EF4-FFF2-40B4-BE49-F238E27FC236}">
              <a16:creationId xmlns:a16="http://schemas.microsoft.com/office/drawing/2014/main" xmlns="" id="{E001B4B0-A22E-47D8-AF12-5CC7CC65412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764" name="Text Box 1455">
          <a:extLst>
            <a:ext uri="{FF2B5EF4-FFF2-40B4-BE49-F238E27FC236}">
              <a16:creationId xmlns:a16="http://schemas.microsoft.com/office/drawing/2014/main" xmlns="" id="{377C3E33-EDB3-4EA0-8BD8-7E3440E157A1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765" name="Text Box 1456">
          <a:extLst>
            <a:ext uri="{FF2B5EF4-FFF2-40B4-BE49-F238E27FC236}">
              <a16:creationId xmlns:a16="http://schemas.microsoft.com/office/drawing/2014/main" xmlns="" id="{80F710BB-1842-4260-A3D2-23B1745D16F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766" name="Text Box 1457">
          <a:extLst>
            <a:ext uri="{FF2B5EF4-FFF2-40B4-BE49-F238E27FC236}">
              <a16:creationId xmlns:a16="http://schemas.microsoft.com/office/drawing/2014/main" xmlns="" id="{FC58B490-1850-4C3A-9F94-A0D7A5CBB07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767" name="Text Box 1458">
          <a:extLst>
            <a:ext uri="{FF2B5EF4-FFF2-40B4-BE49-F238E27FC236}">
              <a16:creationId xmlns:a16="http://schemas.microsoft.com/office/drawing/2014/main" xmlns="" id="{0751F438-6D7A-4F95-8442-427B189923A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768" name="Text Box 1459">
          <a:extLst>
            <a:ext uri="{FF2B5EF4-FFF2-40B4-BE49-F238E27FC236}">
              <a16:creationId xmlns:a16="http://schemas.microsoft.com/office/drawing/2014/main" xmlns="" id="{F7E71D5D-69A2-4272-AE03-77F2808C00D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769" name="Text Box 1460">
          <a:extLst>
            <a:ext uri="{FF2B5EF4-FFF2-40B4-BE49-F238E27FC236}">
              <a16:creationId xmlns:a16="http://schemas.microsoft.com/office/drawing/2014/main" xmlns="" id="{39FCC033-FA60-4A61-AD68-8C5C937907A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770" name="Text Box 1461">
          <a:extLst>
            <a:ext uri="{FF2B5EF4-FFF2-40B4-BE49-F238E27FC236}">
              <a16:creationId xmlns:a16="http://schemas.microsoft.com/office/drawing/2014/main" xmlns="" id="{C09A5E90-61DD-4653-900F-1EC677E43D9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771" name="Text Box 1462">
          <a:extLst>
            <a:ext uri="{FF2B5EF4-FFF2-40B4-BE49-F238E27FC236}">
              <a16:creationId xmlns:a16="http://schemas.microsoft.com/office/drawing/2014/main" xmlns="" id="{3C85E601-E2CF-41DA-B925-905C81BEDC8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772" name="Text Box 1463">
          <a:extLst>
            <a:ext uri="{FF2B5EF4-FFF2-40B4-BE49-F238E27FC236}">
              <a16:creationId xmlns:a16="http://schemas.microsoft.com/office/drawing/2014/main" xmlns="" id="{F35DDC6E-4076-4E32-A8C6-1E2BF70A7FE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773" name="Text Box 1464">
          <a:extLst>
            <a:ext uri="{FF2B5EF4-FFF2-40B4-BE49-F238E27FC236}">
              <a16:creationId xmlns:a16="http://schemas.microsoft.com/office/drawing/2014/main" xmlns="" id="{37A4976A-596B-4B7E-B6D6-FBF117036C7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774" name="Text Box 1465">
          <a:extLst>
            <a:ext uri="{FF2B5EF4-FFF2-40B4-BE49-F238E27FC236}">
              <a16:creationId xmlns:a16="http://schemas.microsoft.com/office/drawing/2014/main" xmlns="" id="{5B5C6B5A-DF41-4958-9591-77715812F78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775" name="Text Box 1466">
          <a:extLst>
            <a:ext uri="{FF2B5EF4-FFF2-40B4-BE49-F238E27FC236}">
              <a16:creationId xmlns:a16="http://schemas.microsoft.com/office/drawing/2014/main" xmlns="" id="{7750FBA0-66D2-4696-969C-DE47EDA99D8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776" name="Text Box 1467">
          <a:extLst>
            <a:ext uri="{FF2B5EF4-FFF2-40B4-BE49-F238E27FC236}">
              <a16:creationId xmlns:a16="http://schemas.microsoft.com/office/drawing/2014/main" xmlns="" id="{3418AF10-ABD0-4CCE-952A-1C013357761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777" name="Text Box 1468">
          <a:extLst>
            <a:ext uri="{FF2B5EF4-FFF2-40B4-BE49-F238E27FC236}">
              <a16:creationId xmlns:a16="http://schemas.microsoft.com/office/drawing/2014/main" xmlns="" id="{58C04F34-C342-4596-BCC8-5D219D94EAD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778" name="Text Box 1469">
          <a:extLst>
            <a:ext uri="{FF2B5EF4-FFF2-40B4-BE49-F238E27FC236}">
              <a16:creationId xmlns:a16="http://schemas.microsoft.com/office/drawing/2014/main" xmlns="" id="{E375D55C-2B20-463C-8409-5B8AEF6D3E81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779" name="Text Box 1470">
          <a:extLst>
            <a:ext uri="{FF2B5EF4-FFF2-40B4-BE49-F238E27FC236}">
              <a16:creationId xmlns:a16="http://schemas.microsoft.com/office/drawing/2014/main" xmlns="" id="{BBEB125E-656D-47C1-9FA7-6F64A7A3B64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780" name="Text Box 1471">
          <a:extLst>
            <a:ext uri="{FF2B5EF4-FFF2-40B4-BE49-F238E27FC236}">
              <a16:creationId xmlns:a16="http://schemas.microsoft.com/office/drawing/2014/main" xmlns="" id="{DBE9A931-1022-4AA6-9FCB-FEBEFF20898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781" name="Text Box 1472">
          <a:extLst>
            <a:ext uri="{FF2B5EF4-FFF2-40B4-BE49-F238E27FC236}">
              <a16:creationId xmlns:a16="http://schemas.microsoft.com/office/drawing/2014/main" xmlns="" id="{C21E03BA-122B-4C13-9948-8B1ADD90F44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782" name="Text Box 1473">
          <a:extLst>
            <a:ext uri="{FF2B5EF4-FFF2-40B4-BE49-F238E27FC236}">
              <a16:creationId xmlns:a16="http://schemas.microsoft.com/office/drawing/2014/main" xmlns="" id="{9C73E5EB-99A0-4BFB-88A5-F0F431B5E74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783" name="Text Box 1474">
          <a:extLst>
            <a:ext uri="{FF2B5EF4-FFF2-40B4-BE49-F238E27FC236}">
              <a16:creationId xmlns:a16="http://schemas.microsoft.com/office/drawing/2014/main" xmlns="" id="{F86939C8-75B0-461F-AE70-20BF211CCA41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784" name="Text Box 1475">
          <a:extLst>
            <a:ext uri="{FF2B5EF4-FFF2-40B4-BE49-F238E27FC236}">
              <a16:creationId xmlns:a16="http://schemas.microsoft.com/office/drawing/2014/main" xmlns="" id="{7AEE4E3F-7C97-40FE-BDE8-9F2B6330EAE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785" name="Text Box 1476">
          <a:extLst>
            <a:ext uri="{FF2B5EF4-FFF2-40B4-BE49-F238E27FC236}">
              <a16:creationId xmlns:a16="http://schemas.microsoft.com/office/drawing/2014/main" xmlns="" id="{4087A204-7816-4108-B372-852D2F5A3F5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786" name="Text Box 1477">
          <a:extLst>
            <a:ext uri="{FF2B5EF4-FFF2-40B4-BE49-F238E27FC236}">
              <a16:creationId xmlns:a16="http://schemas.microsoft.com/office/drawing/2014/main" xmlns="" id="{7A7D44E8-4130-41FC-9033-CD4BF0F46BB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787" name="Text Box 1478">
          <a:extLst>
            <a:ext uri="{FF2B5EF4-FFF2-40B4-BE49-F238E27FC236}">
              <a16:creationId xmlns:a16="http://schemas.microsoft.com/office/drawing/2014/main" xmlns="" id="{A56F5F50-FE36-4CDE-95F1-F9503D4EE251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788" name="Text Box 1479">
          <a:extLst>
            <a:ext uri="{FF2B5EF4-FFF2-40B4-BE49-F238E27FC236}">
              <a16:creationId xmlns:a16="http://schemas.microsoft.com/office/drawing/2014/main" xmlns="" id="{B78188F4-8E3A-4DB2-A970-46628572E5B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789" name="Text Box 1480">
          <a:extLst>
            <a:ext uri="{FF2B5EF4-FFF2-40B4-BE49-F238E27FC236}">
              <a16:creationId xmlns:a16="http://schemas.microsoft.com/office/drawing/2014/main" xmlns="" id="{32008B07-7DA0-4120-B1B9-7AF61AF9CE9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790" name="Text Box 1481">
          <a:extLst>
            <a:ext uri="{FF2B5EF4-FFF2-40B4-BE49-F238E27FC236}">
              <a16:creationId xmlns:a16="http://schemas.microsoft.com/office/drawing/2014/main" xmlns="" id="{C43DE533-7ACB-46FA-857F-0CCB1076CC5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791" name="Text Box 1482">
          <a:extLst>
            <a:ext uri="{FF2B5EF4-FFF2-40B4-BE49-F238E27FC236}">
              <a16:creationId xmlns:a16="http://schemas.microsoft.com/office/drawing/2014/main" xmlns="" id="{B096D348-7BFC-4C88-87B5-69CFB7D5F6E1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792" name="Text Box 1483">
          <a:extLst>
            <a:ext uri="{FF2B5EF4-FFF2-40B4-BE49-F238E27FC236}">
              <a16:creationId xmlns:a16="http://schemas.microsoft.com/office/drawing/2014/main" xmlns="" id="{A2C7EE3C-D0BC-4D0A-81D1-DF52F0F6576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793" name="Text Box 1484">
          <a:extLst>
            <a:ext uri="{FF2B5EF4-FFF2-40B4-BE49-F238E27FC236}">
              <a16:creationId xmlns:a16="http://schemas.microsoft.com/office/drawing/2014/main" xmlns="" id="{EC63B6B2-5D54-4D1D-A4E9-B416F6EF9F1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794" name="Text Box 1485">
          <a:extLst>
            <a:ext uri="{FF2B5EF4-FFF2-40B4-BE49-F238E27FC236}">
              <a16:creationId xmlns:a16="http://schemas.microsoft.com/office/drawing/2014/main" xmlns="" id="{DAFA1434-691F-48BF-9D17-E10C0BD7CE7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795" name="Text Box 1486">
          <a:extLst>
            <a:ext uri="{FF2B5EF4-FFF2-40B4-BE49-F238E27FC236}">
              <a16:creationId xmlns:a16="http://schemas.microsoft.com/office/drawing/2014/main" xmlns="" id="{65C11AEF-F307-4212-B21B-C4C74BC14F2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796" name="Text Box 1487">
          <a:extLst>
            <a:ext uri="{FF2B5EF4-FFF2-40B4-BE49-F238E27FC236}">
              <a16:creationId xmlns:a16="http://schemas.microsoft.com/office/drawing/2014/main" xmlns="" id="{DF1E5C92-3CBF-4C99-BEC5-A8B2D4FC066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797" name="Text Box 1488">
          <a:extLst>
            <a:ext uri="{FF2B5EF4-FFF2-40B4-BE49-F238E27FC236}">
              <a16:creationId xmlns:a16="http://schemas.microsoft.com/office/drawing/2014/main" xmlns="" id="{117306D4-D720-477D-AF3E-1D32C75CC88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798" name="Text Box 1489">
          <a:extLst>
            <a:ext uri="{FF2B5EF4-FFF2-40B4-BE49-F238E27FC236}">
              <a16:creationId xmlns:a16="http://schemas.microsoft.com/office/drawing/2014/main" xmlns="" id="{D3E2EA03-A718-42A4-A508-E250AFF4318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799" name="Text Box 1490">
          <a:extLst>
            <a:ext uri="{FF2B5EF4-FFF2-40B4-BE49-F238E27FC236}">
              <a16:creationId xmlns:a16="http://schemas.microsoft.com/office/drawing/2014/main" xmlns="" id="{F08C34E5-7BAA-4987-A706-15633BFDACC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800" name="Text Box 1491">
          <a:extLst>
            <a:ext uri="{FF2B5EF4-FFF2-40B4-BE49-F238E27FC236}">
              <a16:creationId xmlns:a16="http://schemas.microsoft.com/office/drawing/2014/main" xmlns="" id="{377EABD7-57B9-4A83-92BD-C54C0596E75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801" name="Text Box 1492">
          <a:extLst>
            <a:ext uri="{FF2B5EF4-FFF2-40B4-BE49-F238E27FC236}">
              <a16:creationId xmlns:a16="http://schemas.microsoft.com/office/drawing/2014/main" xmlns="" id="{8C4FB20F-1A6A-4C89-A2DB-E98732D2C55F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802" name="Text Box 1493">
          <a:extLst>
            <a:ext uri="{FF2B5EF4-FFF2-40B4-BE49-F238E27FC236}">
              <a16:creationId xmlns:a16="http://schemas.microsoft.com/office/drawing/2014/main" xmlns="" id="{7314A277-8606-4C13-A061-C43D3E8841D4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803" name="Text Box 1494">
          <a:extLst>
            <a:ext uri="{FF2B5EF4-FFF2-40B4-BE49-F238E27FC236}">
              <a16:creationId xmlns:a16="http://schemas.microsoft.com/office/drawing/2014/main" xmlns="" id="{8A6C97D3-AA81-4C59-A37F-84748FF4CFEA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804" name="Text Box 1495">
          <a:extLst>
            <a:ext uri="{FF2B5EF4-FFF2-40B4-BE49-F238E27FC236}">
              <a16:creationId xmlns:a16="http://schemas.microsoft.com/office/drawing/2014/main" xmlns="" id="{D8485D55-93EC-4A18-ADB1-A2EA0D66551E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805" name="Text Box 1496">
          <a:extLst>
            <a:ext uri="{FF2B5EF4-FFF2-40B4-BE49-F238E27FC236}">
              <a16:creationId xmlns:a16="http://schemas.microsoft.com/office/drawing/2014/main" xmlns="" id="{D336C74F-C90E-40CE-B167-0D58FF735A0F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806" name="Text Box 1497">
          <a:extLst>
            <a:ext uri="{FF2B5EF4-FFF2-40B4-BE49-F238E27FC236}">
              <a16:creationId xmlns:a16="http://schemas.microsoft.com/office/drawing/2014/main" xmlns="" id="{21302F11-DA97-4691-91A9-BDA176B95527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807" name="Text Box 1498">
          <a:extLst>
            <a:ext uri="{FF2B5EF4-FFF2-40B4-BE49-F238E27FC236}">
              <a16:creationId xmlns:a16="http://schemas.microsoft.com/office/drawing/2014/main" xmlns="" id="{061212F9-8A6D-4CBB-BE57-C0EDBBCE029C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808" name="Text Box 1499">
          <a:extLst>
            <a:ext uri="{FF2B5EF4-FFF2-40B4-BE49-F238E27FC236}">
              <a16:creationId xmlns:a16="http://schemas.microsoft.com/office/drawing/2014/main" xmlns="" id="{15409DB0-7A03-44A5-BEE6-974BBB088899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809" name="Text Box 1500">
          <a:extLst>
            <a:ext uri="{FF2B5EF4-FFF2-40B4-BE49-F238E27FC236}">
              <a16:creationId xmlns:a16="http://schemas.microsoft.com/office/drawing/2014/main" xmlns="" id="{B53AC928-84A5-43F7-8DCA-ADD2C9DBF372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810" name="Text Box 1501">
          <a:extLst>
            <a:ext uri="{FF2B5EF4-FFF2-40B4-BE49-F238E27FC236}">
              <a16:creationId xmlns:a16="http://schemas.microsoft.com/office/drawing/2014/main" xmlns="" id="{939031B5-0621-4488-B1E8-6D90FA2F53E0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811" name="Text Box 1502">
          <a:extLst>
            <a:ext uri="{FF2B5EF4-FFF2-40B4-BE49-F238E27FC236}">
              <a16:creationId xmlns:a16="http://schemas.microsoft.com/office/drawing/2014/main" xmlns="" id="{621DB202-BC6C-4E72-B7B6-0BD41EB101B8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812" name="Text Box 1503">
          <a:extLst>
            <a:ext uri="{FF2B5EF4-FFF2-40B4-BE49-F238E27FC236}">
              <a16:creationId xmlns:a16="http://schemas.microsoft.com/office/drawing/2014/main" xmlns="" id="{84B184D5-5A9C-47EB-B2D7-63180ADF37B8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813" name="Text Box 1504">
          <a:extLst>
            <a:ext uri="{FF2B5EF4-FFF2-40B4-BE49-F238E27FC236}">
              <a16:creationId xmlns:a16="http://schemas.microsoft.com/office/drawing/2014/main" xmlns="" id="{7A979369-8589-4ED1-9702-1E46D84DC687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814" name="Text Box 1505">
          <a:extLst>
            <a:ext uri="{FF2B5EF4-FFF2-40B4-BE49-F238E27FC236}">
              <a16:creationId xmlns:a16="http://schemas.microsoft.com/office/drawing/2014/main" xmlns="" id="{8B76EC89-AC9F-4325-948C-C79380469935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815" name="Text Box 1506">
          <a:extLst>
            <a:ext uri="{FF2B5EF4-FFF2-40B4-BE49-F238E27FC236}">
              <a16:creationId xmlns:a16="http://schemas.microsoft.com/office/drawing/2014/main" xmlns="" id="{BE70A52C-7F07-4515-81CA-1E33315565B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816" name="Text Box 1507">
          <a:extLst>
            <a:ext uri="{FF2B5EF4-FFF2-40B4-BE49-F238E27FC236}">
              <a16:creationId xmlns:a16="http://schemas.microsoft.com/office/drawing/2014/main" xmlns="" id="{F304C954-5F72-459D-B0BD-6915C54745D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817" name="Text Box 1508">
          <a:extLst>
            <a:ext uri="{FF2B5EF4-FFF2-40B4-BE49-F238E27FC236}">
              <a16:creationId xmlns:a16="http://schemas.microsoft.com/office/drawing/2014/main" xmlns="" id="{4F97D58B-967A-4D0B-B6F8-9A49A72FFEC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818" name="Text Box 1509">
          <a:extLst>
            <a:ext uri="{FF2B5EF4-FFF2-40B4-BE49-F238E27FC236}">
              <a16:creationId xmlns:a16="http://schemas.microsoft.com/office/drawing/2014/main" xmlns="" id="{2BA9F461-F6F3-46B1-96F7-40DB9918E2E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819" name="Text Box 1510">
          <a:extLst>
            <a:ext uri="{FF2B5EF4-FFF2-40B4-BE49-F238E27FC236}">
              <a16:creationId xmlns:a16="http://schemas.microsoft.com/office/drawing/2014/main" xmlns="" id="{EB5BFDC2-0801-456C-94E8-FE6908EE2C5D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820" name="Text Box 1511">
          <a:extLst>
            <a:ext uri="{FF2B5EF4-FFF2-40B4-BE49-F238E27FC236}">
              <a16:creationId xmlns:a16="http://schemas.microsoft.com/office/drawing/2014/main" xmlns="" id="{C47057EE-E5D5-4159-940F-94CB940339C8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821" name="Text Box 1512">
          <a:extLst>
            <a:ext uri="{FF2B5EF4-FFF2-40B4-BE49-F238E27FC236}">
              <a16:creationId xmlns:a16="http://schemas.microsoft.com/office/drawing/2014/main" xmlns="" id="{0DEBEDCF-1196-4D0E-8160-09EC338110F8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822" name="Text Box 1513">
          <a:extLst>
            <a:ext uri="{FF2B5EF4-FFF2-40B4-BE49-F238E27FC236}">
              <a16:creationId xmlns:a16="http://schemas.microsoft.com/office/drawing/2014/main" xmlns="" id="{5E63548A-6568-4C48-B130-8220A8AEB208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823" name="Text Box 1514">
          <a:extLst>
            <a:ext uri="{FF2B5EF4-FFF2-40B4-BE49-F238E27FC236}">
              <a16:creationId xmlns:a16="http://schemas.microsoft.com/office/drawing/2014/main" xmlns="" id="{B347ABB3-07E9-433A-B53D-B67046B08F86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824" name="Text Box 1515">
          <a:extLst>
            <a:ext uri="{FF2B5EF4-FFF2-40B4-BE49-F238E27FC236}">
              <a16:creationId xmlns:a16="http://schemas.microsoft.com/office/drawing/2014/main" xmlns="" id="{28075A33-6554-4F7B-B262-BD6F0E8EB03D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825" name="Text Box 1516">
          <a:extLst>
            <a:ext uri="{FF2B5EF4-FFF2-40B4-BE49-F238E27FC236}">
              <a16:creationId xmlns:a16="http://schemas.microsoft.com/office/drawing/2014/main" xmlns="" id="{0E047585-8F22-42EE-9E3A-FD2BDC1E5BA4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826" name="Text Box 1517">
          <a:extLst>
            <a:ext uri="{FF2B5EF4-FFF2-40B4-BE49-F238E27FC236}">
              <a16:creationId xmlns:a16="http://schemas.microsoft.com/office/drawing/2014/main" xmlns="" id="{F9C4360F-3299-4304-BEA4-BE30D603186F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827" name="Text Box 1518">
          <a:extLst>
            <a:ext uri="{FF2B5EF4-FFF2-40B4-BE49-F238E27FC236}">
              <a16:creationId xmlns:a16="http://schemas.microsoft.com/office/drawing/2014/main" xmlns="" id="{FABD1DFF-F794-449C-A307-3728757AE235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828" name="Text Box 1519">
          <a:extLst>
            <a:ext uri="{FF2B5EF4-FFF2-40B4-BE49-F238E27FC236}">
              <a16:creationId xmlns:a16="http://schemas.microsoft.com/office/drawing/2014/main" xmlns="" id="{AA439216-96E7-4B0D-BF63-9BECFDAAD924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829" name="Text Box 1520">
          <a:extLst>
            <a:ext uri="{FF2B5EF4-FFF2-40B4-BE49-F238E27FC236}">
              <a16:creationId xmlns:a16="http://schemas.microsoft.com/office/drawing/2014/main" xmlns="" id="{4A6881D2-7BB4-490C-93BB-6D9297B5AB7D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830" name="Text Box 1521">
          <a:extLst>
            <a:ext uri="{FF2B5EF4-FFF2-40B4-BE49-F238E27FC236}">
              <a16:creationId xmlns:a16="http://schemas.microsoft.com/office/drawing/2014/main" xmlns="" id="{313FD9F3-06A0-412C-AA80-562637DD5D2C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831" name="Text Box 1522">
          <a:extLst>
            <a:ext uri="{FF2B5EF4-FFF2-40B4-BE49-F238E27FC236}">
              <a16:creationId xmlns:a16="http://schemas.microsoft.com/office/drawing/2014/main" xmlns="" id="{D7D25B38-119E-4F12-919B-6FF0E197C951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832" name="Text Box 1523">
          <a:extLst>
            <a:ext uri="{FF2B5EF4-FFF2-40B4-BE49-F238E27FC236}">
              <a16:creationId xmlns:a16="http://schemas.microsoft.com/office/drawing/2014/main" xmlns="" id="{69061810-C62A-4EB0-A540-5BCA6FC52F8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833" name="Text Box 1524">
          <a:extLst>
            <a:ext uri="{FF2B5EF4-FFF2-40B4-BE49-F238E27FC236}">
              <a16:creationId xmlns:a16="http://schemas.microsoft.com/office/drawing/2014/main" xmlns="" id="{5ABCCBED-C868-4F7A-9DFC-9101ED4302F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834" name="Text Box 1525">
          <a:extLst>
            <a:ext uri="{FF2B5EF4-FFF2-40B4-BE49-F238E27FC236}">
              <a16:creationId xmlns:a16="http://schemas.microsoft.com/office/drawing/2014/main" xmlns="" id="{B36C6560-3F10-47F2-8A66-C0B1880C663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835" name="Text Box 1526">
          <a:extLst>
            <a:ext uri="{FF2B5EF4-FFF2-40B4-BE49-F238E27FC236}">
              <a16:creationId xmlns:a16="http://schemas.microsoft.com/office/drawing/2014/main" xmlns="" id="{AC8B87E8-65D7-41D4-8C63-9912E7AC3610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836" name="Text Box 1527">
          <a:extLst>
            <a:ext uri="{FF2B5EF4-FFF2-40B4-BE49-F238E27FC236}">
              <a16:creationId xmlns:a16="http://schemas.microsoft.com/office/drawing/2014/main" xmlns="" id="{11C22251-5AEC-4B5D-99FA-E3EB6E776864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837" name="Text Box 1528">
          <a:extLst>
            <a:ext uri="{FF2B5EF4-FFF2-40B4-BE49-F238E27FC236}">
              <a16:creationId xmlns:a16="http://schemas.microsoft.com/office/drawing/2014/main" xmlns="" id="{6B869B70-2B29-4ED8-AD93-79C0DC5E07D8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838" name="Text Box 1529">
          <a:extLst>
            <a:ext uri="{FF2B5EF4-FFF2-40B4-BE49-F238E27FC236}">
              <a16:creationId xmlns:a16="http://schemas.microsoft.com/office/drawing/2014/main" xmlns="" id="{C94A1F33-7FF5-4196-90E5-268250ABB078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839" name="Text Box 1530">
          <a:extLst>
            <a:ext uri="{FF2B5EF4-FFF2-40B4-BE49-F238E27FC236}">
              <a16:creationId xmlns:a16="http://schemas.microsoft.com/office/drawing/2014/main" xmlns="" id="{EB8F2A44-381D-4613-9CAC-797F1FBB0EA1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840" name="Text Box 1531">
          <a:extLst>
            <a:ext uri="{FF2B5EF4-FFF2-40B4-BE49-F238E27FC236}">
              <a16:creationId xmlns:a16="http://schemas.microsoft.com/office/drawing/2014/main" xmlns="" id="{B4D30E86-7A85-41AC-A6C7-8B903378B843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841" name="Text Box 1532">
          <a:extLst>
            <a:ext uri="{FF2B5EF4-FFF2-40B4-BE49-F238E27FC236}">
              <a16:creationId xmlns:a16="http://schemas.microsoft.com/office/drawing/2014/main" xmlns="" id="{0929D0E8-F370-44AA-8AB1-47AE0D8F6A3E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842" name="Text Box 1533">
          <a:extLst>
            <a:ext uri="{FF2B5EF4-FFF2-40B4-BE49-F238E27FC236}">
              <a16:creationId xmlns:a16="http://schemas.microsoft.com/office/drawing/2014/main" xmlns="" id="{9BD45AD9-4978-4DED-B243-6E1F4BEF1D37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843" name="Text Box 1534">
          <a:extLst>
            <a:ext uri="{FF2B5EF4-FFF2-40B4-BE49-F238E27FC236}">
              <a16:creationId xmlns:a16="http://schemas.microsoft.com/office/drawing/2014/main" xmlns="" id="{67731035-1D84-465A-9BE7-6684929ADFE0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844" name="Text Box 1535">
          <a:extLst>
            <a:ext uri="{FF2B5EF4-FFF2-40B4-BE49-F238E27FC236}">
              <a16:creationId xmlns:a16="http://schemas.microsoft.com/office/drawing/2014/main" xmlns="" id="{2C2FC765-2DFE-4503-B401-9650B719B45D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845" name="Text Box 1536">
          <a:extLst>
            <a:ext uri="{FF2B5EF4-FFF2-40B4-BE49-F238E27FC236}">
              <a16:creationId xmlns:a16="http://schemas.microsoft.com/office/drawing/2014/main" xmlns="" id="{7DC97C58-2EB1-4F50-B801-800D947AF178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846" name="Text Box 1537">
          <a:extLst>
            <a:ext uri="{FF2B5EF4-FFF2-40B4-BE49-F238E27FC236}">
              <a16:creationId xmlns:a16="http://schemas.microsoft.com/office/drawing/2014/main" xmlns="" id="{7D0EA617-DB5B-4B0F-BBD9-53442D08B4DC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847" name="Text Box 1538">
          <a:extLst>
            <a:ext uri="{FF2B5EF4-FFF2-40B4-BE49-F238E27FC236}">
              <a16:creationId xmlns:a16="http://schemas.microsoft.com/office/drawing/2014/main" xmlns="" id="{AC7BF620-5748-4777-9F5D-80241002E75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848" name="Text Box 1539">
          <a:extLst>
            <a:ext uri="{FF2B5EF4-FFF2-40B4-BE49-F238E27FC236}">
              <a16:creationId xmlns:a16="http://schemas.microsoft.com/office/drawing/2014/main" xmlns="" id="{FF0C3FA7-E429-4664-B427-67FCBC228EF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849" name="Text Box 1540">
          <a:extLst>
            <a:ext uri="{FF2B5EF4-FFF2-40B4-BE49-F238E27FC236}">
              <a16:creationId xmlns:a16="http://schemas.microsoft.com/office/drawing/2014/main" xmlns="" id="{05ED10E0-62CF-4067-BC43-9E97873E9DB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850" name="Text Box 1541">
          <a:extLst>
            <a:ext uri="{FF2B5EF4-FFF2-40B4-BE49-F238E27FC236}">
              <a16:creationId xmlns:a16="http://schemas.microsoft.com/office/drawing/2014/main" xmlns="" id="{31DE1537-895F-4E25-A988-886DBFB8CD5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851" name="Text Box 1542">
          <a:extLst>
            <a:ext uri="{FF2B5EF4-FFF2-40B4-BE49-F238E27FC236}">
              <a16:creationId xmlns:a16="http://schemas.microsoft.com/office/drawing/2014/main" xmlns="" id="{5E16C5D9-3F22-4E17-BA8B-5A4D981E52A2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852" name="Text Box 1543">
          <a:extLst>
            <a:ext uri="{FF2B5EF4-FFF2-40B4-BE49-F238E27FC236}">
              <a16:creationId xmlns:a16="http://schemas.microsoft.com/office/drawing/2014/main" xmlns="" id="{B1917F50-0199-4A58-87F1-ABB0E7289EA2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853" name="Text Box 1544">
          <a:extLst>
            <a:ext uri="{FF2B5EF4-FFF2-40B4-BE49-F238E27FC236}">
              <a16:creationId xmlns:a16="http://schemas.microsoft.com/office/drawing/2014/main" xmlns="" id="{7FFBBA88-12DA-4058-9C5F-EB6E97DC8049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854" name="Text Box 1545">
          <a:extLst>
            <a:ext uri="{FF2B5EF4-FFF2-40B4-BE49-F238E27FC236}">
              <a16:creationId xmlns:a16="http://schemas.microsoft.com/office/drawing/2014/main" xmlns="" id="{E73890B2-3F0C-4C86-A4E3-820DD985ABE8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855" name="Text Box 1546">
          <a:extLst>
            <a:ext uri="{FF2B5EF4-FFF2-40B4-BE49-F238E27FC236}">
              <a16:creationId xmlns:a16="http://schemas.microsoft.com/office/drawing/2014/main" xmlns="" id="{517B31C8-D3D0-48B6-98AE-4234E8EFD993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856" name="Text Box 1547">
          <a:extLst>
            <a:ext uri="{FF2B5EF4-FFF2-40B4-BE49-F238E27FC236}">
              <a16:creationId xmlns:a16="http://schemas.microsoft.com/office/drawing/2014/main" xmlns="" id="{4C6E5196-C50C-44F0-8246-5BB7EADAC31E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857" name="Text Box 1548">
          <a:extLst>
            <a:ext uri="{FF2B5EF4-FFF2-40B4-BE49-F238E27FC236}">
              <a16:creationId xmlns:a16="http://schemas.microsoft.com/office/drawing/2014/main" xmlns="" id="{CAA57D1A-EA7B-4F87-A9C2-C6A22B2F8FD0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858" name="Text Box 1549">
          <a:extLst>
            <a:ext uri="{FF2B5EF4-FFF2-40B4-BE49-F238E27FC236}">
              <a16:creationId xmlns:a16="http://schemas.microsoft.com/office/drawing/2014/main" xmlns="" id="{5CB18B38-71F3-4453-BAB0-E19B2C2D2F92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859" name="Text Box 1550">
          <a:extLst>
            <a:ext uri="{FF2B5EF4-FFF2-40B4-BE49-F238E27FC236}">
              <a16:creationId xmlns:a16="http://schemas.microsoft.com/office/drawing/2014/main" xmlns="" id="{7955A36D-59B3-40BA-BC30-92231BB6F29D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860" name="Text Box 1551">
          <a:extLst>
            <a:ext uri="{FF2B5EF4-FFF2-40B4-BE49-F238E27FC236}">
              <a16:creationId xmlns:a16="http://schemas.microsoft.com/office/drawing/2014/main" xmlns="" id="{B6BC29CB-F7ED-4D7A-97F5-324C46CC1B42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861" name="Text Box 1552">
          <a:extLst>
            <a:ext uri="{FF2B5EF4-FFF2-40B4-BE49-F238E27FC236}">
              <a16:creationId xmlns:a16="http://schemas.microsoft.com/office/drawing/2014/main" xmlns="" id="{782E4855-BB8F-4642-9D84-800321969A7D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862" name="Text Box 1553">
          <a:extLst>
            <a:ext uri="{FF2B5EF4-FFF2-40B4-BE49-F238E27FC236}">
              <a16:creationId xmlns:a16="http://schemas.microsoft.com/office/drawing/2014/main" xmlns="" id="{927ADA57-B4E7-4D31-BC4C-900212F38E32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863" name="Text Box 1554">
          <a:extLst>
            <a:ext uri="{FF2B5EF4-FFF2-40B4-BE49-F238E27FC236}">
              <a16:creationId xmlns:a16="http://schemas.microsoft.com/office/drawing/2014/main" xmlns="" id="{354FC83A-4224-4A79-8D93-D8698FB6852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864" name="Text Box 1555">
          <a:extLst>
            <a:ext uri="{FF2B5EF4-FFF2-40B4-BE49-F238E27FC236}">
              <a16:creationId xmlns:a16="http://schemas.microsoft.com/office/drawing/2014/main" xmlns="" id="{3E586014-98C1-4B3C-A48B-EEDBBE41B09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865" name="Text Box 1556">
          <a:extLst>
            <a:ext uri="{FF2B5EF4-FFF2-40B4-BE49-F238E27FC236}">
              <a16:creationId xmlns:a16="http://schemas.microsoft.com/office/drawing/2014/main" xmlns="" id="{5E55AB70-7016-40D3-AC76-559E6F2ED3B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866" name="Text Box 1557">
          <a:extLst>
            <a:ext uri="{FF2B5EF4-FFF2-40B4-BE49-F238E27FC236}">
              <a16:creationId xmlns:a16="http://schemas.microsoft.com/office/drawing/2014/main" xmlns="" id="{03BDDB2A-D8AA-4F21-AEBA-23ACDEE49457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867" name="Text Box 1558">
          <a:extLst>
            <a:ext uri="{FF2B5EF4-FFF2-40B4-BE49-F238E27FC236}">
              <a16:creationId xmlns:a16="http://schemas.microsoft.com/office/drawing/2014/main" xmlns="" id="{7F5ECF83-0E17-4D6C-BB4D-9AA63B8BE193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868" name="Text Box 1559">
          <a:extLst>
            <a:ext uri="{FF2B5EF4-FFF2-40B4-BE49-F238E27FC236}">
              <a16:creationId xmlns:a16="http://schemas.microsoft.com/office/drawing/2014/main" xmlns="" id="{636F821B-19B9-4BA5-8248-3F07230BB6E2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869" name="Text Box 1560">
          <a:extLst>
            <a:ext uri="{FF2B5EF4-FFF2-40B4-BE49-F238E27FC236}">
              <a16:creationId xmlns:a16="http://schemas.microsoft.com/office/drawing/2014/main" xmlns="" id="{E2B60597-9E6A-4132-957F-62D77338EBCB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870" name="Text Box 1561">
          <a:extLst>
            <a:ext uri="{FF2B5EF4-FFF2-40B4-BE49-F238E27FC236}">
              <a16:creationId xmlns:a16="http://schemas.microsoft.com/office/drawing/2014/main" xmlns="" id="{3B106346-F00E-426B-8EF2-B644996EB35E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871" name="Text Box 1562">
          <a:extLst>
            <a:ext uri="{FF2B5EF4-FFF2-40B4-BE49-F238E27FC236}">
              <a16:creationId xmlns:a16="http://schemas.microsoft.com/office/drawing/2014/main" xmlns="" id="{E5C821E5-DDF7-4F57-95CC-2CAFEA3FE87C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872" name="Text Box 1563">
          <a:extLst>
            <a:ext uri="{FF2B5EF4-FFF2-40B4-BE49-F238E27FC236}">
              <a16:creationId xmlns:a16="http://schemas.microsoft.com/office/drawing/2014/main" xmlns="" id="{03F8351A-D63D-41CD-9EF1-89ACBD5262A6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873" name="Text Box 1564">
          <a:extLst>
            <a:ext uri="{FF2B5EF4-FFF2-40B4-BE49-F238E27FC236}">
              <a16:creationId xmlns:a16="http://schemas.microsoft.com/office/drawing/2014/main" xmlns="" id="{BF217FF1-3A5D-4557-B650-E2043FB75A8C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874" name="Text Box 1565">
          <a:extLst>
            <a:ext uri="{FF2B5EF4-FFF2-40B4-BE49-F238E27FC236}">
              <a16:creationId xmlns:a16="http://schemas.microsoft.com/office/drawing/2014/main" xmlns="" id="{66480662-29BC-4B60-909C-3C068243B0E8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875" name="Text Box 1566">
          <a:extLst>
            <a:ext uri="{FF2B5EF4-FFF2-40B4-BE49-F238E27FC236}">
              <a16:creationId xmlns:a16="http://schemas.microsoft.com/office/drawing/2014/main" xmlns="" id="{2E19E62C-2571-4E9D-92C6-DB37973B30EE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876" name="Text Box 1567">
          <a:extLst>
            <a:ext uri="{FF2B5EF4-FFF2-40B4-BE49-F238E27FC236}">
              <a16:creationId xmlns:a16="http://schemas.microsoft.com/office/drawing/2014/main" xmlns="" id="{4E7DED01-B88A-4DA5-ABB4-67B6A1F0EB24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877" name="Text Box 1568">
          <a:extLst>
            <a:ext uri="{FF2B5EF4-FFF2-40B4-BE49-F238E27FC236}">
              <a16:creationId xmlns:a16="http://schemas.microsoft.com/office/drawing/2014/main" xmlns="" id="{B2DB66FA-D897-42BF-91D1-B2055DCC9634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878" name="Text Box 1569">
          <a:extLst>
            <a:ext uri="{FF2B5EF4-FFF2-40B4-BE49-F238E27FC236}">
              <a16:creationId xmlns:a16="http://schemas.microsoft.com/office/drawing/2014/main" xmlns="" id="{5E8C0A25-0973-43D2-985B-CCCCE207D91A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879" name="Text Box 1570">
          <a:extLst>
            <a:ext uri="{FF2B5EF4-FFF2-40B4-BE49-F238E27FC236}">
              <a16:creationId xmlns:a16="http://schemas.microsoft.com/office/drawing/2014/main" xmlns="" id="{A186F486-7056-49CD-89D0-EE3EBDCDBE49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880" name="Text Box 1571">
          <a:extLst>
            <a:ext uri="{FF2B5EF4-FFF2-40B4-BE49-F238E27FC236}">
              <a16:creationId xmlns:a16="http://schemas.microsoft.com/office/drawing/2014/main" xmlns="" id="{2975BF16-2A76-4E6F-BB35-80549DF2CD8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881" name="Text Box 1572">
          <a:extLst>
            <a:ext uri="{FF2B5EF4-FFF2-40B4-BE49-F238E27FC236}">
              <a16:creationId xmlns:a16="http://schemas.microsoft.com/office/drawing/2014/main" xmlns="" id="{CF5EC5F1-C76D-4434-B7BC-C23EC83C783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882" name="Text Box 1573">
          <a:extLst>
            <a:ext uri="{FF2B5EF4-FFF2-40B4-BE49-F238E27FC236}">
              <a16:creationId xmlns:a16="http://schemas.microsoft.com/office/drawing/2014/main" xmlns="" id="{914306DF-8469-421B-8322-E0B1C43CBAE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883" name="Text Box 1574">
          <a:extLst>
            <a:ext uri="{FF2B5EF4-FFF2-40B4-BE49-F238E27FC236}">
              <a16:creationId xmlns:a16="http://schemas.microsoft.com/office/drawing/2014/main" xmlns="" id="{9B56B980-A585-4A94-AD06-345690D9163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884" name="Text Box 1575">
          <a:extLst>
            <a:ext uri="{FF2B5EF4-FFF2-40B4-BE49-F238E27FC236}">
              <a16:creationId xmlns:a16="http://schemas.microsoft.com/office/drawing/2014/main" xmlns="" id="{3D2A9375-DF81-4BB6-8E99-74267209576A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885" name="Text Box 1576">
          <a:extLst>
            <a:ext uri="{FF2B5EF4-FFF2-40B4-BE49-F238E27FC236}">
              <a16:creationId xmlns:a16="http://schemas.microsoft.com/office/drawing/2014/main" xmlns="" id="{1EF1558D-FA05-490F-A37D-75EF82E9B7BF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886" name="Text Box 1577">
          <a:extLst>
            <a:ext uri="{FF2B5EF4-FFF2-40B4-BE49-F238E27FC236}">
              <a16:creationId xmlns:a16="http://schemas.microsoft.com/office/drawing/2014/main" xmlns="" id="{E651C02D-B053-4D16-9CCC-C2A4FA5C4EFA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887" name="Text Box 1578">
          <a:extLst>
            <a:ext uri="{FF2B5EF4-FFF2-40B4-BE49-F238E27FC236}">
              <a16:creationId xmlns:a16="http://schemas.microsoft.com/office/drawing/2014/main" xmlns="" id="{0305989F-A8AC-4007-A484-14D83229694E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888" name="Text Box 1579">
          <a:extLst>
            <a:ext uri="{FF2B5EF4-FFF2-40B4-BE49-F238E27FC236}">
              <a16:creationId xmlns:a16="http://schemas.microsoft.com/office/drawing/2014/main" xmlns="" id="{FF384F93-C2A5-4FE5-BB51-0175C728073C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889" name="Text Box 1580">
          <a:extLst>
            <a:ext uri="{FF2B5EF4-FFF2-40B4-BE49-F238E27FC236}">
              <a16:creationId xmlns:a16="http://schemas.microsoft.com/office/drawing/2014/main" xmlns="" id="{05C5B0F0-8DA8-4A0A-B736-DBB930BAEC38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890" name="Text Box 1581">
          <a:extLst>
            <a:ext uri="{FF2B5EF4-FFF2-40B4-BE49-F238E27FC236}">
              <a16:creationId xmlns:a16="http://schemas.microsoft.com/office/drawing/2014/main" xmlns="" id="{5C2F09F7-F8BF-4305-BC7E-08350305E30B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891" name="Text Box 1582">
          <a:extLst>
            <a:ext uri="{FF2B5EF4-FFF2-40B4-BE49-F238E27FC236}">
              <a16:creationId xmlns:a16="http://schemas.microsoft.com/office/drawing/2014/main" xmlns="" id="{8CA6BF1E-E326-4AE7-B633-81550BB3B863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892" name="Text Box 1583">
          <a:extLst>
            <a:ext uri="{FF2B5EF4-FFF2-40B4-BE49-F238E27FC236}">
              <a16:creationId xmlns:a16="http://schemas.microsoft.com/office/drawing/2014/main" xmlns="" id="{CCF66DD8-C592-49D1-B2CE-C19BB986AF61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893" name="Text Box 1584">
          <a:extLst>
            <a:ext uri="{FF2B5EF4-FFF2-40B4-BE49-F238E27FC236}">
              <a16:creationId xmlns:a16="http://schemas.microsoft.com/office/drawing/2014/main" xmlns="" id="{91B9265B-C5C7-4686-8AB3-F99FC2C9009B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894" name="Text Box 1585">
          <a:extLst>
            <a:ext uri="{FF2B5EF4-FFF2-40B4-BE49-F238E27FC236}">
              <a16:creationId xmlns:a16="http://schemas.microsoft.com/office/drawing/2014/main" xmlns="" id="{C42B8BC9-07A0-4385-9347-0BFF40A2BBE2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895" name="Text Box 1586">
          <a:extLst>
            <a:ext uri="{FF2B5EF4-FFF2-40B4-BE49-F238E27FC236}">
              <a16:creationId xmlns:a16="http://schemas.microsoft.com/office/drawing/2014/main" xmlns="" id="{B6913B96-965B-46B7-A13A-08BD72A1644E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896" name="Text Box 1587">
          <a:extLst>
            <a:ext uri="{FF2B5EF4-FFF2-40B4-BE49-F238E27FC236}">
              <a16:creationId xmlns:a16="http://schemas.microsoft.com/office/drawing/2014/main" xmlns="" id="{FCEF26E2-CD3C-4078-9CA7-B7DDA064E9C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897" name="Text Box 1588">
          <a:extLst>
            <a:ext uri="{FF2B5EF4-FFF2-40B4-BE49-F238E27FC236}">
              <a16:creationId xmlns:a16="http://schemas.microsoft.com/office/drawing/2014/main" xmlns="" id="{1731472C-552B-4EBF-B7F7-1FBA4C05105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898" name="Text Box 1589">
          <a:extLst>
            <a:ext uri="{FF2B5EF4-FFF2-40B4-BE49-F238E27FC236}">
              <a16:creationId xmlns:a16="http://schemas.microsoft.com/office/drawing/2014/main" xmlns="" id="{0DB430A7-9BC9-4349-87A7-9B144C6E1C7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899" name="Text Box 1590">
          <a:extLst>
            <a:ext uri="{FF2B5EF4-FFF2-40B4-BE49-F238E27FC236}">
              <a16:creationId xmlns:a16="http://schemas.microsoft.com/office/drawing/2014/main" xmlns="" id="{D5CFD4CE-657D-4E27-97F3-F2207A87A1A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900" name="Text Box 1591">
          <a:extLst>
            <a:ext uri="{FF2B5EF4-FFF2-40B4-BE49-F238E27FC236}">
              <a16:creationId xmlns:a16="http://schemas.microsoft.com/office/drawing/2014/main" xmlns="" id="{C3659C47-10F5-4252-82F7-28F2960E15E2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901" name="Text Box 1592">
          <a:extLst>
            <a:ext uri="{FF2B5EF4-FFF2-40B4-BE49-F238E27FC236}">
              <a16:creationId xmlns:a16="http://schemas.microsoft.com/office/drawing/2014/main" xmlns="" id="{4732F549-06A1-4A78-8EE7-2CD6D1D85B61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902" name="Text Box 1593">
          <a:extLst>
            <a:ext uri="{FF2B5EF4-FFF2-40B4-BE49-F238E27FC236}">
              <a16:creationId xmlns:a16="http://schemas.microsoft.com/office/drawing/2014/main" xmlns="" id="{26A07AC3-B457-42D6-B28F-F0DE02734A0F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903" name="Text Box 1594">
          <a:extLst>
            <a:ext uri="{FF2B5EF4-FFF2-40B4-BE49-F238E27FC236}">
              <a16:creationId xmlns:a16="http://schemas.microsoft.com/office/drawing/2014/main" xmlns="" id="{DC9F31F0-F11F-4671-B946-23AAC43146AB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904" name="Text Box 1595">
          <a:extLst>
            <a:ext uri="{FF2B5EF4-FFF2-40B4-BE49-F238E27FC236}">
              <a16:creationId xmlns:a16="http://schemas.microsoft.com/office/drawing/2014/main" xmlns="" id="{F7EF311C-C6EB-4D7F-9600-13E82FC1BB41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905" name="Text Box 1596">
          <a:extLst>
            <a:ext uri="{FF2B5EF4-FFF2-40B4-BE49-F238E27FC236}">
              <a16:creationId xmlns:a16="http://schemas.microsoft.com/office/drawing/2014/main" xmlns="" id="{B430F0A7-D4B3-4104-B2E7-C89C1C66FB18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906" name="Text Box 1597">
          <a:extLst>
            <a:ext uri="{FF2B5EF4-FFF2-40B4-BE49-F238E27FC236}">
              <a16:creationId xmlns:a16="http://schemas.microsoft.com/office/drawing/2014/main" xmlns="" id="{A8AE99DA-94AA-4889-B851-445CD1DDE9E4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907" name="Text Box 1598">
          <a:extLst>
            <a:ext uri="{FF2B5EF4-FFF2-40B4-BE49-F238E27FC236}">
              <a16:creationId xmlns:a16="http://schemas.microsoft.com/office/drawing/2014/main" xmlns="" id="{0783B651-77C8-40C7-8BF9-D30EBF48EDD7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908" name="Text Box 1599">
          <a:extLst>
            <a:ext uri="{FF2B5EF4-FFF2-40B4-BE49-F238E27FC236}">
              <a16:creationId xmlns:a16="http://schemas.microsoft.com/office/drawing/2014/main" xmlns="" id="{A78C532E-D15B-41F2-980A-03CA2C4ED7A9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909" name="Text Box 1600">
          <a:extLst>
            <a:ext uri="{FF2B5EF4-FFF2-40B4-BE49-F238E27FC236}">
              <a16:creationId xmlns:a16="http://schemas.microsoft.com/office/drawing/2014/main" xmlns="" id="{4D96C25E-63C4-441A-9B8D-95DACD7D0549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910" name="Text Box 1601">
          <a:extLst>
            <a:ext uri="{FF2B5EF4-FFF2-40B4-BE49-F238E27FC236}">
              <a16:creationId xmlns:a16="http://schemas.microsoft.com/office/drawing/2014/main" xmlns="" id="{814AB393-FB29-4C0F-A4DA-FFD0C306E8C7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911" name="Text Box 1602">
          <a:extLst>
            <a:ext uri="{FF2B5EF4-FFF2-40B4-BE49-F238E27FC236}">
              <a16:creationId xmlns:a16="http://schemas.microsoft.com/office/drawing/2014/main" xmlns="" id="{8B416216-BB73-4822-B460-3072AA67E5BD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912" name="Text Box 1603">
          <a:extLst>
            <a:ext uri="{FF2B5EF4-FFF2-40B4-BE49-F238E27FC236}">
              <a16:creationId xmlns:a16="http://schemas.microsoft.com/office/drawing/2014/main" xmlns="" id="{778C62A3-FE24-4578-A293-463D9186967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913" name="Text Box 1604">
          <a:extLst>
            <a:ext uri="{FF2B5EF4-FFF2-40B4-BE49-F238E27FC236}">
              <a16:creationId xmlns:a16="http://schemas.microsoft.com/office/drawing/2014/main" xmlns="" id="{E2BA1F1D-19FC-4672-B9A3-D8CF9B10447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914" name="Text Box 1605">
          <a:extLst>
            <a:ext uri="{FF2B5EF4-FFF2-40B4-BE49-F238E27FC236}">
              <a16:creationId xmlns:a16="http://schemas.microsoft.com/office/drawing/2014/main" xmlns="" id="{4BD30F51-A90F-458D-AEC5-268C7B4E35D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915" name="Text Box 1606">
          <a:extLst>
            <a:ext uri="{FF2B5EF4-FFF2-40B4-BE49-F238E27FC236}">
              <a16:creationId xmlns:a16="http://schemas.microsoft.com/office/drawing/2014/main" xmlns="" id="{287F6380-CEFF-4B68-AFB9-2D163993BDC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916" name="Text Box 1607">
          <a:extLst>
            <a:ext uri="{FF2B5EF4-FFF2-40B4-BE49-F238E27FC236}">
              <a16:creationId xmlns:a16="http://schemas.microsoft.com/office/drawing/2014/main" xmlns="" id="{FA1724A0-E448-4C19-BFDF-A5BEF6FCDAFF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917" name="Text Box 1608">
          <a:extLst>
            <a:ext uri="{FF2B5EF4-FFF2-40B4-BE49-F238E27FC236}">
              <a16:creationId xmlns:a16="http://schemas.microsoft.com/office/drawing/2014/main" xmlns="" id="{55098DF5-FB9D-4EF5-B84F-A77806DF7DC4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918" name="Text Box 1609">
          <a:extLst>
            <a:ext uri="{FF2B5EF4-FFF2-40B4-BE49-F238E27FC236}">
              <a16:creationId xmlns:a16="http://schemas.microsoft.com/office/drawing/2014/main" xmlns="" id="{5DBEABF8-E583-47F8-8A6F-C081F8099E47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919" name="Text Box 1610">
          <a:extLst>
            <a:ext uri="{FF2B5EF4-FFF2-40B4-BE49-F238E27FC236}">
              <a16:creationId xmlns:a16="http://schemas.microsoft.com/office/drawing/2014/main" xmlns="" id="{48A675D8-84CF-4E8B-BDF3-B573AD4EACF4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920" name="Text Box 1611">
          <a:extLst>
            <a:ext uri="{FF2B5EF4-FFF2-40B4-BE49-F238E27FC236}">
              <a16:creationId xmlns:a16="http://schemas.microsoft.com/office/drawing/2014/main" xmlns="" id="{FCCA3F0E-EF63-4BF1-84F3-FA9F765058AF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921" name="Text Box 1612">
          <a:extLst>
            <a:ext uri="{FF2B5EF4-FFF2-40B4-BE49-F238E27FC236}">
              <a16:creationId xmlns:a16="http://schemas.microsoft.com/office/drawing/2014/main" xmlns="" id="{CE42515A-BB48-4412-9694-657C9001336D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922" name="Text Box 1613">
          <a:extLst>
            <a:ext uri="{FF2B5EF4-FFF2-40B4-BE49-F238E27FC236}">
              <a16:creationId xmlns:a16="http://schemas.microsoft.com/office/drawing/2014/main" xmlns="" id="{87409743-C196-46FB-99FC-9D52080C1BBF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923" name="Text Box 1614">
          <a:extLst>
            <a:ext uri="{FF2B5EF4-FFF2-40B4-BE49-F238E27FC236}">
              <a16:creationId xmlns:a16="http://schemas.microsoft.com/office/drawing/2014/main" xmlns="" id="{1BB251FE-EFD3-4422-8A66-9EC3DCC2D4D0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924" name="Text Box 1615">
          <a:extLst>
            <a:ext uri="{FF2B5EF4-FFF2-40B4-BE49-F238E27FC236}">
              <a16:creationId xmlns:a16="http://schemas.microsoft.com/office/drawing/2014/main" xmlns="" id="{87A8EF4C-5B45-43BD-8BC1-2892D19D0AFA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925" name="Text Box 1616">
          <a:extLst>
            <a:ext uri="{FF2B5EF4-FFF2-40B4-BE49-F238E27FC236}">
              <a16:creationId xmlns:a16="http://schemas.microsoft.com/office/drawing/2014/main" xmlns="" id="{095C8967-24CD-437B-BF92-D0F6577C2700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926" name="Text Box 1617">
          <a:extLst>
            <a:ext uri="{FF2B5EF4-FFF2-40B4-BE49-F238E27FC236}">
              <a16:creationId xmlns:a16="http://schemas.microsoft.com/office/drawing/2014/main" xmlns="" id="{689B0110-5B24-4D89-9C97-1201398B19E0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927" name="Text Box 1618">
          <a:extLst>
            <a:ext uri="{FF2B5EF4-FFF2-40B4-BE49-F238E27FC236}">
              <a16:creationId xmlns:a16="http://schemas.microsoft.com/office/drawing/2014/main" xmlns="" id="{621F2162-F08E-45E1-A604-4A0B8BC1B0B9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928" name="Text Box 1619">
          <a:extLst>
            <a:ext uri="{FF2B5EF4-FFF2-40B4-BE49-F238E27FC236}">
              <a16:creationId xmlns:a16="http://schemas.microsoft.com/office/drawing/2014/main" xmlns="" id="{A52FAF1E-C605-4718-A518-B8A744147DF6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929" name="Text Box 1620">
          <a:extLst>
            <a:ext uri="{FF2B5EF4-FFF2-40B4-BE49-F238E27FC236}">
              <a16:creationId xmlns:a16="http://schemas.microsoft.com/office/drawing/2014/main" xmlns="" id="{8B8A2DF4-D341-44D0-914D-F0D8B355EB54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930" name="Text Box 1621">
          <a:extLst>
            <a:ext uri="{FF2B5EF4-FFF2-40B4-BE49-F238E27FC236}">
              <a16:creationId xmlns:a16="http://schemas.microsoft.com/office/drawing/2014/main" xmlns="" id="{EAFC41B0-6ED6-4C4C-B827-E28F49CD2A8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931" name="Text Box 1622">
          <a:extLst>
            <a:ext uri="{FF2B5EF4-FFF2-40B4-BE49-F238E27FC236}">
              <a16:creationId xmlns:a16="http://schemas.microsoft.com/office/drawing/2014/main" xmlns="" id="{4E07684D-D50C-48B4-9882-7B6A5305303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932" name="Text Box 1623">
          <a:extLst>
            <a:ext uri="{FF2B5EF4-FFF2-40B4-BE49-F238E27FC236}">
              <a16:creationId xmlns:a16="http://schemas.microsoft.com/office/drawing/2014/main" xmlns="" id="{B6D2C81B-84FC-4BC1-9292-F846728FB2A1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933" name="Text Box 1624">
          <a:extLst>
            <a:ext uri="{FF2B5EF4-FFF2-40B4-BE49-F238E27FC236}">
              <a16:creationId xmlns:a16="http://schemas.microsoft.com/office/drawing/2014/main" xmlns="" id="{5CB33FEF-E2E0-4763-9E69-47A49B408539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934" name="Text Box 1625">
          <a:extLst>
            <a:ext uri="{FF2B5EF4-FFF2-40B4-BE49-F238E27FC236}">
              <a16:creationId xmlns:a16="http://schemas.microsoft.com/office/drawing/2014/main" xmlns="" id="{82FD8F99-8F75-45E8-B06F-CD78DE0EE671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935" name="Text Box 1626">
          <a:extLst>
            <a:ext uri="{FF2B5EF4-FFF2-40B4-BE49-F238E27FC236}">
              <a16:creationId xmlns:a16="http://schemas.microsoft.com/office/drawing/2014/main" xmlns="" id="{12D807F7-25E7-4E7B-A09C-55FDEB0F4DF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936" name="Text Box 1627">
          <a:extLst>
            <a:ext uri="{FF2B5EF4-FFF2-40B4-BE49-F238E27FC236}">
              <a16:creationId xmlns:a16="http://schemas.microsoft.com/office/drawing/2014/main" xmlns="" id="{8ECBC5C8-C99F-4773-B445-582347BA1FC4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937" name="Text Box 1628">
          <a:extLst>
            <a:ext uri="{FF2B5EF4-FFF2-40B4-BE49-F238E27FC236}">
              <a16:creationId xmlns:a16="http://schemas.microsoft.com/office/drawing/2014/main" xmlns="" id="{F7DFDD77-7BB2-4BFF-81B0-AD9809F63E69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938" name="Text Box 1629">
          <a:extLst>
            <a:ext uri="{FF2B5EF4-FFF2-40B4-BE49-F238E27FC236}">
              <a16:creationId xmlns:a16="http://schemas.microsoft.com/office/drawing/2014/main" xmlns="" id="{7E238CF8-A436-49E7-BFB9-45170AE03D7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939" name="Text Box 1630">
          <a:extLst>
            <a:ext uri="{FF2B5EF4-FFF2-40B4-BE49-F238E27FC236}">
              <a16:creationId xmlns:a16="http://schemas.microsoft.com/office/drawing/2014/main" xmlns="" id="{4D36E04C-E4BC-489F-9C62-7321D7446C2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940" name="Text Box 1631">
          <a:extLst>
            <a:ext uri="{FF2B5EF4-FFF2-40B4-BE49-F238E27FC236}">
              <a16:creationId xmlns:a16="http://schemas.microsoft.com/office/drawing/2014/main" xmlns="" id="{4C3ECEFF-503A-4639-8EB2-A11BF585ECF4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941" name="Text Box 1632">
          <a:extLst>
            <a:ext uri="{FF2B5EF4-FFF2-40B4-BE49-F238E27FC236}">
              <a16:creationId xmlns:a16="http://schemas.microsoft.com/office/drawing/2014/main" xmlns="" id="{5136261F-747E-40CB-BF5B-2BB3F93A4362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942" name="Text Box 1633">
          <a:extLst>
            <a:ext uri="{FF2B5EF4-FFF2-40B4-BE49-F238E27FC236}">
              <a16:creationId xmlns:a16="http://schemas.microsoft.com/office/drawing/2014/main" xmlns="" id="{1E14B8DD-A352-4D6D-BDCA-9446420C3E3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943" name="Text Box 1634">
          <a:extLst>
            <a:ext uri="{FF2B5EF4-FFF2-40B4-BE49-F238E27FC236}">
              <a16:creationId xmlns:a16="http://schemas.microsoft.com/office/drawing/2014/main" xmlns="" id="{A0201355-B155-4387-938B-1F593385998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944" name="Text Box 1635">
          <a:extLst>
            <a:ext uri="{FF2B5EF4-FFF2-40B4-BE49-F238E27FC236}">
              <a16:creationId xmlns:a16="http://schemas.microsoft.com/office/drawing/2014/main" xmlns="" id="{D95A0DBD-7B36-4F24-A566-40D482344103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945" name="Text Box 1636">
          <a:extLst>
            <a:ext uri="{FF2B5EF4-FFF2-40B4-BE49-F238E27FC236}">
              <a16:creationId xmlns:a16="http://schemas.microsoft.com/office/drawing/2014/main" xmlns="" id="{8125DDDB-9404-4FFD-8F18-D449193E01C6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946" name="Text Box 1637">
          <a:extLst>
            <a:ext uri="{FF2B5EF4-FFF2-40B4-BE49-F238E27FC236}">
              <a16:creationId xmlns:a16="http://schemas.microsoft.com/office/drawing/2014/main" xmlns="" id="{BD2BC4AE-208E-4FEC-AFF9-8A6059F695F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947" name="Text Box 1638">
          <a:extLst>
            <a:ext uri="{FF2B5EF4-FFF2-40B4-BE49-F238E27FC236}">
              <a16:creationId xmlns:a16="http://schemas.microsoft.com/office/drawing/2014/main" xmlns="" id="{D0B67D94-F957-4607-BB62-D918372ADA1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948" name="Text Box 1639">
          <a:extLst>
            <a:ext uri="{FF2B5EF4-FFF2-40B4-BE49-F238E27FC236}">
              <a16:creationId xmlns:a16="http://schemas.microsoft.com/office/drawing/2014/main" xmlns="" id="{93B51E95-A525-48F4-BCF0-3A2D3999A4DC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949" name="Text Box 1640">
          <a:extLst>
            <a:ext uri="{FF2B5EF4-FFF2-40B4-BE49-F238E27FC236}">
              <a16:creationId xmlns:a16="http://schemas.microsoft.com/office/drawing/2014/main" xmlns="" id="{D17588F5-D744-41EF-BC42-EF58D5CF4848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950" name="Text Box 1641">
          <a:extLst>
            <a:ext uri="{FF2B5EF4-FFF2-40B4-BE49-F238E27FC236}">
              <a16:creationId xmlns:a16="http://schemas.microsoft.com/office/drawing/2014/main" xmlns="" id="{46A33B31-70E6-4249-B163-BFD90CEBB856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951" name="Text Box 1642">
          <a:extLst>
            <a:ext uri="{FF2B5EF4-FFF2-40B4-BE49-F238E27FC236}">
              <a16:creationId xmlns:a16="http://schemas.microsoft.com/office/drawing/2014/main" xmlns="" id="{9EB98133-9326-4E86-A8CC-4F25D17ACBDB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952" name="Text Box 1643">
          <a:extLst>
            <a:ext uri="{FF2B5EF4-FFF2-40B4-BE49-F238E27FC236}">
              <a16:creationId xmlns:a16="http://schemas.microsoft.com/office/drawing/2014/main" xmlns="" id="{FB7A96A6-0137-4EA2-AE88-54BCD7339996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953" name="Text Box 1644">
          <a:extLst>
            <a:ext uri="{FF2B5EF4-FFF2-40B4-BE49-F238E27FC236}">
              <a16:creationId xmlns:a16="http://schemas.microsoft.com/office/drawing/2014/main" xmlns="" id="{9D0B50F2-5111-4379-8C78-D8809E724CA6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954" name="Text Box 1645">
          <a:extLst>
            <a:ext uri="{FF2B5EF4-FFF2-40B4-BE49-F238E27FC236}">
              <a16:creationId xmlns:a16="http://schemas.microsoft.com/office/drawing/2014/main" xmlns="" id="{722E4355-E25C-46FC-8B12-77C3892F4689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955" name="Text Box 1646">
          <a:extLst>
            <a:ext uri="{FF2B5EF4-FFF2-40B4-BE49-F238E27FC236}">
              <a16:creationId xmlns:a16="http://schemas.microsoft.com/office/drawing/2014/main" xmlns="" id="{6A327790-A2F7-4396-9F13-923DB024804C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956" name="Text Box 1647">
          <a:extLst>
            <a:ext uri="{FF2B5EF4-FFF2-40B4-BE49-F238E27FC236}">
              <a16:creationId xmlns:a16="http://schemas.microsoft.com/office/drawing/2014/main" xmlns="" id="{45DF1F28-8A26-48B3-A960-788958A1DA5A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957" name="Text Box 1648">
          <a:extLst>
            <a:ext uri="{FF2B5EF4-FFF2-40B4-BE49-F238E27FC236}">
              <a16:creationId xmlns:a16="http://schemas.microsoft.com/office/drawing/2014/main" xmlns="" id="{3939FE4C-92C8-4C5F-9C02-647484C2BC6E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958" name="Text Box 1649">
          <a:extLst>
            <a:ext uri="{FF2B5EF4-FFF2-40B4-BE49-F238E27FC236}">
              <a16:creationId xmlns:a16="http://schemas.microsoft.com/office/drawing/2014/main" xmlns="" id="{CEF77C87-3569-4556-A206-48072165EFC4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959" name="Text Box 1650">
          <a:extLst>
            <a:ext uri="{FF2B5EF4-FFF2-40B4-BE49-F238E27FC236}">
              <a16:creationId xmlns:a16="http://schemas.microsoft.com/office/drawing/2014/main" xmlns="" id="{AFCCBAEB-AF35-4BB1-B04D-8ABDF7973CDE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960" name="Text Box 1651">
          <a:extLst>
            <a:ext uri="{FF2B5EF4-FFF2-40B4-BE49-F238E27FC236}">
              <a16:creationId xmlns:a16="http://schemas.microsoft.com/office/drawing/2014/main" xmlns="" id="{CB47E943-DC39-4220-8DEC-F33DCD5650B2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961" name="Text Box 1652">
          <a:extLst>
            <a:ext uri="{FF2B5EF4-FFF2-40B4-BE49-F238E27FC236}">
              <a16:creationId xmlns:a16="http://schemas.microsoft.com/office/drawing/2014/main" xmlns="" id="{1D0F932F-F5CD-4936-9F23-5AF0CFAD6FE9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962" name="Text Box 1653">
          <a:extLst>
            <a:ext uri="{FF2B5EF4-FFF2-40B4-BE49-F238E27FC236}">
              <a16:creationId xmlns:a16="http://schemas.microsoft.com/office/drawing/2014/main" xmlns="" id="{A847AAE0-F93A-4595-9051-EE08DA398513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963" name="Text Box 1654">
          <a:extLst>
            <a:ext uri="{FF2B5EF4-FFF2-40B4-BE49-F238E27FC236}">
              <a16:creationId xmlns:a16="http://schemas.microsoft.com/office/drawing/2014/main" xmlns="" id="{2F3D5AC5-645E-4517-B78B-702CFF349808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964" name="Text Box 1655">
          <a:extLst>
            <a:ext uri="{FF2B5EF4-FFF2-40B4-BE49-F238E27FC236}">
              <a16:creationId xmlns:a16="http://schemas.microsoft.com/office/drawing/2014/main" xmlns="" id="{DA4C581F-0CB1-4620-BDDE-599369DCBFC5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965" name="Text Box 1656">
          <a:extLst>
            <a:ext uri="{FF2B5EF4-FFF2-40B4-BE49-F238E27FC236}">
              <a16:creationId xmlns:a16="http://schemas.microsoft.com/office/drawing/2014/main" xmlns="" id="{17F2E009-2813-4BC5-98A5-24F747442C06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966" name="Text Box 1657">
          <a:extLst>
            <a:ext uri="{FF2B5EF4-FFF2-40B4-BE49-F238E27FC236}">
              <a16:creationId xmlns:a16="http://schemas.microsoft.com/office/drawing/2014/main" xmlns="" id="{5A118424-6E9C-4408-B9A1-3FE95614786B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967" name="Text Box 1658">
          <a:extLst>
            <a:ext uri="{FF2B5EF4-FFF2-40B4-BE49-F238E27FC236}">
              <a16:creationId xmlns:a16="http://schemas.microsoft.com/office/drawing/2014/main" xmlns="" id="{0440822C-DE1B-4FA6-A43E-634BDD7526A9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968" name="Text Box 1659">
          <a:extLst>
            <a:ext uri="{FF2B5EF4-FFF2-40B4-BE49-F238E27FC236}">
              <a16:creationId xmlns:a16="http://schemas.microsoft.com/office/drawing/2014/main" xmlns="" id="{76E08858-2144-4870-AB17-FD36F53E0E71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969" name="Text Box 1660">
          <a:extLst>
            <a:ext uri="{FF2B5EF4-FFF2-40B4-BE49-F238E27FC236}">
              <a16:creationId xmlns:a16="http://schemas.microsoft.com/office/drawing/2014/main" xmlns="" id="{914E7DC1-CB98-46BD-8BBF-5DB8B1470198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970" name="Text Box 1661">
          <a:extLst>
            <a:ext uri="{FF2B5EF4-FFF2-40B4-BE49-F238E27FC236}">
              <a16:creationId xmlns:a16="http://schemas.microsoft.com/office/drawing/2014/main" xmlns="" id="{20C429FA-2481-41C3-A654-8B7582250595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971" name="Text Box 1662">
          <a:extLst>
            <a:ext uri="{FF2B5EF4-FFF2-40B4-BE49-F238E27FC236}">
              <a16:creationId xmlns:a16="http://schemas.microsoft.com/office/drawing/2014/main" xmlns="" id="{E49DABE4-5469-46B6-9303-18CBB220EB4D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972" name="Text Box 1663">
          <a:extLst>
            <a:ext uri="{FF2B5EF4-FFF2-40B4-BE49-F238E27FC236}">
              <a16:creationId xmlns:a16="http://schemas.microsoft.com/office/drawing/2014/main" xmlns="" id="{54BAD115-55BC-452C-9B65-7D68C4FAC449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973" name="Text Box 1664">
          <a:extLst>
            <a:ext uri="{FF2B5EF4-FFF2-40B4-BE49-F238E27FC236}">
              <a16:creationId xmlns:a16="http://schemas.microsoft.com/office/drawing/2014/main" xmlns="" id="{AD993D67-F6AD-42E3-9022-5DF6DB651F63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974" name="Text Box 1665">
          <a:extLst>
            <a:ext uri="{FF2B5EF4-FFF2-40B4-BE49-F238E27FC236}">
              <a16:creationId xmlns:a16="http://schemas.microsoft.com/office/drawing/2014/main" xmlns="" id="{3CE0202A-E8C5-46FE-A395-4FAF37C9FF7B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975" name="Text Box 1666">
          <a:extLst>
            <a:ext uri="{FF2B5EF4-FFF2-40B4-BE49-F238E27FC236}">
              <a16:creationId xmlns:a16="http://schemas.microsoft.com/office/drawing/2014/main" xmlns="" id="{1F18846F-5E45-4234-80E4-1C6D735E7F12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976" name="Text Box 1667">
          <a:extLst>
            <a:ext uri="{FF2B5EF4-FFF2-40B4-BE49-F238E27FC236}">
              <a16:creationId xmlns:a16="http://schemas.microsoft.com/office/drawing/2014/main" xmlns="" id="{E028F103-DB11-4236-96E9-9BA8A030EF46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977" name="Text Box 1668">
          <a:extLst>
            <a:ext uri="{FF2B5EF4-FFF2-40B4-BE49-F238E27FC236}">
              <a16:creationId xmlns:a16="http://schemas.microsoft.com/office/drawing/2014/main" xmlns="" id="{4734C289-E539-414B-B3F4-43E7F3B6B600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978" name="Text Box 1669">
          <a:extLst>
            <a:ext uri="{FF2B5EF4-FFF2-40B4-BE49-F238E27FC236}">
              <a16:creationId xmlns:a16="http://schemas.microsoft.com/office/drawing/2014/main" xmlns="" id="{004E7035-B520-4253-8D24-3095567682CB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979" name="Text Box 1670">
          <a:extLst>
            <a:ext uri="{FF2B5EF4-FFF2-40B4-BE49-F238E27FC236}">
              <a16:creationId xmlns:a16="http://schemas.microsoft.com/office/drawing/2014/main" xmlns="" id="{54A63B55-20A3-436A-B7A8-191A72ACEB7A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980" name="Text Box 1671">
          <a:extLst>
            <a:ext uri="{FF2B5EF4-FFF2-40B4-BE49-F238E27FC236}">
              <a16:creationId xmlns:a16="http://schemas.microsoft.com/office/drawing/2014/main" xmlns="" id="{18DFA428-ADAE-492D-9B72-4E0B779ED827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981" name="Text Box 1672">
          <a:extLst>
            <a:ext uri="{FF2B5EF4-FFF2-40B4-BE49-F238E27FC236}">
              <a16:creationId xmlns:a16="http://schemas.microsoft.com/office/drawing/2014/main" xmlns="" id="{6BCA5A12-75E6-46D9-B221-FE0235D55B7C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982" name="Text Box 1673">
          <a:extLst>
            <a:ext uri="{FF2B5EF4-FFF2-40B4-BE49-F238E27FC236}">
              <a16:creationId xmlns:a16="http://schemas.microsoft.com/office/drawing/2014/main" xmlns="" id="{0E7A1F05-7931-436C-9981-E167BC6876CC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983" name="Text Box 1674">
          <a:extLst>
            <a:ext uri="{FF2B5EF4-FFF2-40B4-BE49-F238E27FC236}">
              <a16:creationId xmlns:a16="http://schemas.microsoft.com/office/drawing/2014/main" xmlns="" id="{C2053F38-10B5-40AF-96E4-2A9FF6048778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984" name="Text Box 1675">
          <a:extLst>
            <a:ext uri="{FF2B5EF4-FFF2-40B4-BE49-F238E27FC236}">
              <a16:creationId xmlns:a16="http://schemas.microsoft.com/office/drawing/2014/main" xmlns="" id="{25A41C84-9C68-407C-A653-A23DAE931901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985" name="Text Box 1676">
          <a:extLst>
            <a:ext uri="{FF2B5EF4-FFF2-40B4-BE49-F238E27FC236}">
              <a16:creationId xmlns:a16="http://schemas.microsoft.com/office/drawing/2014/main" xmlns="" id="{D7E19E48-A3DD-4227-979D-2AC387928038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986" name="Text Box 1677">
          <a:extLst>
            <a:ext uri="{FF2B5EF4-FFF2-40B4-BE49-F238E27FC236}">
              <a16:creationId xmlns:a16="http://schemas.microsoft.com/office/drawing/2014/main" xmlns="" id="{052D73DC-E737-45CA-9A9F-70979218A2DF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987" name="Text Box 1678">
          <a:extLst>
            <a:ext uri="{FF2B5EF4-FFF2-40B4-BE49-F238E27FC236}">
              <a16:creationId xmlns:a16="http://schemas.microsoft.com/office/drawing/2014/main" xmlns="" id="{E9D221FE-296B-44A6-8F67-6DF2277946DC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988" name="Text Box 1679">
          <a:extLst>
            <a:ext uri="{FF2B5EF4-FFF2-40B4-BE49-F238E27FC236}">
              <a16:creationId xmlns:a16="http://schemas.microsoft.com/office/drawing/2014/main" xmlns="" id="{7D561254-4C18-4A2E-965D-B1B9E73BC7B1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989" name="Text Box 1680">
          <a:extLst>
            <a:ext uri="{FF2B5EF4-FFF2-40B4-BE49-F238E27FC236}">
              <a16:creationId xmlns:a16="http://schemas.microsoft.com/office/drawing/2014/main" xmlns="" id="{B38CC293-9E95-4716-835A-DE19BD3B1FCC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990" name="Text Box 1681">
          <a:extLst>
            <a:ext uri="{FF2B5EF4-FFF2-40B4-BE49-F238E27FC236}">
              <a16:creationId xmlns:a16="http://schemas.microsoft.com/office/drawing/2014/main" xmlns="" id="{EE1F4725-84E6-4329-A4C6-7D0B233D2972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991" name="Text Box 1682">
          <a:extLst>
            <a:ext uri="{FF2B5EF4-FFF2-40B4-BE49-F238E27FC236}">
              <a16:creationId xmlns:a16="http://schemas.microsoft.com/office/drawing/2014/main" xmlns="" id="{BDFAC68E-0B7A-4C67-8AB1-EB23272FC483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992" name="Text Box 1683">
          <a:extLst>
            <a:ext uri="{FF2B5EF4-FFF2-40B4-BE49-F238E27FC236}">
              <a16:creationId xmlns:a16="http://schemas.microsoft.com/office/drawing/2014/main" xmlns="" id="{3407140B-A242-4BA9-9AA5-7D7F445088CE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993" name="Text Box 1684">
          <a:extLst>
            <a:ext uri="{FF2B5EF4-FFF2-40B4-BE49-F238E27FC236}">
              <a16:creationId xmlns:a16="http://schemas.microsoft.com/office/drawing/2014/main" xmlns="" id="{A60A8900-1ABA-4EEE-9642-82A1145CC292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994" name="Text Box 1685">
          <a:extLst>
            <a:ext uri="{FF2B5EF4-FFF2-40B4-BE49-F238E27FC236}">
              <a16:creationId xmlns:a16="http://schemas.microsoft.com/office/drawing/2014/main" xmlns="" id="{A9D0942F-70E0-4803-8DF9-10BC860523E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2995" name="Text Box 1686">
          <a:extLst>
            <a:ext uri="{FF2B5EF4-FFF2-40B4-BE49-F238E27FC236}">
              <a16:creationId xmlns:a16="http://schemas.microsoft.com/office/drawing/2014/main" xmlns="" id="{0D147E75-23E6-4833-95B8-BD190017EC8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2996" name="Text Box 1687">
          <a:extLst>
            <a:ext uri="{FF2B5EF4-FFF2-40B4-BE49-F238E27FC236}">
              <a16:creationId xmlns:a16="http://schemas.microsoft.com/office/drawing/2014/main" xmlns="" id="{5E25EC19-5D80-44C7-B123-BAE7E1778710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997" name="Text Box 1688">
          <a:extLst>
            <a:ext uri="{FF2B5EF4-FFF2-40B4-BE49-F238E27FC236}">
              <a16:creationId xmlns:a16="http://schemas.microsoft.com/office/drawing/2014/main" xmlns="" id="{B8C21212-FD0D-4A45-B1C1-96CA4987F06C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998" name="Text Box 1689">
          <a:extLst>
            <a:ext uri="{FF2B5EF4-FFF2-40B4-BE49-F238E27FC236}">
              <a16:creationId xmlns:a16="http://schemas.microsoft.com/office/drawing/2014/main" xmlns="" id="{D75408ED-9CB7-45C8-88F4-68E2895AC0FC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2999" name="Text Box 1690">
          <a:extLst>
            <a:ext uri="{FF2B5EF4-FFF2-40B4-BE49-F238E27FC236}">
              <a16:creationId xmlns:a16="http://schemas.microsoft.com/office/drawing/2014/main" xmlns="" id="{414F1DC7-AE36-4814-B4E4-F697F9D1AAE1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000" name="Text Box 1691">
          <a:extLst>
            <a:ext uri="{FF2B5EF4-FFF2-40B4-BE49-F238E27FC236}">
              <a16:creationId xmlns:a16="http://schemas.microsoft.com/office/drawing/2014/main" xmlns="" id="{49F4068A-ED61-4D56-8ECC-8A426BDE8234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3001" name="Text Box 1692">
          <a:extLst>
            <a:ext uri="{FF2B5EF4-FFF2-40B4-BE49-F238E27FC236}">
              <a16:creationId xmlns:a16="http://schemas.microsoft.com/office/drawing/2014/main" xmlns="" id="{0046AC53-F86F-44A3-B5F4-04B214B30918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3002" name="Text Box 1693">
          <a:extLst>
            <a:ext uri="{FF2B5EF4-FFF2-40B4-BE49-F238E27FC236}">
              <a16:creationId xmlns:a16="http://schemas.microsoft.com/office/drawing/2014/main" xmlns="" id="{F8133ACE-6DAF-42E2-A36B-E85AB4559788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3003" name="Text Box 1694">
          <a:extLst>
            <a:ext uri="{FF2B5EF4-FFF2-40B4-BE49-F238E27FC236}">
              <a16:creationId xmlns:a16="http://schemas.microsoft.com/office/drawing/2014/main" xmlns="" id="{08B76B46-07C0-4DA3-BAEE-DC0122EBDCDB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3004" name="Text Box 1695">
          <a:extLst>
            <a:ext uri="{FF2B5EF4-FFF2-40B4-BE49-F238E27FC236}">
              <a16:creationId xmlns:a16="http://schemas.microsoft.com/office/drawing/2014/main" xmlns="" id="{DB92E085-09CD-41F9-A618-4917E54AE3A0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3005" name="Text Box 1696">
          <a:extLst>
            <a:ext uri="{FF2B5EF4-FFF2-40B4-BE49-F238E27FC236}">
              <a16:creationId xmlns:a16="http://schemas.microsoft.com/office/drawing/2014/main" xmlns="" id="{CB92191B-F91F-4E3E-BBA1-45CF51606547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3006" name="Text Box 1697">
          <a:extLst>
            <a:ext uri="{FF2B5EF4-FFF2-40B4-BE49-F238E27FC236}">
              <a16:creationId xmlns:a16="http://schemas.microsoft.com/office/drawing/2014/main" xmlns="" id="{F6457293-B422-4F5E-97B0-B0033C39703D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3007" name="Text Box 1698">
          <a:extLst>
            <a:ext uri="{FF2B5EF4-FFF2-40B4-BE49-F238E27FC236}">
              <a16:creationId xmlns:a16="http://schemas.microsoft.com/office/drawing/2014/main" xmlns="" id="{BB203406-5EEC-437B-A79B-C92D88B71CC6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3008" name="Text Box 1699">
          <a:extLst>
            <a:ext uri="{FF2B5EF4-FFF2-40B4-BE49-F238E27FC236}">
              <a16:creationId xmlns:a16="http://schemas.microsoft.com/office/drawing/2014/main" xmlns="" id="{0DA6C67B-86FB-4635-A08C-09BA7DEFC608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3009" name="Text Box 1700">
          <a:extLst>
            <a:ext uri="{FF2B5EF4-FFF2-40B4-BE49-F238E27FC236}">
              <a16:creationId xmlns:a16="http://schemas.microsoft.com/office/drawing/2014/main" xmlns="" id="{8D6151E3-8F69-4C24-80AC-E472B9FA1BBC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3010" name="Text Box 1701">
          <a:extLst>
            <a:ext uri="{FF2B5EF4-FFF2-40B4-BE49-F238E27FC236}">
              <a16:creationId xmlns:a16="http://schemas.microsoft.com/office/drawing/2014/main" xmlns="" id="{6390D111-423D-4407-A2FF-899E3D533102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3011" name="Text Box 1702">
          <a:extLst>
            <a:ext uri="{FF2B5EF4-FFF2-40B4-BE49-F238E27FC236}">
              <a16:creationId xmlns:a16="http://schemas.microsoft.com/office/drawing/2014/main" xmlns="" id="{59C7E527-FD9B-466A-AF7B-CF455065D340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3012" name="Text Box 1703">
          <a:extLst>
            <a:ext uri="{FF2B5EF4-FFF2-40B4-BE49-F238E27FC236}">
              <a16:creationId xmlns:a16="http://schemas.microsoft.com/office/drawing/2014/main" xmlns="" id="{F46F4CE8-EA03-4737-BFB3-4F317BE1FA37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3013" name="Text Box 1704">
          <a:extLst>
            <a:ext uri="{FF2B5EF4-FFF2-40B4-BE49-F238E27FC236}">
              <a16:creationId xmlns:a16="http://schemas.microsoft.com/office/drawing/2014/main" xmlns="" id="{0DE4338F-6EF2-41FD-A017-CAE9D8D58D83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3014" name="Text Box 1705">
          <a:extLst>
            <a:ext uri="{FF2B5EF4-FFF2-40B4-BE49-F238E27FC236}">
              <a16:creationId xmlns:a16="http://schemas.microsoft.com/office/drawing/2014/main" xmlns="" id="{C8264C63-09D2-41ED-9192-639068D70CA1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3015" name="Text Box 1706">
          <a:extLst>
            <a:ext uri="{FF2B5EF4-FFF2-40B4-BE49-F238E27FC236}">
              <a16:creationId xmlns:a16="http://schemas.microsoft.com/office/drawing/2014/main" xmlns="" id="{0F261DBA-0B3A-4A4E-82BE-2F6F9993813A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3016" name="Text Box 1707">
          <a:extLst>
            <a:ext uri="{FF2B5EF4-FFF2-40B4-BE49-F238E27FC236}">
              <a16:creationId xmlns:a16="http://schemas.microsoft.com/office/drawing/2014/main" xmlns="" id="{D8EBE995-6BC3-48EC-BA8B-BA45119F8978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3017" name="Text Box 1708">
          <a:extLst>
            <a:ext uri="{FF2B5EF4-FFF2-40B4-BE49-F238E27FC236}">
              <a16:creationId xmlns:a16="http://schemas.microsoft.com/office/drawing/2014/main" xmlns="" id="{534F1EA4-BB07-47E5-ADD2-49B789925A11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3018" name="Text Box 1709">
          <a:extLst>
            <a:ext uri="{FF2B5EF4-FFF2-40B4-BE49-F238E27FC236}">
              <a16:creationId xmlns:a16="http://schemas.microsoft.com/office/drawing/2014/main" xmlns="" id="{3A2A1884-0E38-435D-A085-4702DBA1EBCA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3019" name="Text Box 1710">
          <a:extLst>
            <a:ext uri="{FF2B5EF4-FFF2-40B4-BE49-F238E27FC236}">
              <a16:creationId xmlns:a16="http://schemas.microsoft.com/office/drawing/2014/main" xmlns="" id="{C5FEA2DE-DBDF-485E-B32E-591A1D518C38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3020" name="Text Box 1711">
          <a:extLst>
            <a:ext uri="{FF2B5EF4-FFF2-40B4-BE49-F238E27FC236}">
              <a16:creationId xmlns:a16="http://schemas.microsoft.com/office/drawing/2014/main" xmlns="" id="{E13FBC90-707F-4879-8C00-141916D7228A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3021" name="Text Box 1712">
          <a:extLst>
            <a:ext uri="{FF2B5EF4-FFF2-40B4-BE49-F238E27FC236}">
              <a16:creationId xmlns:a16="http://schemas.microsoft.com/office/drawing/2014/main" xmlns="" id="{EF8F15D7-34FA-43D9-A1A4-B055FED61D4A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3022" name="Text Box 1713">
          <a:extLst>
            <a:ext uri="{FF2B5EF4-FFF2-40B4-BE49-F238E27FC236}">
              <a16:creationId xmlns:a16="http://schemas.microsoft.com/office/drawing/2014/main" xmlns="" id="{4F0375EC-5A86-41CF-A5E6-FD6DE7BD130D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3023" name="Text Box 1714">
          <a:extLst>
            <a:ext uri="{FF2B5EF4-FFF2-40B4-BE49-F238E27FC236}">
              <a16:creationId xmlns:a16="http://schemas.microsoft.com/office/drawing/2014/main" xmlns="" id="{D01DB4AE-39E8-4A6A-9CE0-74DC1C38018D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3024" name="Text Box 1715">
          <a:extLst>
            <a:ext uri="{FF2B5EF4-FFF2-40B4-BE49-F238E27FC236}">
              <a16:creationId xmlns:a16="http://schemas.microsoft.com/office/drawing/2014/main" xmlns="" id="{71BB33D3-C2B8-44F5-B07F-CC74FDBA4E58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3025" name="Text Box 1716">
          <a:extLst>
            <a:ext uri="{FF2B5EF4-FFF2-40B4-BE49-F238E27FC236}">
              <a16:creationId xmlns:a16="http://schemas.microsoft.com/office/drawing/2014/main" xmlns="" id="{E1D7DE15-290D-485F-AC1A-98522D456FF2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3026" name="Text Box 1717">
          <a:extLst>
            <a:ext uri="{FF2B5EF4-FFF2-40B4-BE49-F238E27FC236}">
              <a16:creationId xmlns:a16="http://schemas.microsoft.com/office/drawing/2014/main" xmlns="" id="{F45CA52A-9F5F-4CD5-8D49-9B4D3415FA16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3027" name="Text Box 1718">
          <a:extLst>
            <a:ext uri="{FF2B5EF4-FFF2-40B4-BE49-F238E27FC236}">
              <a16:creationId xmlns:a16="http://schemas.microsoft.com/office/drawing/2014/main" xmlns="" id="{B5E99948-0591-4782-84F1-C62A556D42E4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3028" name="Text Box 1719">
          <a:extLst>
            <a:ext uri="{FF2B5EF4-FFF2-40B4-BE49-F238E27FC236}">
              <a16:creationId xmlns:a16="http://schemas.microsoft.com/office/drawing/2014/main" xmlns="" id="{9F9C26AC-E182-440A-A01D-5BD5FD232997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3029" name="Text Box 1720">
          <a:extLst>
            <a:ext uri="{FF2B5EF4-FFF2-40B4-BE49-F238E27FC236}">
              <a16:creationId xmlns:a16="http://schemas.microsoft.com/office/drawing/2014/main" xmlns="" id="{BC72B310-F253-4109-AA31-C269F6CDD28A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3030" name="Text Box 1721">
          <a:extLst>
            <a:ext uri="{FF2B5EF4-FFF2-40B4-BE49-F238E27FC236}">
              <a16:creationId xmlns:a16="http://schemas.microsoft.com/office/drawing/2014/main" xmlns="" id="{2ECBAC2D-A248-4CC7-9D8A-216656B3521D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3031" name="Text Box 1722">
          <a:extLst>
            <a:ext uri="{FF2B5EF4-FFF2-40B4-BE49-F238E27FC236}">
              <a16:creationId xmlns:a16="http://schemas.microsoft.com/office/drawing/2014/main" xmlns="" id="{17C9D941-4377-4A69-AD7E-A08B791875BD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3032" name="Text Box 1723">
          <a:extLst>
            <a:ext uri="{FF2B5EF4-FFF2-40B4-BE49-F238E27FC236}">
              <a16:creationId xmlns:a16="http://schemas.microsoft.com/office/drawing/2014/main" xmlns="" id="{136DD7B5-333F-4FB2-8154-4F83BB59B192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3033" name="Text Box 1724">
          <a:extLst>
            <a:ext uri="{FF2B5EF4-FFF2-40B4-BE49-F238E27FC236}">
              <a16:creationId xmlns:a16="http://schemas.microsoft.com/office/drawing/2014/main" xmlns="" id="{71157AD9-3552-44D0-9201-F5C7D6A26940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3034" name="Text Box 1725">
          <a:extLst>
            <a:ext uri="{FF2B5EF4-FFF2-40B4-BE49-F238E27FC236}">
              <a16:creationId xmlns:a16="http://schemas.microsoft.com/office/drawing/2014/main" xmlns="" id="{FE42D437-BAD7-428A-AD3C-1BB2CB076144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3035" name="Text Box 1726">
          <a:extLst>
            <a:ext uri="{FF2B5EF4-FFF2-40B4-BE49-F238E27FC236}">
              <a16:creationId xmlns:a16="http://schemas.microsoft.com/office/drawing/2014/main" xmlns="" id="{E694BA2E-F9B9-4B82-823C-283D2722F885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3036" name="Text Box 1727">
          <a:extLst>
            <a:ext uri="{FF2B5EF4-FFF2-40B4-BE49-F238E27FC236}">
              <a16:creationId xmlns:a16="http://schemas.microsoft.com/office/drawing/2014/main" xmlns="" id="{5586DE33-5D27-418F-BBD6-A64D81AC39F8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3037" name="Text Box 1728">
          <a:extLst>
            <a:ext uri="{FF2B5EF4-FFF2-40B4-BE49-F238E27FC236}">
              <a16:creationId xmlns:a16="http://schemas.microsoft.com/office/drawing/2014/main" xmlns="" id="{D723B115-A5CB-49DE-B48C-9775D36F1150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3038" name="Text Box 1729">
          <a:extLst>
            <a:ext uri="{FF2B5EF4-FFF2-40B4-BE49-F238E27FC236}">
              <a16:creationId xmlns:a16="http://schemas.microsoft.com/office/drawing/2014/main" xmlns="" id="{C759B336-8E4C-48C5-9125-3CD980852AAC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3039" name="Text Box 1730">
          <a:extLst>
            <a:ext uri="{FF2B5EF4-FFF2-40B4-BE49-F238E27FC236}">
              <a16:creationId xmlns:a16="http://schemas.microsoft.com/office/drawing/2014/main" xmlns="" id="{54552087-8E4A-4A60-91B7-3E6866C7E55A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3040" name="Text Box 1731">
          <a:extLst>
            <a:ext uri="{FF2B5EF4-FFF2-40B4-BE49-F238E27FC236}">
              <a16:creationId xmlns:a16="http://schemas.microsoft.com/office/drawing/2014/main" xmlns="" id="{B847A3BB-A0C8-4FF5-B835-558B7C020A97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3041" name="Text Box 1732">
          <a:extLst>
            <a:ext uri="{FF2B5EF4-FFF2-40B4-BE49-F238E27FC236}">
              <a16:creationId xmlns:a16="http://schemas.microsoft.com/office/drawing/2014/main" xmlns="" id="{E072DF84-B6C7-41A3-BFA2-89EC287B6D02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3042" name="Text Box 1733">
          <a:extLst>
            <a:ext uri="{FF2B5EF4-FFF2-40B4-BE49-F238E27FC236}">
              <a16:creationId xmlns:a16="http://schemas.microsoft.com/office/drawing/2014/main" xmlns="" id="{AF487DCE-6267-4D75-8CBE-4AB000C0441E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3043" name="Text Box 1734">
          <a:extLst>
            <a:ext uri="{FF2B5EF4-FFF2-40B4-BE49-F238E27FC236}">
              <a16:creationId xmlns:a16="http://schemas.microsoft.com/office/drawing/2014/main" xmlns="" id="{75BB758E-BD70-49EF-AAF8-42139BAE868D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3044" name="Text Box 1735">
          <a:extLst>
            <a:ext uri="{FF2B5EF4-FFF2-40B4-BE49-F238E27FC236}">
              <a16:creationId xmlns:a16="http://schemas.microsoft.com/office/drawing/2014/main" xmlns="" id="{129233B7-6A34-46E4-99D9-5C29308B95CF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3045" name="Text Box 1736">
          <a:extLst>
            <a:ext uri="{FF2B5EF4-FFF2-40B4-BE49-F238E27FC236}">
              <a16:creationId xmlns:a16="http://schemas.microsoft.com/office/drawing/2014/main" xmlns="" id="{674F4A00-8DCB-442B-8C45-08A1DB8B686F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3046" name="Text Box 1737">
          <a:extLst>
            <a:ext uri="{FF2B5EF4-FFF2-40B4-BE49-F238E27FC236}">
              <a16:creationId xmlns:a16="http://schemas.microsoft.com/office/drawing/2014/main" xmlns="" id="{F656968E-94E6-41E7-A189-43AE915F9480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3047" name="Text Box 1738">
          <a:extLst>
            <a:ext uri="{FF2B5EF4-FFF2-40B4-BE49-F238E27FC236}">
              <a16:creationId xmlns:a16="http://schemas.microsoft.com/office/drawing/2014/main" xmlns="" id="{ED0B45B5-A29B-4EFA-978A-F30B16B9134E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3048" name="Text Box 1739">
          <a:extLst>
            <a:ext uri="{FF2B5EF4-FFF2-40B4-BE49-F238E27FC236}">
              <a16:creationId xmlns:a16="http://schemas.microsoft.com/office/drawing/2014/main" xmlns="" id="{F5FC1079-6D6C-4ECD-8D16-1BB5BE23ED87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3049" name="Text Box 1740">
          <a:extLst>
            <a:ext uri="{FF2B5EF4-FFF2-40B4-BE49-F238E27FC236}">
              <a16:creationId xmlns:a16="http://schemas.microsoft.com/office/drawing/2014/main" xmlns="" id="{FE71A2C0-A10D-40AB-A42A-84B0B615C056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3050" name="Text Box 1741">
          <a:extLst>
            <a:ext uri="{FF2B5EF4-FFF2-40B4-BE49-F238E27FC236}">
              <a16:creationId xmlns:a16="http://schemas.microsoft.com/office/drawing/2014/main" xmlns="" id="{24BDC74C-1DD2-4D99-898D-42469EB00147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3051" name="Text Box 1742">
          <a:extLst>
            <a:ext uri="{FF2B5EF4-FFF2-40B4-BE49-F238E27FC236}">
              <a16:creationId xmlns:a16="http://schemas.microsoft.com/office/drawing/2014/main" xmlns="" id="{0EB9EA0D-2A96-41F1-8AC5-E5AE54A1350A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3052" name="Text Box 1743">
          <a:extLst>
            <a:ext uri="{FF2B5EF4-FFF2-40B4-BE49-F238E27FC236}">
              <a16:creationId xmlns:a16="http://schemas.microsoft.com/office/drawing/2014/main" xmlns="" id="{3290FC7D-1257-4B3B-B731-4A2AAD17C6A6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3053" name="Text Box 1744">
          <a:extLst>
            <a:ext uri="{FF2B5EF4-FFF2-40B4-BE49-F238E27FC236}">
              <a16:creationId xmlns:a16="http://schemas.microsoft.com/office/drawing/2014/main" xmlns="" id="{D7DC22C8-808A-4C4B-95AA-F8B1E3C41566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3054" name="Text Box 1745">
          <a:extLst>
            <a:ext uri="{FF2B5EF4-FFF2-40B4-BE49-F238E27FC236}">
              <a16:creationId xmlns:a16="http://schemas.microsoft.com/office/drawing/2014/main" xmlns="" id="{DA6D5570-406A-49CE-B973-E7848ABC70C2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3055" name="Text Box 1746">
          <a:extLst>
            <a:ext uri="{FF2B5EF4-FFF2-40B4-BE49-F238E27FC236}">
              <a16:creationId xmlns:a16="http://schemas.microsoft.com/office/drawing/2014/main" xmlns="" id="{0E0FFC8A-7936-4BC5-9333-714DC042BA93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3056" name="Text Box 1747">
          <a:extLst>
            <a:ext uri="{FF2B5EF4-FFF2-40B4-BE49-F238E27FC236}">
              <a16:creationId xmlns:a16="http://schemas.microsoft.com/office/drawing/2014/main" xmlns="" id="{31F03B17-0985-49C0-8822-26DA564370F4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3057" name="Text Box 1748">
          <a:extLst>
            <a:ext uri="{FF2B5EF4-FFF2-40B4-BE49-F238E27FC236}">
              <a16:creationId xmlns:a16="http://schemas.microsoft.com/office/drawing/2014/main" xmlns="" id="{E27C4D0C-FF79-4156-90DF-3813716B2494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3058" name="Text Box 1749">
          <a:extLst>
            <a:ext uri="{FF2B5EF4-FFF2-40B4-BE49-F238E27FC236}">
              <a16:creationId xmlns:a16="http://schemas.microsoft.com/office/drawing/2014/main" xmlns="" id="{26E14DD2-4D28-4DA3-857B-3C70CD4AE6B3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3059" name="Text Box 1750">
          <a:extLst>
            <a:ext uri="{FF2B5EF4-FFF2-40B4-BE49-F238E27FC236}">
              <a16:creationId xmlns:a16="http://schemas.microsoft.com/office/drawing/2014/main" xmlns="" id="{09EF2C32-F292-4C78-8FAB-FABA953059B3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3060" name="Text Box 1751">
          <a:extLst>
            <a:ext uri="{FF2B5EF4-FFF2-40B4-BE49-F238E27FC236}">
              <a16:creationId xmlns:a16="http://schemas.microsoft.com/office/drawing/2014/main" xmlns="" id="{AF2E2DD4-1779-4497-B9EC-1E5E74EE79EC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3061" name="Text Box 1752">
          <a:extLst>
            <a:ext uri="{FF2B5EF4-FFF2-40B4-BE49-F238E27FC236}">
              <a16:creationId xmlns:a16="http://schemas.microsoft.com/office/drawing/2014/main" xmlns="" id="{04D850C4-7B56-4F43-9504-08757EB7463E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3062" name="Text Box 1753">
          <a:extLst>
            <a:ext uri="{FF2B5EF4-FFF2-40B4-BE49-F238E27FC236}">
              <a16:creationId xmlns:a16="http://schemas.microsoft.com/office/drawing/2014/main" xmlns="" id="{6F6ABB6E-F041-406A-84E8-B7B59B51058A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3063" name="Text Box 1754">
          <a:extLst>
            <a:ext uri="{FF2B5EF4-FFF2-40B4-BE49-F238E27FC236}">
              <a16:creationId xmlns:a16="http://schemas.microsoft.com/office/drawing/2014/main" xmlns="" id="{D6EEB9F5-04FF-413C-8468-0FE6D6FA483A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3064" name="Text Box 1755">
          <a:extLst>
            <a:ext uri="{FF2B5EF4-FFF2-40B4-BE49-F238E27FC236}">
              <a16:creationId xmlns:a16="http://schemas.microsoft.com/office/drawing/2014/main" xmlns="" id="{6C7E7B1C-DEB9-4B12-9453-5533FC9C1575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065" name="Text Box 1756">
          <a:extLst>
            <a:ext uri="{FF2B5EF4-FFF2-40B4-BE49-F238E27FC236}">
              <a16:creationId xmlns:a16="http://schemas.microsoft.com/office/drawing/2014/main" xmlns="" id="{2B4F6DB8-3A0A-4B4C-B706-51617A27016F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066" name="Text Box 1757">
          <a:extLst>
            <a:ext uri="{FF2B5EF4-FFF2-40B4-BE49-F238E27FC236}">
              <a16:creationId xmlns:a16="http://schemas.microsoft.com/office/drawing/2014/main" xmlns="" id="{5F370F35-EE62-41D4-A225-82FD4BA4F347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067" name="Text Box 1758">
          <a:extLst>
            <a:ext uri="{FF2B5EF4-FFF2-40B4-BE49-F238E27FC236}">
              <a16:creationId xmlns:a16="http://schemas.microsoft.com/office/drawing/2014/main" xmlns="" id="{3D1A17D1-FF74-40C7-843E-3161A6405252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068" name="Text Box 1759">
          <a:extLst>
            <a:ext uri="{FF2B5EF4-FFF2-40B4-BE49-F238E27FC236}">
              <a16:creationId xmlns:a16="http://schemas.microsoft.com/office/drawing/2014/main" xmlns="" id="{7BE0690E-7A62-4120-8E15-5B578EF233EB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069" name="Text Box 1760">
          <a:extLst>
            <a:ext uri="{FF2B5EF4-FFF2-40B4-BE49-F238E27FC236}">
              <a16:creationId xmlns:a16="http://schemas.microsoft.com/office/drawing/2014/main" xmlns="" id="{DB7B90ED-9766-4B19-AD43-3E4E498C1449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070" name="Text Box 1761">
          <a:extLst>
            <a:ext uri="{FF2B5EF4-FFF2-40B4-BE49-F238E27FC236}">
              <a16:creationId xmlns:a16="http://schemas.microsoft.com/office/drawing/2014/main" xmlns="" id="{3667F366-3498-4D11-AF45-4650D64DCAB7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071" name="Text Box 1762">
          <a:extLst>
            <a:ext uri="{FF2B5EF4-FFF2-40B4-BE49-F238E27FC236}">
              <a16:creationId xmlns:a16="http://schemas.microsoft.com/office/drawing/2014/main" xmlns="" id="{5DE582D6-89B3-43DC-B78D-54DAA4D88145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072" name="Text Box 1763">
          <a:extLst>
            <a:ext uri="{FF2B5EF4-FFF2-40B4-BE49-F238E27FC236}">
              <a16:creationId xmlns:a16="http://schemas.microsoft.com/office/drawing/2014/main" xmlns="" id="{FD4F695F-4DC7-4D58-811D-F339E7E5E162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073" name="Text Box 1764">
          <a:extLst>
            <a:ext uri="{FF2B5EF4-FFF2-40B4-BE49-F238E27FC236}">
              <a16:creationId xmlns:a16="http://schemas.microsoft.com/office/drawing/2014/main" xmlns="" id="{52DA992E-1F34-40CC-8A6D-D1DAA37A47E1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074" name="Text Box 1765">
          <a:extLst>
            <a:ext uri="{FF2B5EF4-FFF2-40B4-BE49-F238E27FC236}">
              <a16:creationId xmlns:a16="http://schemas.microsoft.com/office/drawing/2014/main" xmlns="" id="{F7486029-1FC0-495B-A05D-34FED001D436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075" name="Text Box 1766">
          <a:extLst>
            <a:ext uri="{FF2B5EF4-FFF2-40B4-BE49-F238E27FC236}">
              <a16:creationId xmlns:a16="http://schemas.microsoft.com/office/drawing/2014/main" xmlns="" id="{E991536C-D1E2-4E2C-903C-FAD96612955B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076" name="Text Box 1767">
          <a:extLst>
            <a:ext uri="{FF2B5EF4-FFF2-40B4-BE49-F238E27FC236}">
              <a16:creationId xmlns:a16="http://schemas.microsoft.com/office/drawing/2014/main" xmlns="" id="{27D73A9F-6F3C-4202-9D6B-5F02AEB0FC5B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077" name="Text Box 1768">
          <a:extLst>
            <a:ext uri="{FF2B5EF4-FFF2-40B4-BE49-F238E27FC236}">
              <a16:creationId xmlns:a16="http://schemas.microsoft.com/office/drawing/2014/main" xmlns="" id="{62937D63-000A-4705-84BC-6F084BE635A2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078" name="Text Box 1769">
          <a:extLst>
            <a:ext uri="{FF2B5EF4-FFF2-40B4-BE49-F238E27FC236}">
              <a16:creationId xmlns:a16="http://schemas.microsoft.com/office/drawing/2014/main" xmlns="" id="{61706052-95A1-4AB7-860C-031C8573F901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079" name="Text Box 1770">
          <a:extLst>
            <a:ext uri="{FF2B5EF4-FFF2-40B4-BE49-F238E27FC236}">
              <a16:creationId xmlns:a16="http://schemas.microsoft.com/office/drawing/2014/main" xmlns="" id="{DD0CD7F3-3FBD-4D3F-A6A8-D70277ED5247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080" name="Text Box 1771">
          <a:extLst>
            <a:ext uri="{FF2B5EF4-FFF2-40B4-BE49-F238E27FC236}">
              <a16:creationId xmlns:a16="http://schemas.microsoft.com/office/drawing/2014/main" xmlns="" id="{6EA5E2CD-C752-4295-9982-E8D4765F034A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081" name="Text Box 1772">
          <a:extLst>
            <a:ext uri="{FF2B5EF4-FFF2-40B4-BE49-F238E27FC236}">
              <a16:creationId xmlns:a16="http://schemas.microsoft.com/office/drawing/2014/main" xmlns="" id="{34FD812A-BA17-4F4A-9824-950D813BAA0B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082" name="Text Box 1773">
          <a:extLst>
            <a:ext uri="{FF2B5EF4-FFF2-40B4-BE49-F238E27FC236}">
              <a16:creationId xmlns:a16="http://schemas.microsoft.com/office/drawing/2014/main" xmlns="" id="{18773C05-C116-40D0-9DD3-4F53B5D1B3C5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083" name="Text Box 1774">
          <a:extLst>
            <a:ext uri="{FF2B5EF4-FFF2-40B4-BE49-F238E27FC236}">
              <a16:creationId xmlns:a16="http://schemas.microsoft.com/office/drawing/2014/main" xmlns="" id="{F79D2653-7A40-418D-B42C-A59F474A19E3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084" name="Text Box 1775">
          <a:extLst>
            <a:ext uri="{FF2B5EF4-FFF2-40B4-BE49-F238E27FC236}">
              <a16:creationId xmlns:a16="http://schemas.microsoft.com/office/drawing/2014/main" xmlns="" id="{62698262-61DC-4136-83E9-67CC42017F73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085" name="Text Box 1776">
          <a:extLst>
            <a:ext uri="{FF2B5EF4-FFF2-40B4-BE49-F238E27FC236}">
              <a16:creationId xmlns:a16="http://schemas.microsoft.com/office/drawing/2014/main" xmlns="" id="{4F94CE25-7006-4C7E-AEF7-861AAB824716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086" name="Text Box 1777">
          <a:extLst>
            <a:ext uri="{FF2B5EF4-FFF2-40B4-BE49-F238E27FC236}">
              <a16:creationId xmlns:a16="http://schemas.microsoft.com/office/drawing/2014/main" xmlns="" id="{FBB2170B-537D-4E27-9D7E-0B7736C338AE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087" name="Text Box 1778">
          <a:extLst>
            <a:ext uri="{FF2B5EF4-FFF2-40B4-BE49-F238E27FC236}">
              <a16:creationId xmlns:a16="http://schemas.microsoft.com/office/drawing/2014/main" xmlns="" id="{23759EB3-8CBD-4EA3-9105-3D485566FFE4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088" name="Text Box 1779">
          <a:extLst>
            <a:ext uri="{FF2B5EF4-FFF2-40B4-BE49-F238E27FC236}">
              <a16:creationId xmlns:a16="http://schemas.microsoft.com/office/drawing/2014/main" xmlns="" id="{2B584F6A-E625-40C5-A847-AAA1DEF5C30C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089" name="Text Box 1780">
          <a:extLst>
            <a:ext uri="{FF2B5EF4-FFF2-40B4-BE49-F238E27FC236}">
              <a16:creationId xmlns:a16="http://schemas.microsoft.com/office/drawing/2014/main" xmlns="" id="{EB4AAA8A-6158-47DF-99CF-B7242C90343C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090" name="Text Box 1781">
          <a:extLst>
            <a:ext uri="{FF2B5EF4-FFF2-40B4-BE49-F238E27FC236}">
              <a16:creationId xmlns:a16="http://schemas.microsoft.com/office/drawing/2014/main" xmlns="" id="{D3B709B2-592B-4523-9A39-CF0940C96763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091" name="Text Box 1782">
          <a:extLst>
            <a:ext uri="{FF2B5EF4-FFF2-40B4-BE49-F238E27FC236}">
              <a16:creationId xmlns:a16="http://schemas.microsoft.com/office/drawing/2014/main" xmlns="" id="{ABCCEC57-71EC-4280-AD58-443AA23FD1DF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092" name="Text Box 1783">
          <a:extLst>
            <a:ext uri="{FF2B5EF4-FFF2-40B4-BE49-F238E27FC236}">
              <a16:creationId xmlns:a16="http://schemas.microsoft.com/office/drawing/2014/main" xmlns="" id="{5DDF6049-2F80-4C74-B77D-9F1B86B07D07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093" name="Text Box 1784">
          <a:extLst>
            <a:ext uri="{FF2B5EF4-FFF2-40B4-BE49-F238E27FC236}">
              <a16:creationId xmlns:a16="http://schemas.microsoft.com/office/drawing/2014/main" xmlns="" id="{FB27E94C-9F3C-42A2-AE0E-223FAF4199E3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094" name="Text Box 1785">
          <a:extLst>
            <a:ext uri="{FF2B5EF4-FFF2-40B4-BE49-F238E27FC236}">
              <a16:creationId xmlns:a16="http://schemas.microsoft.com/office/drawing/2014/main" xmlns="" id="{FEE47303-C318-4458-9F40-9CEA88B3A42B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095" name="Text Box 1786">
          <a:extLst>
            <a:ext uri="{FF2B5EF4-FFF2-40B4-BE49-F238E27FC236}">
              <a16:creationId xmlns:a16="http://schemas.microsoft.com/office/drawing/2014/main" xmlns="" id="{2A5A8AE5-B39A-44F7-8050-0B38EE7D47B8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096" name="Text Box 1787">
          <a:extLst>
            <a:ext uri="{FF2B5EF4-FFF2-40B4-BE49-F238E27FC236}">
              <a16:creationId xmlns:a16="http://schemas.microsoft.com/office/drawing/2014/main" xmlns="" id="{2F1F8138-4C9B-464B-A627-8D0A315A5032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097" name="Text Box 1788">
          <a:extLst>
            <a:ext uri="{FF2B5EF4-FFF2-40B4-BE49-F238E27FC236}">
              <a16:creationId xmlns:a16="http://schemas.microsoft.com/office/drawing/2014/main" xmlns="" id="{B8A4C0E8-F648-4E6F-9DF2-AAFABAA5D08A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098" name="Text Box 1789">
          <a:extLst>
            <a:ext uri="{FF2B5EF4-FFF2-40B4-BE49-F238E27FC236}">
              <a16:creationId xmlns:a16="http://schemas.microsoft.com/office/drawing/2014/main" xmlns="" id="{812B2EA8-A067-4324-AF90-A6C37DAB744C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099" name="Text Box 1790">
          <a:extLst>
            <a:ext uri="{FF2B5EF4-FFF2-40B4-BE49-F238E27FC236}">
              <a16:creationId xmlns:a16="http://schemas.microsoft.com/office/drawing/2014/main" xmlns="" id="{12089A05-80F5-4357-8A34-D781AD7A31DB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100" name="Text Box 1791">
          <a:extLst>
            <a:ext uri="{FF2B5EF4-FFF2-40B4-BE49-F238E27FC236}">
              <a16:creationId xmlns:a16="http://schemas.microsoft.com/office/drawing/2014/main" xmlns="" id="{05FB547D-4DCD-44A7-9573-137E392C0EB2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101" name="Text Box 1792">
          <a:extLst>
            <a:ext uri="{FF2B5EF4-FFF2-40B4-BE49-F238E27FC236}">
              <a16:creationId xmlns:a16="http://schemas.microsoft.com/office/drawing/2014/main" xmlns="" id="{EE1BC2E5-649F-43F1-BEE9-56E3C2D47B0E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102" name="Text Box 1793">
          <a:extLst>
            <a:ext uri="{FF2B5EF4-FFF2-40B4-BE49-F238E27FC236}">
              <a16:creationId xmlns:a16="http://schemas.microsoft.com/office/drawing/2014/main" xmlns="" id="{8C8A1B88-77E5-4382-A0E5-E27867A2AF1B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103" name="Text Box 1794">
          <a:extLst>
            <a:ext uri="{FF2B5EF4-FFF2-40B4-BE49-F238E27FC236}">
              <a16:creationId xmlns:a16="http://schemas.microsoft.com/office/drawing/2014/main" xmlns="" id="{71919151-AB21-46DC-B380-0109830552C5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104" name="Text Box 1795">
          <a:extLst>
            <a:ext uri="{FF2B5EF4-FFF2-40B4-BE49-F238E27FC236}">
              <a16:creationId xmlns:a16="http://schemas.microsoft.com/office/drawing/2014/main" xmlns="" id="{6FEEF977-EED0-4D1D-89AE-15BB519B1887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105" name="Text Box 1796">
          <a:extLst>
            <a:ext uri="{FF2B5EF4-FFF2-40B4-BE49-F238E27FC236}">
              <a16:creationId xmlns:a16="http://schemas.microsoft.com/office/drawing/2014/main" xmlns="" id="{FCF99599-FC30-4BF8-9B16-A1C80CBC2102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106" name="Text Box 1797">
          <a:extLst>
            <a:ext uri="{FF2B5EF4-FFF2-40B4-BE49-F238E27FC236}">
              <a16:creationId xmlns:a16="http://schemas.microsoft.com/office/drawing/2014/main" xmlns="" id="{D5890E6D-14FD-4A4B-9758-5645B253CFE6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107" name="Text Box 1798">
          <a:extLst>
            <a:ext uri="{FF2B5EF4-FFF2-40B4-BE49-F238E27FC236}">
              <a16:creationId xmlns:a16="http://schemas.microsoft.com/office/drawing/2014/main" xmlns="" id="{1DA16A86-2A97-4CD3-810C-3422C99B88FF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108" name="Text Box 1799">
          <a:extLst>
            <a:ext uri="{FF2B5EF4-FFF2-40B4-BE49-F238E27FC236}">
              <a16:creationId xmlns:a16="http://schemas.microsoft.com/office/drawing/2014/main" xmlns="" id="{CED64E1A-0156-47BC-9711-C527E0651DAA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109" name="Text Box 1800">
          <a:extLst>
            <a:ext uri="{FF2B5EF4-FFF2-40B4-BE49-F238E27FC236}">
              <a16:creationId xmlns:a16="http://schemas.microsoft.com/office/drawing/2014/main" xmlns="" id="{5F924DDA-12E1-42B2-9EF5-28A5A165FE9E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110" name="Text Box 1801">
          <a:extLst>
            <a:ext uri="{FF2B5EF4-FFF2-40B4-BE49-F238E27FC236}">
              <a16:creationId xmlns:a16="http://schemas.microsoft.com/office/drawing/2014/main" xmlns="" id="{8034CE2E-E847-4BCD-B9D6-B1E5413B7CA2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111" name="Text Box 1802">
          <a:extLst>
            <a:ext uri="{FF2B5EF4-FFF2-40B4-BE49-F238E27FC236}">
              <a16:creationId xmlns:a16="http://schemas.microsoft.com/office/drawing/2014/main" xmlns="" id="{F3D67504-3D39-4E99-9A82-15455E3FC186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112" name="Text Box 1803">
          <a:extLst>
            <a:ext uri="{FF2B5EF4-FFF2-40B4-BE49-F238E27FC236}">
              <a16:creationId xmlns:a16="http://schemas.microsoft.com/office/drawing/2014/main" xmlns="" id="{2BE0798A-2C33-4266-97D6-A7C7C7D0B4A3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113" name="Text Box 1804">
          <a:extLst>
            <a:ext uri="{FF2B5EF4-FFF2-40B4-BE49-F238E27FC236}">
              <a16:creationId xmlns:a16="http://schemas.microsoft.com/office/drawing/2014/main" xmlns="" id="{E7BBF6FE-3D7A-484A-A204-083ED5A99160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114" name="Text Box 1805">
          <a:extLst>
            <a:ext uri="{FF2B5EF4-FFF2-40B4-BE49-F238E27FC236}">
              <a16:creationId xmlns:a16="http://schemas.microsoft.com/office/drawing/2014/main" xmlns="" id="{7FCA2958-99A7-4C94-8395-BD33C2850A0D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115" name="Text Box 1806">
          <a:extLst>
            <a:ext uri="{FF2B5EF4-FFF2-40B4-BE49-F238E27FC236}">
              <a16:creationId xmlns:a16="http://schemas.microsoft.com/office/drawing/2014/main" xmlns="" id="{AD1A4146-A7D7-4A25-AFC0-04EA0C2211F8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116" name="Text Box 1807">
          <a:extLst>
            <a:ext uri="{FF2B5EF4-FFF2-40B4-BE49-F238E27FC236}">
              <a16:creationId xmlns:a16="http://schemas.microsoft.com/office/drawing/2014/main" xmlns="" id="{71D5BB22-3439-497D-959F-356107DEE7C4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117" name="Text Box 1808">
          <a:extLst>
            <a:ext uri="{FF2B5EF4-FFF2-40B4-BE49-F238E27FC236}">
              <a16:creationId xmlns:a16="http://schemas.microsoft.com/office/drawing/2014/main" xmlns="" id="{EA746E19-05D4-4501-AC91-879BDDCA392F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118" name="Text Box 1809">
          <a:extLst>
            <a:ext uri="{FF2B5EF4-FFF2-40B4-BE49-F238E27FC236}">
              <a16:creationId xmlns:a16="http://schemas.microsoft.com/office/drawing/2014/main" xmlns="" id="{70E48579-2515-4B2A-9799-2283391F079E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119" name="Text Box 1810">
          <a:extLst>
            <a:ext uri="{FF2B5EF4-FFF2-40B4-BE49-F238E27FC236}">
              <a16:creationId xmlns:a16="http://schemas.microsoft.com/office/drawing/2014/main" xmlns="" id="{1CE72FE4-A82A-4C53-BD78-2B4F6D22827A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120" name="Text Box 1811">
          <a:extLst>
            <a:ext uri="{FF2B5EF4-FFF2-40B4-BE49-F238E27FC236}">
              <a16:creationId xmlns:a16="http://schemas.microsoft.com/office/drawing/2014/main" xmlns="" id="{F12F4A4B-A8F5-4EDD-8A0A-5C416C15A268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121" name="Text Box 1812">
          <a:extLst>
            <a:ext uri="{FF2B5EF4-FFF2-40B4-BE49-F238E27FC236}">
              <a16:creationId xmlns:a16="http://schemas.microsoft.com/office/drawing/2014/main" xmlns="" id="{C08ACFFB-A292-405D-9470-20A67FA88155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122" name="Text Box 1813">
          <a:extLst>
            <a:ext uri="{FF2B5EF4-FFF2-40B4-BE49-F238E27FC236}">
              <a16:creationId xmlns:a16="http://schemas.microsoft.com/office/drawing/2014/main" xmlns="" id="{9E451BAC-0E88-4F73-BE0D-48E08BD0D038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123" name="Text Box 1814">
          <a:extLst>
            <a:ext uri="{FF2B5EF4-FFF2-40B4-BE49-F238E27FC236}">
              <a16:creationId xmlns:a16="http://schemas.microsoft.com/office/drawing/2014/main" xmlns="" id="{E94FD66B-5910-4518-92EB-52E8130570F7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124" name="Text Box 1815">
          <a:extLst>
            <a:ext uri="{FF2B5EF4-FFF2-40B4-BE49-F238E27FC236}">
              <a16:creationId xmlns:a16="http://schemas.microsoft.com/office/drawing/2014/main" xmlns="" id="{980D51E2-6371-49E9-A7D5-69349C5AB2A2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125" name="Text Box 1816">
          <a:extLst>
            <a:ext uri="{FF2B5EF4-FFF2-40B4-BE49-F238E27FC236}">
              <a16:creationId xmlns:a16="http://schemas.microsoft.com/office/drawing/2014/main" xmlns="" id="{F53E458D-B72B-4EB2-BBE3-65E37864EB1E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126" name="Text Box 1817">
          <a:extLst>
            <a:ext uri="{FF2B5EF4-FFF2-40B4-BE49-F238E27FC236}">
              <a16:creationId xmlns:a16="http://schemas.microsoft.com/office/drawing/2014/main" xmlns="" id="{273427DE-7DAB-4641-8DC2-267741E75F6C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127" name="Text Box 1818">
          <a:extLst>
            <a:ext uri="{FF2B5EF4-FFF2-40B4-BE49-F238E27FC236}">
              <a16:creationId xmlns:a16="http://schemas.microsoft.com/office/drawing/2014/main" xmlns="" id="{0377A5F7-12EF-4A2A-92CE-4792C570CA0F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128" name="Text Box 1819">
          <a:extLst>
            <a:ext uri="{FF2B5EF4-FFF2-40B4-BE49-F238E27FC236}">
              <a16:creationId xmlns:a16="http://schemas.microsoft.com/office/drawing/2014/main" xmlns="" id="{9E0D61FE-2FBD-40C5-AF96-8CCDD7732A4D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129" name="Text Box 1820">
          <a:extLst>
            <a:ext uri="{FF2B5EF4-FFF2-40B4-BE49-F238E27FC236}">
              <a16:creationId xmlns:a16="http://schemas.microsoft.com/office/drawing/2014/main" xmlns="" id="{16BCE4D1-E908-4B05-B046-0626F1B261A4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130" name="Text Box 1821">
          <a:extLst>
            <a:ext uri="{FF2B5EF4-FFF2-40B4-BE49-F238E27FC236}">
              <a16:creationId xmlns:a16="http://schemas.microsoft.com/office/drawing/2014/main" xmlns="" id="{B0FBB268-14DE-4695-81CC-ABAC7E8B1DE5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131" name="Text Box 1822">
          <a:extLst>
            <a:ext uri="{FF2B5EF4-FFF2-40B4-BE49-F238E27FC236}">
              <a16:creationId xmlns:a16="http://schemas.microsoft.com/office/drawing/2014/main" xmlns="" id="{7D6F651D-01CE-4B7A-9005-F46FDB29D23C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132" name="Text Box 1823">
          <a:extLst>
            <a:ext uri="{FF2B5EF4-FFF2-40B4-BE49-F238E27FC236}">
              <a16:creationId xmlns:a16="http://schemas.microsoft.com/office/drawing/2014/main" xmlns="" id="{203FC64C-9319-4DF2-8A08-3273B7D4A844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133" name="Text Box 1824">
          <a:extLst>
            <a:ext uri="{FF2B5EF4-FFF2-40B4-BE49-F238E27FC236}">
              <a16:creationId xmlns:a16="http://schemas.microsoft.com/office/drawing/2014/main" xmlns="" id="{E75FE2A9-F83C-4E68-A644-4B77104873F7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134" name="Text Box 1825">
          <a:extLst>
            <a:ext uri="{FF2B5EF4-FFF2-40B4-BE49-F238E27FC236}">
              <a16:creationId xmlns:a16="http://schemas.microsoft.com/office/drawing/2014/main" xmlns="" id="{97C38023-E4DE-4A4F-B0F2-9628AE37847B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135" name="Text Box 1826">
          <a:extLst>
            <a:ext uri="{FF2B5EF4-FFF2-40B4-BE49-F238E27FC236}">
              <a16:creationId xmlns:a16="http://schemas.microsoft.com/office/drawing/2014/main" xmlns="" id="{59F0F23B-4698-4D22-A23D-4E97F888A5AB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136" name="Text Box 1827">
          <a:extLst>
            <a:ext uri="{FF2B5EF4-FFF2-40B4-BE49-F238E27FC236}">
              <a16:creationId xmlns:a16="http://schemas.microsoft.com/office/drawing/2014/main" xmlns="" id="{FD4620E5-20E7-4821-AB56-0C4B3798B3CE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137" name="Text Box 1828">
          <a:extLst>
            <a:ext uri="{FF2B5EF4-FFF2-40B4-BE49-F238E27FC236}">
              <a16:creationId xmlns:a16="http://schemas.microsoft.com/office/drawing/2014/main" xmlns="" id="{D31A3017-3800-4136-A412-4E7F0DBE15A6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138" name="Text Box 1829">
          <a:extLst>
            <a:ext uri="{FF2B5EF4-FFF2-40B4-BE49-F238E27FC236}">
              <a16:creationId xmlns:a16="http://schemas.microsoft.com/office/drawing/2014/main" xmlns="" id="{C4A6322D-507F-40D2-A830-295FD689B8FF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139" name="Text Box 1830">
          <a:extLst>
            <a:ext uri="{FF2B5EF4-FFF2-40B4-BE49-F238E27FC236}">
              <a16:creationId xmlns:a16="http://schemas.microsoft.com/office/drawing/2014/main" xmlns="" id="{4B048165-7F6B-4F17-B799-A4836D479FCB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140" name="Text Box 1831">
          <a:extLst>
            <a:ext uri="{FF2B5EF4-FFF2-40B4-BE49-F238E27FC236}">
              <a16:creationId xmlns:a16="http://schemas.microsoft.com/office/drawing/2014/main" xmlns="" id="{B6526E68-EE75-4A90-90F1-5CD4AE17DF6C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141" name="Text Box 1832">
          <a:extLst>
            <a:ext uri="{FF2B5EF4-FFF2-40B4-BE49-F238E27FC236}">
              <a16:creationId xmlns:a16="http://schemas.microsoft.com/office/drawing/2014/main" xmlns="" id="{848FE917-522A-4E27-AB8D-74A85F18FF46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142" name="Text Box 1833">
          <a:extLst>
            <a:ext uri="{FF2B5EF4-FFF2-40B4-BE49-F238E27FC236}">
              <a16:creationId xmlns:a16="http://schemas.microsoft.com/office/drawing/2014/main" xmlns="" id="{16A90D13-6FA4-4252-82B7-02F5E76485A1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143" name="Text Box 1834">
          <a:extLst>
            <a:ext uri="{FF2B5EF4-FFF2-40B4-BE49-F238E27FC236}">
              <a16:creationId xmlns:a16="http://schemas.microsoft.com/office/drawing/2014/main" xmlns="" id="{ABF33ECA-B798-413B-A5F2-2A3D470D1499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144" name="Text Box 1835">
          <a:extLst>
            <a:ext uri="{FF2B5EF4-FFF2-40B4-BE49-F238E27FC236}">
              <a16:creationId xmlns:a16="http://schemas.microsoft.com/office/drawing/2014/main" xmlns="" id="{8A2EDE0E-00F9-40F4-A8B0-F3C0B2F159E1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145" name="Text Box 1836">
          <a:extLst>
            <a:ext uri="{FF2B5EF4-FFF2-40B4-BE49-F238E27FC236}">
              <a16:creationId xmlns:a16="http://schemas.microsoft.com/office/drawing/2014/main" xmlns="" id="{6C377372-CD85-426B-B393-48C32EF71561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146" name="Text Box 1837">
          <a:extLst>
            <a:ext uri="{FF2B5EF4-FFF2-40B4-BE49-F238E27FC236}">
              <a16:creationId xmlns:a16="http://schemas.microsoft.com/office/drawing/2014/main" xmlns="" id="{F9520F13-816F-479D-97C4-14A5F7D52B54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147" name="Text Box 1838">
          <a:extLst>
            <a:ext uri="{FF2B5EF4-FFF2-40B4-BE49-F238E27FC236}">
              <a16:creationId xmlns:a16="http://schemas.microsoft.com/office/drawing/2014/main" xmlns="" id="{64B78CC4-F95D-4125-8D91-D65111EECF80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148" name="Text Box 1839">
          <a:extLst>
            <a:ext uri="{FF2B5EF4-FFF2-40B4-BE49-F238E27FC236}">
              <a16:creationId xmlns:a16="http://schemas.microsoft.com/office/drawing/2014/main" xmlns="" id="{96A8DE1C-6026-4138-B336-8421BAE37A31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149" name="Text Box 1840">
          <a:extLst>
            <a:ext uri="{FF2B5EF4-FFF2-40B4-BE49-F238E27FC236}">
              <a16:creationId xmlns:a16="http://schemas.microsoft.com/office/drawing/2014/main" xmlns="" id="{C47B48F5-840B-468C-92EB-80FEE90082BC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150" name="Text Box 1841">
          <a:extLst>
            <a:ext uri="{FF2B5EF4-FFF2-40B4-BE49-F238E27FC236}">
              <a16:creationId xmlns:a16="http://schemas.microsoft.com/office/drawing/2014/main" xmlns="" id="{63D66A97-DD80-46BD-811E-9CE9F2F88F77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151" name="Text Box 1842">
          <a:extLst>
            <a:ext uri="{FF2B5EF4-FFF2-40B4-BE49-F238E27FC236}">
              <a16:creationId xmlns:a16="http://schemas.microsoft.com/office/drawing/2014/main" xmlns="" id="{C27AC31B-DD26-43B6-AF53-C92F6AABDDAA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152" name="Text Box 1843">
          <a:extLst>
            <a:ext uri="{FF2B5EF4-FFF2-40B4-BE49-F238E27FC236}">
              <a16:creationId xmlns:a16="http://schemas.microsoft.com/office/drawing/2014/main" xmlns="" id="{9DA41D57-4522-4525-9405-C00F1CDB0178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153" name="Text Box 1844">
          <a:extLst>
            <a:ext uri="{FF2B5EF4-FFF2-40B4-BE49-F238E27FC236}">
              <a16:creationId xmlns:a16="http://schemas.microsoft.com/office/drawing/2014/main" xmlns="" id="{9BD0CA53-AD4E-4125-B765-70E9AE3CAECB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154" name="Text Box 1845">
          <a:extLst>
            <a:ext uri="{FF2B5EF4-FFF2-40B4-BE49-F238E27FC236}">
              <a16:creationId xmlns:a16="http://schemas.microsoft.com/office/drawing/2014/main" xmlns="" id="{7191B387-FB61-4C85-A31C-78D6CFB56CE8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155" name="Text Box 1846">
          <a:extLst>
            <a:ext uri="{FF2B5EF4-FFF2-40B4-BE49-F238E27FC236}">
              <a16:creationId xmlns:a16="http://schemas.microsoft.com/office/drawing/2014/main" xmlns="" id="{E2B6B2D4-2B25-45FB-8F1D-077C4620B438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156" name="Text Box 1847">
          <a:extLst>
            <a:ext uri="{FF2B5EF4-FFF2-40B4-BE49-F238E27FC236}">
              <a16:creationId xmlns:a16="http://schemas.microsoft.com/office/drawing/2014/main" xmlns="" id="{8828CD53-5F28-42A1-B45F-D0FEB6E47DE4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157" name="Text Box 1848">
          <a:extLst>
            <a:ext uri="{FF2B5EF4-FFF2-40B4-BE49-F238E27FC236}">
              <a16:creationId xmlns:a16="http://schemas.microsoft.com/office/drawing/2014/main" xmlns="" id="{B350BA0E-AFE3-4527-965C-89D5AF992CE9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158" name="Text Box 1849">
          <a:extLst>
            <a:ext uri="{FF2B5EF4-FFF2-40B4-BE49-F238E27FC236}">
              <a16:creationId xmlns:a16="http://schemas.microsoft.com/office/drawing/2014/main" xmlns="" id="{28612DEC-7C50-4402-A22A-A0A97AA89B01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159" name="Text Box 1850">
          <a:extLst>
            <a:ext uri="{FF2B5EF4-FFF2-40B4-BE49-F238E27FC236}">
              <a16:creationId xmlns:a16="http://schemas.microsoft.com/office/drawing/2014/main" xmlns="" id="{BD949C3D-4A5E-4BC5-9967-A0228A7FE3B2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160" name="Text Box 1851">
          <a:extLst>
            <a:ext uri="{FF2B5EF4-FFF2-40B4-BE49-F238E27FC236}">
              <a16:creationId xmlns:a16="http://schemas.microsoft.com/office/drawing/2014/main" xmlns="" id="{C6C8077C-16F3-4BFA-ABC0-97DC608359F4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161" name="Text Box 1852">
          <a:extLst>
            <a:ext uri="{FF2B5EF4-FFF2-40B4-BE49-F238E27FC236}">
              <a16:creationId xmlns:a16="http://schemas.microsoft.com/office/drawing/2014/main" xmlns="" id="{7B0C79D8-FE24-4C3D-8147-1A63D9398093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162" name="Text Box 1853">
          <a:extLst>
            <a:ext uri="{FF2B5EF4-FFF2-40B4-BE49-F238E27FC236}">
              <a16:creationId xmlns:a16="http://schemas.microsoft.com/office/drawing/2014/main" xmlns="" id="{1C06D5C3-FD89-4EAB-8144-CCD2B8A5328A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163" name="Text Box 1854">
          <a:extLst>
            <a:ext uri="{FF2B5EF4-FFF2-40B4-BE49-F238E27FC236}">
              <a16:creationId xmlns:a16="http://schemas.microsoft.com/office/drawing/2014/main" xmlns="" id="{9081E20C-62E4-424C-B42F-F4D4E5512472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164" name="Text Box 1855">
          <a:extLst>
            <a:ext uri="{FF2B5EF4-FFF2-40B4-BE49-F238E27FC236}">
              <a16:creationId xmlns:a16="http://schemas.microsoft.com/office/drawing/2014/main" xmlns="" id="{661C6908-6EAD-4884-BDED-8C6A1E1CA753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165" name="Text Box 1856">
          <a:extLst>
            <a:ext uri="{FF2B5EF4-FFF2-40B4-BE49-F238E27FC236}">
              <a16:creationId xmlns:a16="http://schemas.microsoft.com/office/drawing/2014/main" xmlns="" id="{98447135-4F3E-4DB5-B22E-EFEDF74DEF11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166" name="Text Box 1857">
          <a:extLst>
            <a:ext uri="{FF2B5EF4-FFF2-40B4-BE49-F238E27FC236}">
              <a16:creationId xmlns:a16="http://schemas.microsoft.com/office/drawing/2014/main" xmlns="" id="{AC44C6BB-FA65-4F3C-8395-EA3A28EB4E3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167" name="Text Box 1858">
          <a:extLst>
            <a:ext uri="{FF2B5EF4-FFF2-40B4-BE49-F238E27FC236}">
              <a16:creationId xmlns:a16="http://schemas.microsoft.com/office/drawing/2014/main" xmlns="" id="{F84E3D22-0DDD-4793-AAC0-CD821C9BB7C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168" name="Text Box 1859">
          <a:extLst>
            <a:ext uri="{FF2B5EF4-FFF2-40B4-BE49-F238E27FC236}">
              <a16:creationId xmlns:a16="http://schemas.microsoft.com/office/drawing/2014/main" xmlns="" id="{527C3BA1-E383-403B-9B9D-E774B816F10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169" name="Text Box 1860">
          <a:extLst>
            <a:ext uri="{FF2B5EF4-FFF2-40B4-BE49-F238E27FC236}">
              <a16:creationId xmlns:a16="http://schemas.microsoft.com/office/drawing/2014/main" xmlns="" id="{446F264D-C28C-4DCF-A7F9-AE1351010EC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170" name="Text Box 1861">
          <a:extLst>
            <a:ext uri="{FF2B5EF4-FFF2-40B4-BE49-F238E27FC236}">
              <a16:creationId xmlns:a16="http://schemas.microsoft.com/office/drawing/2014/main" xmlns="" id="{8EC9143E-DE2C-4C8C-BD42-AECFCA488C2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171" name="Text Box 1862">
          <a:extLst>
            <a:ext uri="{FF2B5EF4-FFF2-40B4-BE49-F238E27FC236}">
              <a16:creationId xmlns:a16="http://schemas.microsoft.com/office/drawing/2014/main" xmlns="" id="{3205E080-A886-4BF0-A6A6-09677045BD9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172" name="Text Box 1863">
          <a:extLst>
            <a:ext uri="{FF2B5EF4-FFF2-40B4-BE49-F238E27FC236}">
              <a16:creationId xmlns:a16="http://schemas.microsoft.com/office/drawing/2014/main" xmlns="" id="{35059BEC-E3A5-41AC-A163-8CB70128625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173" name="Text Box 1864">
          <a:extLst>
            <a:ext uri="{FF2B5EF4-FFF2-40B4-BE49-F238E27FC236}">
              <a16:creationId xmlns:a16="http://schemas.microsoft.com/office/drawing/2014/main" xmlns="" id="{35D33F7B-013F-46BD-A76B-AB39EF3EB3F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174" name="Text Box 1865">
          <a:extLst>
            <a:ext uri="{FF2B5EF4-FFF2-40B4-BE49-F238E27FC236}">
              <a16:creationId xmlns:a16="http://schemas.microsoft.com/office/drawing/2014/main" xmlns="" id="{3EACF7BB-0CDF-4537-90C9-DD569F4EDF6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175" name="Text Box 1866">
          <a:extLst>
            <a:ext uri="{FF2B5EF4-FFF2-40B4-BE49-F238E27FC236}">
              <a16:creationId xmlns:a16="http://schemas.microsoft.com/office/drawing/2014/main" xmlns="" id="{9AD431CF-672F-4FE7-9D9C-582CB78E0A1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176" name="Text Box 1867">
          <a:extLst>
            <a:ext uri="{FF2B5EF4-FFF2-40B4-BE49-F238E27FC236}">
              <a16:creationId xmlns:a16="http://schemas.microsoft.com/office/drawing/2014/main" xmlns="" id="{0B09DB8A-1586-42D0-89FD-56C29FFE5A9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177" name="Text Box 1868">
          <a:extLst>
            <a:ext uri="{FF2B5EF4-FFF2-40B4-BE49-F238E27FC236}">
              <a16:creationId xmlns:a16="http://schemas.microsoft.com/office/drawing/2014/main" xmlns="" id="{4F9B1D71-5C00-4452-A963-75607D12FEC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178" name="Text Box 1869">
          <a:extLst>
            <a:ext uri="{FF2B5EF4-FFF2-40B4-BE49-F238E27FC236}">
              <a16:creationId xmlns:a16="http://schemas.microsoft.com/office/drawing/2014/main" xmlns="" id="{D955173F-5F5C-4E89-B514-6E58E067954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179" name="Text Box 1870">
          <a:extLst>
            <a:ext uri="{FF2B5EF4-FFF2-40B4-BE49-F238E27FC236}">
              <a16:creationId xmlns:a16="http://schemas.microsoft.com/office/drawing/2014/main" xmlns="" id="{91921506-9CBF-49EF-9D76-7F3CDFDD31B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180" name="Text Box 1871">
          <a:extLst>
            <a:ext uri="{FF2B5EF4-FFF2-40B4-BE49-F238E27FC236}">
              <a16:creationId xmlns:a16="http://schemas.microsoft.com/office/drawing/2014/main" xmlns="" id="{DC8FE487-8D3F-4524-9979-CD942E34B69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181" name="Text Box 1872">
          <a:extLst>
            <a:ext uri="{FF2B5EF4-FFF2-40B4-BE49-F238E27FC236}">
              <a16:creationId xmlns:a16="http://schemas.microsoft.com/office/drawing/2014/main" xmlns="" id="{9DC65F4B-ED33-4693-B16F-A218402BE20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182" name="Text Box 1873">
          <a:extLst>
            <a:ext uri="{FF2B5EF4-FFF2-40B4-BE49-F238E27FC236}">
              <a16:creationId xmlns:a16="http://schemas.microsoft.com/office/drawing/2014/main" xmlns="" id="{5A35CEBA-2FD1-4D27-82DD-2862B73B848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183" name="Text Box 1874">
          <a:extLst>
            <a:ext uri="{FF2B5EF4-FFF2-40B4-BE49-F238E27FC236}">
              <a16:creationId xmlns:a16="http://schemas.microsoft.com/office/drawing/2014/main" xmlns="" id="{827BCEA7-6240-4341-A167-77B8FD7771C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184" name="Text Box 1875">
          <a:extLst>
            <a:ext uri="{FF2B5EF4-FFF2-40B4-BE49-F238E27FC236}">
              <a16:creationId xmlns:a16="http://schemas.microsoft.com/office/drawing/2014/main" xmlns="" id="{ED6596BF-ECF2-4865-ADE6-1FBFD2ACF71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185" name="Text Box 1876">
          <a:extLst>
            <a:ext uri="{FF2B5EF4-FFF2-40B4-BE49-F238E27FC236}">
              <a16:creationId xmlns:a16="http://schemas.microsoft.com/office/drawing/2014/main" xmlns="" id="{09CAFE64-53BC-45AF-BBCD-CDDC232C6CE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186" name="Text Box 1877">
          <a:extLst>
            <a:ext uri="{FF2B5EF4-FFF2-40B4-BE49-F238E27FC236}">
              <a16:creationId xmlns:a16="http://schemas.microsoft.com/office/drawing/2014/main" xmlns="" id="{36B10709-EDF9-4571-8DDC-C9C1F864D24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187" name="Text Box 1878">
          <a:extLst>
            <a:ext uri="{FF2B5EF4-FFF2-40B4-BE49-F238E27FC236}">
              <a16:creationId xmlns:a16="http://schemas.microsoft.com/office/drawing/2014/main" xmlns="" id="{DA1DADD4-4E7A-414F-8102-CD332B8584D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188" name="Text Box 1879">
          <a:extLst>
            <a:ext uri="{FF2B5EF4-FFF2-40B4-BE49-F238E27FC236}">
              <a16:creationId xmlns:a16="http://schemas.microsoft.com/office/drawing/2014/main" xmlns="" id="{A6600221-5195-42DA-AC75-284C44572FF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189" name="Text Box 1880">
          <a:extLst>
            <a:ext uri="{FF2B5EF4-FFF2-40B4-BE49-F238E27FC236}">
              <a16:creationId xmlns:a16="http://schemas.microsoft.com/office/drawing/2014/main" xmlns="" id="{9722689E-0C1B-48EC-BEC6-831AF778178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190" name="Text Box 1881">
          <a:extLst>
            <a:ext uri="{FF2B5EF4-FFF2-40B4-BE49-F238E27FC236}">
              <a16:creationId xmlns:a16="http://schemas.microsoft.com/office/drawing/2014/main" xmlns="" id="{3FA592C8-883B-4C68-A3F3-AD9E3502FCB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191" name="Text Box 1882">
          <a:extLst>
            <a:ext uri="{FF2B5EF4-FFF2-40B4-BE49-F238E27FC236}">
              <a16:creationId xmlns:a16="http://schemas.microsoft.com/office/drawing/2014/main" xmlns="" id="{F90AC57A-194B-47BD-83DE-262A70EA168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192" name="Text Box 1883">
          <a:extLst>
            <a:ext uri="{FF2B5EF4-FFF2-40B4-BE49-F238E27FC236}">
              <a16:creationId xmlns:a16="http://schemas.microsoft.com/office/drawing/2014/main" xmlns="" id="{F024156D-D0FC-4A77-8003-49233A1679A1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193" name="Text Box 1884">
          <a:extLst>
            <a:ext uri="{FF2B5EF4-FFF2-40B4-BE49-F238E27FC236}">
              <a16:creationId xmlns:a16="http://schemas.microsoft.com/office/drawing/2014/main" xmlns="" id="{435688E8-1F81-480D-ADBD-D211DA6C548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194" name="Text Box 1885">
          <a:extLst>
            <a:ext uri="{FF2B5EF4-FFF2-40B4-BE49-F238E27FC236}">
              <a16:creationId xmlns:a16="http://schemas.microsoft.com/office/drawing/2014/main" xmlns="" id="{B4E5B163-FFDC-4830-8DC8-E66298CB1AC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195" name="Text Box 1886">
          <a:extLst>
            <a:ext uri="{FF2B5EF4-FFF2-40B4-BE49-F238E27FC236}">
              <a16:creationId xmlns:a16="http://schemas.microsoft.com/office/drawing/2014/main" xmlns="" id="{53781A6E-307C-4D30-AEFB-9036E71538F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196" name="Text Box 1887">
          <a:extLst>
            <a:ext uri="{FF2B5EF4-FFF2-40B4-BE49-F238E27FC236}">
              <a16:creationId xmlns:a16="http://schemas.microsoft.com/office/drawing/2014/main" xmlns="" id="{892CF2B6-677C-453F-A521-B6533BFAB46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197" name="Text Box 1888">
          <a:extLst>
            <a:ext uri="{FF2B5EF4-FFF2-40B4-BE49-F238E27FC236}">
              <a16:creationId xmlns:a16="http://schemas.microsoft.com/office/drawing/2014/main" xmlns="" id="{83724461-32F3-49D0-8120-0B42AF76914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198" name="Text Box 1889">
          <a:extLst>
            <a:ext uri="{FF2B5EF4-FFF2-40B4-BE49-F238E27FC236}">
              <a16:creationId xmlns:a16="http://schemas.microsoft.com/office/drawing/2014/main" xmlns="" id="{3702457C-6EB1-4367-8880-F7A623970BB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199" name="Text Box 1890">
          <a:extLst>
            <a:ext uri="{FF2B5EF4-FFF2-40B4-BE49-F238E27FC236}">
              <a16:creationId xmlns:a16="http://schemas.microsoft.com/office/drawing/2014/main" xmlns="" id="{F97525C5-8C7F-405A-AC6A-D94CF71D396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200" name="Text Box 1891">
          <a:extLst>
            <a:ext uri="{FF2B5EF4-FFF2-40B4-BE49-F238E27FC236}">
              <a16:creationId xmlns:a16="http://schemas.microsoft.com/office/drawing/2014/main" xmlns="" id="{4E1E8D74-438E-4BCD-96A9-482896E6E0B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201" name="Text Box 1892">
          <a:extLst>
            <a:ext uri="{FF2B5EF4-FFF2-40B4-BE49-F238E27FC236}">
              <a16:creationId xmlns:a16="http://schemas.microsoft.com/office/drawing/2014/main" xmlns="" id="{4BA1D9C2-241F-4C1B-9B62-9E915AC4A95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202" name="Text Box 1893">
          <a:extLst>
            <a:ext uri="{FF2B5EF4-FFF2-40B4-BE49-F238E27FC236}">
              <a16:creationId xmlns:a16="http://schemas.microsoft.com/office/drawing/2014/main" xmlns="" id="{493074E4-1CA5-4CB1-8832-016E617DD7E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203" name="Text Box 1894">
          <a:extLst>
            <a:ext uri="{FF2B5EF4-FFF2-40B4-BE49-F238E27FC236}">
              <a16:creationId xmlns:a16="http://schemas.microsoft.com/office/drawing/2014/main" xmlns="" id="{3121AD69-C8BC-4A0C-89CD-0E685DB5C19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204" name="Text Box 1895">
          <a:extLst>
            <a:ext uri="{FF2B5EF4-FFF2-40B4-BE49-F238E27FC236}">
              <a16:creationId xmlns:a16="http://schemas.microsoft.com/office/drawing/2014/main" xmlns="" id="{37177728-3A90-4059-A250-4D989D1784A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205" name="Text Box 1896">
          <a:extLst>
            <a:ext uri="{FF2B5EF4-FFF2-40B4-BE49-F238E27FC236}">
              <a16:creationId xmlns:a16="http://schemas.microsoft.com/office/drawing/2014/main" xmlns="" id="{5BEEC332-5056-4A90-981E-35D806DE7D1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206" name="Text Box 1897">
          <a:extLst>
            <a:ext uri="{FF2B5EF4-FFF2-40B4-BE49-F238E27FC236}">
              <a16:creationId xmlns:a16="http://schemas.microsoft.com/office/drawing/2014/main" xmlns="" id="{EE3E2015-3B7D-456C-854C-D9A0AC7AA42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207" name="Text Box 1898">
          <a:extLst>
            <a:ext uri="{FF2B5EF4-FFF2-40B4-BE49-F238E27FC236}">
              <a16:creationId xmlns:a16="http://schemas.microsoft.com/office/drawing/2014/main" xmlns="" id="{83BBC687-CE17-4263-98C7-85E5B8F1401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208" name="Text Box 1899">
          <a:extLst>
            <a:ext uri="{FF2B5EF4-FFF2-40B4-BE49-F238E27FC236}">
              <a16:creationId xmlns:a16="http://schemas.microsoft.com/office/drawing/2014/main" xmlns="" id="{4BF2301C-AEDB-4A19-A0EF-091083BEE2A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209" name="Text Box 1900">
          <a:extLst>
            <a:ext uri="{FF2B5EF4-FFF2-40B4-BE49-F238E27FC236}">
              <a16:creationId xmlns:a16="http://schemas.microsoft.com/office/drawing/2014/main" xmlns="" id="{8A747185-1473-4B6A-9DA8-4231233D2B6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210" name="Text Box 1901">
          <a:extLst>
            <a:ext uri="{FF2B5EF4-FFF2-40B4-BE49-F238E27FC236}">
              <a16:creationId xmlns:a16="http://schemas.microsoft.com/office/drawing/2014/main" xmlns="" id="{7B59205E-FB28-4281-AC9A-FBDF98DBF87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211" name="Text Box 1902">
          <a:extLst>
            <a:ext uri="{FF2B5EF4-FFF2-40B4-BE49-F238E27FC236}">
              <a16:creationId xmlns:a16="http://schemas.microsoft.com/office/drawing/2014/main" xmlns="" id="{12D2F336-464A-4BE2-9553-3D63009B84E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212" name="Text Box 1903">
          <a:extLst>
            <a:ext uri="{FF2B5EF4-FFF2-40B4-BE49-F238E27FC236}">
              <a16:creationId xmlns:a16="http://schemas.microsoft.com/office/drawing/2014/main" xmlns="" id="{49061ECE-AE9E-48D6-84D6-90BFFAEC4D4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213" name="Text Box 1904">
          <a:extLst>
            <a:ext uri="{FF2B5EF4-FFF2-40B4-BE49-F238E27FC236}">
              <a16:creationId xmlns:a16="http://schemas.microsoft.com/office/drawing/2014/main" xmlns="" id="{AB090D00-BB12-4052-8B5F-F647453BB69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214" name="Text Box 1905">
          <a:extLst>
            <a:ext uri="{FF2B5EF4-FFF2-40B4-BE49-F238E27FC236}">
              <a16:creationId xmlns:a16="http://schemas.microsoft.com/office/drawing/2014/main" xmlns="" id="{0F584CBC-76D3-4C17-8511-6B49FAD981B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215" name="Text Box 1906">
          <a:extLst>
            <a:ext uri="{FF2B5EF4-FFF2-40B4-BE49-F238E27FC236}">
              <a16:creationId xmlns:a16="http://schemas.microsoft.com/office/drawing/2014/main" xmlns="" id="{BAA2A583-93F8-40C6-A4EE-FE90BA662C03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216" name="Text Box 1907">
          <a:extLst>
            <a:ext uri="{FF2B5EF4-FFF2-40B4-BE49-F238E27FC236}">
              <a16:creationId xmlns:a16="http://schemas.microsoft.com/office/drawing/2014/main" xmlns="" id="{57E3CEE8-370D-41F5-88A4-BD6F8E7F451E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217" name="Text Box 1908">
          <a:extLst>
            <a:ext uri="{FF2B5EF4-FFF2-40B4-BE49-F238E27FC236}">
              <a16:creationId xmlns:a16="http://schemas.microsoft.com/office/drawing/2014/main" xmlns="" id="{CAFB1AFE-7ABE-4152-972B-CCA836D9F684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218" name="Text Box 1909">
          <a:extLst>
            <a:ext uri="{FF2B5EF4-FFF2-40B4-BE49-F238E27FC236}">
              <a16:creationId xmlns:a16="http://schemas.microsoft.com/office/drawing/2014/main" xmlns="" id="{A33A9193-34EE-42D6-B9C8-0949838470A8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219" name="Text Box 1910">
          <a:extLst>
            <a:ext uri="{FF2B5EF4-FFF2-40B4-BE49-F238E27FC236}">
              <a16:creationId xmlns:a16="http://schemas.microsoft.com/office/drawing/2014/main" xmlns="" id="{20EE6419-FAB4-4936-86E6-AEE721EBDB2B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220" name="Text Box 1911">
          <a:extLst>
            <a:ext uri="{FF2B5EF4-FFF2-40B4-BE49-F238E27FC236}">
              <a16:creationId xmlns:a16="http://schemas.microsoft.com/office/drawing/2014/main" xmlns="" id="{F05B1DD9-4547-4C2A-BE39-A5F017C6816E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221" name="Text Box 1912">
          <a:extLst>
            <a:ext uri="{FF2B5EF4-FFF2-40B4-BE49-F238E27FC236}">
              <a16:creationId xmlns:a16="http://schemas.microsoft.com/office/drawing/2014/main" xmlns="" id="{BDFDDC83-249B-415C-B9C5-DB4539CD8A42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222" name="Text Box 1913">
          <a:extLst>
            <a:ext uri="{FF2B5EF4-FFF2-40B4-BE49-F238E27FC236}">
              <a16:creationId xmlns:a16="http://schemas.microsoft.com/office/drawing/2014/main" xmlns="" id="{B9B21AE4-497C-4136-9200-49FFBC68F04D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223" name="Text Box 1914">
          <a:extLst>
            <a:ext uri="{FF2B5EF4-FFF2-40B4-BE49-F238E27FC236}">
              <a16:creationId xmlns:a16="http://schemas.microsoft.com/office/drawing/2014/main" xmlns="" id="{486E2A61-E236-474B-99FB-B1A677CF0087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224" name="Text Box 1915">
          <a:extLst>
            <a:ext uri="{FF2B5EF4-FFF2-40B4-BE49-F238E27FC236}">
              <a16:creationId xmlns:a16="http://schemas.microsoft.com/office/drawing/2014/main" xmlns="" id="{558F8652-CF54-4D65-B4D1-98DCC4667D9F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225" name="Text Box 1916">
          <a:extLst>
            <a:ext uri="{FF2B5EF4-FFF2-40B4-BE49-F238E27FC236}">
              <a16:creationId xmlns:a16="http://schemas.microsoft.com/office/drawing/2014/main" xmlns="" id="{32B7494F-A849-4DE0-882B-EDED7E713B29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226" name="Text Box 1917">
          <a:extLst>
            <a:ext uri="{FF2B5EF4-FFF2-40B4-BE49-F238E27FC236}">
              <a16:creationId xmlns:a16="http://schemas.microsoft.com/office/drawing/2014/main" xmlns="" id="{45D14D66-1976-4B29-B175-0755DCCB657D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227" name="Text Box 1918">
          <a:extLst>
            <a:ext uri="{FF2B5EF4-FFF2-40B4-BE49-F238E27FC236}">
              <a16:creationId xmlns:a16="http://schemas.microsoft.com/office/drawing/2014/main" xmlns="" id="{9B65EDAE-B1DD-459F-9EE0-243F1E545BF6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228" name="Text Box 1919">
          <a:extLst>
            <a:ext uri="{FF2B5EF4-FFF2-40B4-BE49-F238E27FC236}">
              <a16:creationId xmlns:a16="http://schemas.microsoft.com/office/drawing/2014/main" xmlns="" id="{CDCDBD58-7E8F-4D25-B691-53E7F2149216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229" name="Text Box 1920">
          <a:extLst>
            <a:ext uri="{FF2B5EF4-FFF2-40B4-BE49-F238E27FC236}">
              <a16:creationId xmlns:a16="http://schemas.microsoft.com/office/drawing/2014/main" xmlns="" id="{976D0DDE-560B-41BD-B5EA-8826B8CE4069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230" name="Text Box 1921">
          <a:extLst>
            <a:ext uri="{FF2B5EF4-FFF2-40B4-BE49-F238E27FC236}">
              <a16:creationId xmlns:a16="http://schemas.microsoft.com/office/drawing/2014/main" xmlns="" id="{4AEB483C-7547-4E7B-B03C-4245952A574D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231" name="Text Box 1922">
          <a:extLst>
            <a:ext uri="{FF2B5EF4-FFF2-40B4-BE49-F238E27FC236}">
              <a16:creationId xmlns:a16="http://schemas.microsoft.com/office/drawing/2014/main" xmlns="" id="{FFBFA028-B31F-4A23-9B7D-B940D357C77A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232" name="Text Box 1923">
          <a:extLst>
            <a:ext uri="{FF2B5EF4-FFF2-40B4-BE49-F238E27FC236}">
              <a16:creationId xmlns:a16="http://schemas.microsoft.com/office/drawing/2014/main" xmlns="" id="{905BC23D-CACE-4831-A8BB-AC8A128EC268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233" name="Text Box 1924">
          <a:extLst>
            <a:ext uri="{FF2B5EF4-FFF2-40B4-BE49-F238E27FC236}">
              <a16:creationId xmlns:a16="http://schemas.microsoft.com/office/drawing/2014/main" xmlns="" id="{570356E7-1B92-49F8-B43C-932D93682F5E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234" name="Text Box 1925">
          <a:extLst>
            <a:ext uri="{FF2B5EF4-FFF2-40B4-BE49-F238E27FC236}">
              <a16:creationId xmlns:a16="http://schemas.microsoft.com/office/drawing/2014/main" xmlns="" id="{1BD7B82F-CF15-43D8-8ADB-E8DC97768F04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235" name="Text Box 1926">
          <a:extLst>
            <a:ext uri="{FF2B5EF4-FFF2-40B4-BE49-F238E27FC236}">
              <a16:creationId xmlns:a16="http://schemas.microsoft.com/office/drawing/2014/main" xmlns="" id="{614463B5-913A-471B-9273-B576C70E428D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236" name="Text Box 1927">
          <a:extLst>
            <a:ext uri="{FF2B5EF4-FFF2-40B4-BE49-F238E27FC236}">
              <a16:creationId xmlns:a16="http://schemas.microsoft.com/office/drawing/2014/main" xmlns="" id="{43AA49B1-B1DC-49C9-B0FC-D156D27966CE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237" name="Text Box 1928">
          <a:extLst>
            <a:ext uri="{FF2B5EF4-FFF2-40B4-BE49-F238E27FC236}">
              <a16:creationId xmlns:a16="http://schemas.microsoft.com/office/drawing/2014/main" xmlns="" id="{95AEE9A8-B23D-4364-A173-260197C8FB1D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238" name="Text Box 1929">
          <a:extLst>
            <a:ext uri="{FF2B5EF4-FFF2-40B4-BE49-F238E27FC236}">
              <a16:creationId xmlns:a16="http://schemas.microsoft.com/office/drawing/2014/main" xmlns="" id="{9E0ED38B-8358-4595-BBF3-7A62765D08FC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239" name="Text Box 1930">
          <a:extLst>
            <a:ext uri="{FF2B5EF4-FFF2-40B4-BE49-F238E27FC236}">
              <a16:creationId xmlns:a16="http://schemas.microsoft.com/office/drawing/2014/main" xmlns="" id="{5D44EAE8-1932-4AB8-B846-87EF57BF25FA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240" name="Text Box 1931">
          <a:extLst>
            <a:ext uri="{FF2B5EF4-FFF2-40B4-BE49-F238E27FC236}">
              <a16:creationId xmlns:a16="http://schemas.microsoft.com/office/drawing/2014/main" xmlns="" id="{4F935091-B9B7-415D-AAF9-B12012A7A90A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241" name="Text Box 1932">
          <a:extLst>
            <a:ext uri="{FF2B5EF4-FFF2-40B4-BE49-F238E27FC236}">
              <a16:creationId xmlns:a16="http://schemas.microsoft.com/office/drawing/2014/main" xmlns="" id="{827B18EC-FCB3-4717-8C9A-F1E8EEAE81CB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242" name="Text Box 1933">
          <a:extLst>
            <a:ext uri="{FF2B5EF4-FFF2-40B4-BE49-F238E27FC236}">
              <a16:creationId xmlns:a16="http://schemas.microsoft.com/office/drawing/2014/main" xmlns="" id="{BBA0F74C-992D-41C2-A7F1-CB0A01C51C24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243" name="Text Box 1934">
          <a:extLst>
            <a:ext uri="{FF2B5EF4-FFF2-40B4-BE49-F238E27FC236}">
              <a16:creationId xmlns:a16="http://schemas.microsoft.com/office/drawing/2014/main" xmlns="" id="{A15F7B9B-1E7B-4522-8AF1-14E389367C02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244" name="Text Box 1935">
          <a:extLst>
            <a:ext uri="{FF2B5EF4-FFF2-40B4-BE49-F238E27FC236}">
              <a16:creationId xmlns:a16="http://schemas.microsoft.com/office/drawing/2014/main" xmlns="" id="{88A7A243-357E-4448-89A7-3B531F2E1755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245" name="Text Box 1936">
          <a:extLst>
            <a:ext uri="{FF2B5EF4-FFF2-40B4-BE49-F238E27FC236}">
              <a16:creationId xmlns:a16="http://schemas.microsoft.com/office/drawing/2014/main" xmlns="" id="{14713E23-405A-42C9-9987-C8AF7FD01F6B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246" name="Text Box 1937">
          <a:extLst>
            <a:ext uri="{FF2B5EF4-FFF2-40B4-BE49-F238E27FC236}">
              <a16:creationId xmlns:a16="http://schemas.microsoft.com/office/drawing/2014/main" xmlns="" id="{4C501650-EFB6-4376-8D94-33FD27469D94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247" name="Text Box 1938">
          <a:extLst>
            <a:ext uri="{FF2B5EF4-FFF2-40B4-BE49-F238E27FC236}">
              <a16:creationId xmlns:a16="http://schemas.microsoft.com/office/drawing/2014/main" xmlns="" id="{1657706E-8A59-405C-B449-2C797DD2E0CF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248" name="Text Box 1939">
          <a:extLst>
            <a:ext uri="{FF2B5EF4-FFF2-40B4-BE49-F238E27FC236}">
              <a16:creationId xmlns:a16="http://schemas.microsoft.com/office/drawing/2014/main" xmlns="" id="{E4511236-E884-4688-9BE5-542C18913352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249" name="Text Box 1940">
          <a:extLst>
            <a:ext uri="{FF2B5EF4-FFF2-40B4-BE49-F238E27FC236}">
              <a16:creationId xmlns:a16="http://schemas.microsoft.com/office/drawing/2014/main" xmlns="" id="{911FCC17-962E-4209-9311-318FD000BE8D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250" name="Text Box 1941">
          <a:extLst>
            <a:ext uri="{FF2B5EF4-FFF2-40B4-BE49-F238E27FC236}">
              <a16:creationId xmlns:a16="http://schemas.microsoft.com/office/drawing/2014/main" xmlns="" id="{EEDEDB71-1A11-43F6-8E90-58FE9597EE26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251" name="Text Box 1942">
          <a:extLst>
            <a:ext uri="{FF2B5EF4-FFF2-40B4-BE49-F238E27FC236}">
              <a16:creationId xmlns:a16="http://schemas.microsoft.com/office/drawing/2014/main" xmlns="" id="{A3AE76B4-0C7B-444A-B300-5A35D3AED1A1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252" name="Text Box 1943">
          <a:extLst>
            <a:ext uri="{FF2B5EF4-FFF2-40B4-BE49-F238E27FC236}">
              <a16:creationId xmlns:a16="http://schemas.microsoft.com/office/drawing/2014/main" xmlns="" id="{BE7EB853-58EF-4B74-BD7A-489775ED1F99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253" name="Text Box 1944">
          <a:extLst>
            <a:ext uri="{FF2B5EF4-FFF2-40B4-BE49-F238E27FC236}">
              <a16:creationId xmlns:a16="http://schemas.microsoft.com/office/drawing/2014/main" xmlns="" id="{7F901BB7-F85C-456E-9EC6-DF45767CC690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254" name="Text Box 1945">
          <a:extLst>
            <a:ext uri="{FF2B5EF4-FFF2-40B4-BE49-F238E27FC236}">
              <a16:creationId xmlns:a16="http://schemas.microsoft.com/office/drawing/2014/main" xmlns="" id="{065B99B4-B0C1-4B07-8AF9-8AA5477149AC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255" name="Text Box 1946">
          <a:extLst>
            <a:ext uri="{FF2B5EF4-FFF2-40B4-BE49-F238E27FC236}">
              <a16:creationId xmlns:a16="http://schemas.microsoft.com/office/drawing/2014/main" xmlns="" id="{A9E6A2EB-B0B4-4DE3-9FF9-62D8BCFADF98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256" name="Text Box 1947">
          <a:extLst>
            <a:ext uri="{FF2B5EF4-FFF2-40B4-BE49-F238E27FC236}">
              <a16:creationId xmlns:a16="http://schemas.microsoft.com/office/drawing/2014/main" xmlns="" id="{DEE05743-AB04-4383-A2BE-75A36B759759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257" name="Text Box 1948">
          <a:extLst>
            <a:ext uri="{FF2B5EF4-FFF2-40B4-BE49-F238E27FC236}">
              <a16:creationId xmlns:a16="http://schemas.microsoft.com/office/drawing/2014/main" xmlns="" id="{E7E93965-AF57-48BB-A870-AC097FED9D5C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258" name="Text Box 1949">
          <a:extLst>
            <a:ext uri="{FF2B5EF4-FFF2-40B4-BE49-F238E27FC236}">
              <a16:creationId xmlns:a16="http://schemas.microsoft.com/office/drawing/2014/main" xmlns="" id="{E897301B-E6A0-4168-9665-3F94C6B98C26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259" name="Text Box 1950">
          <a:extLst>
            <a:ext uri="{FF2B5EF4-FFF2-40B4-BE49-F238E27FC236}">
              <a16:creationId xmlns:a16="http://schemas.microsoft.com/office/drawing/2014/main" xmlns="" id="{426F1155-0D4F-48F3-9C62-D81AF916D6C5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260" name="Text Box 1951">
          <a:extLst>
            <a:ext uri="{FF2B5EF4-FFF2-40B4-BE49-F238E27FC236}">
              <a16:creationId xmlns:a16="http://schemas.microsoft.com/office/drawing/2014/main" xmlns="" id="{9098E13A-3C64-43C3-98B7-2918DCA26CBF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261" name="Text Box 1952">
          <a:extLst>
            <a:ext uri="{FF2B5EF4-FFF2-40B4-BE49-F238E27FC236}">
              <a16:creationId xmlns:a16="http://schemas.microsoft.com/office/drawing/2014/main" xmlns="" id="{D61F825D-D158-4BFD-8C3F-C64DDEBE5268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262" name="Text Box 1953">
          <a:extLst>
            <a:ext uri="{FF2B5EF4-FFF2-40B4-BE49-F238E27FC236}">
              <a16:creationId xmlns:a16="http://schemas.microsoft.com/office/drawing/2014/main" xmlns="" id="{AF224AFD-2D5D-4780-871F-4D2EBE26F269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263" name="Text Box 1954">
          <a:extLst>
            <a:ext uri="{FF2B5EF4-FFF2-40B4-BE49-F238E27FC236}">
              <a16:creationId xmlns:a16="http://schemas.microsoft.com/office/drawing/2014/main" xmlns="" id="{8757E8AD-157C-48B6-92D1-ECF308B384CA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264" name="Text Box 1955">
          <a:extLst>
            <a:ext uri="{FF2B5EF4-FFF2-40B4-BE49-F238E27FC236}">
              <a16:creationId xmlns:a16="http://schemas.microsoft.com/office/drawing/2014/main" xmlns="" id="{253EE6E6-2F48-4053-ABE8-54166D2C5DA5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265" name="Text Box 1956">
          <a:extLst>
            <a:ext uri="{FF2B5EF4-FFF2-40B4-BE49-F238E27FC236}">
              <a16:creationId xmlns:a16="http://schemas.microsoft.com/office/drawing/2014/main" xmlns="" id="{E23E05A6-E364-41E5-836C-DD19C26D369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266" name="Text Box 1957">
          <a:extLst>
            <a:ext uri="{FF2B5EF4-FFF2-40B4-BE49-F238E27FC236}">
              <a16:creationId xmlns:a16="http://schemas.microsoft.com/office/drawing/2014/main" xmlns="" id="{7FA644A3-E065-4B44-B8AB-9482289D5E3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267" name="Text Box 1958">
          <a:extLst>
            <a:ext uri="{FF2B5EF4-FFF2-40B4-BE49-F238E27FC236}">
              <a16:creationId xmlns:a16="http://schemas.microsoft.com/office/drawing/2014/main" xmlns="" id="{14D8EDFD-EB14-4328-8DC9-BFFE3309C58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268" name="Text Box 1959">
          <a:extLst>
            <a:ext uri="{FF2B5EF4-FFF2-40B4-BE49-F238E27FC236}">
              <a16:creationId xmlns:a16="http://schemas.microsoft.com/office/drawing/2014/main" xmlns="" id="{912215B4-FD75-4FE4-B892-89FF37A0DA2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269" name="Text Box 1960">
          <a:extLst>
            <a:ext uri="{FF2B5EF4-FFF2-40B4-BE49-F238E27FC236}">
              <a16:creationId xmlns:a16="http://schemas.microsoft.com/office/drawing/2014/main" xmlns="" id="{45E1F9A1-DAE9-4CFC-8C41-E96CE1C7047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270" name="Text Box 1961">
          <a:extLst>
            <a:ext uri="{FF2B5EF4-FFF2-40B4-BE49-F238E27FC236}">
              <a16:creationId xmlns:a16="http://schemas.microsoft.com/office/drawing/2014/main" xmlns="" id="{DD9CFD49-C31E-41EB-88FA-7C54DECDCBC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271" name="Text Box 1962">
          <a:extLst>
            <a:ext uri="{FF2B5EF4-FFF2-40B4-BE49-F238E27FC236}">
              <a16:creationId xmlns:a16="http://schemas.microsoft.com/office/drawing/2014/main" xmlns="" id="{CB3D7715-6100-40F1-912E-F28572CE9D3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272" name="Text Box 1963">
          <a:extLst>
            <a:ext uri="{FF2B5EF4-FFF2-40B4-BE49-F238E27FC236}">
              <a16:creationId xmlns:a16="http://schemas.microsoft.com/office/drawing/2014/main" xmlns="" id="{3F9E3528-2911-492A-B11A-8CEE82CDD93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273" name="Text Box 1964">
          <a:extLst>
            <a:ext uri="{FF2B5EF4-FFF2-40B4-BE49-F238E27FC236}">
              <a16:creationId xmlns:a16="http://schemas.microsoft.com/office/drawing/2014/main" xmlns="" id="{A920CE7B-8F40-472E-B83A-9B37B919E9F1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274" name="Text Box 1965">
          <a:extLst>
            <a:ext uri="{FF2B5EF4-FFF2-40B4-BE49-F238E27FC236}">
              <a16:creationId xmlns:a16="http://schemas.microsoft.com/office/drawing/2014/main" xmlns="" id="{FE2F34E8-BC7C-4BF2-A1D7-68776DDB151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275" name="Text Box 1966">
          <a:extLst>
            <a:ext uri="{FF2B5EF4-FFF2-40B4-BE49-F238E27FC236}">
              <a16:creationId xmlns:a16="http://schemas.microsoft.com/office/drawing/2014/main" xmlns="" id="{F5B03595-D8D5-4141-93CA-143B080496B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276" name="Text Box 1967">
          <a:extLst>
            <a:ext uri="{FF2B5EF4-FFF2-40B4-BE49-F238E27FC236}">
              <a16:creationId xmlns:a16="http://schemas.microsoft.com/office/drawing/2014/main" xmlns="" id="{43B6A7A6-8682-4A53-A6B7-50401CCE87C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277" name="Text Box 1968">
          <a:extLst>
            <a:ext uri="{FF2B5EF4-FFF2-40B4-BE49-F238E27FC236}">
              <a16:creationId xmlns:a16="http://schemas.microsoft.com/office/drawing/2014/main" xmlns="" id="{A003FB06-61F5-4DFF-A8E6-0283B2F7FDE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278" name="Text Box 1969">
          <a:extLst>
            <a:ext uri="{FF2B5EF4-FFF2-40B4-BE49-F238E27FC236}">
              <a16:creationId xmlns:a16="http://schemas.microsoft.com/office/drawing/2014/main" xmlns="" id="{87679DA7-970F-432D-A62F-E0B5A149CBA1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279" name="Text Box 1970">
          <a:extLst>
            <a:ext uri="{FF2B5EF4-FFF2-40B4-BE49-F238E27FC236}">
              <a16:creationId xmlns:a16="http://schemas.microsoft.com/office/drawing/2014/main" xmlns="" id="{0D5CA8AC-C329-4BD7-A9E5-4022CF1459F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280" name="Text Box 1971">
          <a:extLst>
            <a:ext uri="{FF2B5EF4-FFF2-40B4-BE49-F238E27FC236}">
              <a16:creationId xmlns:a16="http://schemas.microsoft.com/office/drawing/2014/main" xmlns="" id="{80C9B44A-8CC9-4099-A6A6-9997EC95945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281" name="Text Box 1972">
          <a:extLst>
            <a:ext uri="{FF2B5EF4-FFF2-40B4-BE49-F238E27FC236}">
              <a16:creationId xmlns:a16="http://schemas.microsoft.com/office/drawing/2014/main" xmlns="" id="{650EDCD7-4ABF-450C-B831-C77AB136636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282" name="Text Box 1973">
          <a:extLst>
            <a:ext uri="{FF2B5EF4-FFF2-40B4-BE49-F238E27FC236}">
              <a16:creationId xmlns:a16="http://schemas.microsoft.com/office/drawing/2014/main" xmlns="" id="{B3EF07C6-FBA6-44C7-8696-7591ABB9539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283" name="Text Box 1974">
          <a:extLst>
            <a:ext uri="{FF2B5EF4-FFF2-40B4-BE49-F238E27FC236}">
              <a16:creationId xmlns:a16="http://schemas.microsoft.com/office/drawing/2014/main" xmlns="" id="{AA881C97-D6D3-402B-9981-CD1561B88ED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284" name="Text Box 1975">
          <a:extLst>
            <a:ext uri="{FF2B5EF4-FFF2-40B4-BE49-F238E27FC236}">
              <a16:creationId xmlns:a16="http://schemas.microsoft.com/office/drawing/2014/main" xmlns="" id="{1996569C-F3B8-4FED-86C2-16C6D1F9FCF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285" name="Text Box 1976">
          <a:extLst>
            <a:ext uri="{FF2B5EF4-FFF2-40B4-BE49-F238E27FC236}">
              <a16:creationId xmlns:a16="http://schemas.microsoft.com/office/drawing/2014/main" xmlns="" id="{BCA5CF41-F0DA-4A47-8503-7E7933A551A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286" name="Text Box 1977">
          <a:extLst>
            <a:ext uri="{FF2B5EF4-FFF2-40B4-BE49-F238E27FC236}">
              <a16:creationId xmlns:a16="http://schemas.microsoft.com/office/drawing/2014/main" xmlns="" id="{3E817C26-D8AF-487B-9CF9-EA820966D58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287" name="Text Box 1978">
          <a:extLst>
            <a:ext uri="{FF2B5EF4-FFF2-40B4-BE49-F238E27FC236}">
              <a16:creationId xmlns:a16="http://schemas.microsoft.com/office/drawing/2014/main" xmlns="" id="{560B1006-57EF-4089-8C4F-12377CB0029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288" name="Text Box 1979">
          <a:extLst>
            <a:ext uri="{FF2B5EF4-FFF2-40B4-BE49-F238E27FC236}">
              <a16:creationId xmlns:a16="http://schemas.microsoft.com/office/drawing/2014/main" xmlns="" id="{C5947874-DAAA-4A73-8388-CD52476FF1F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289" name="Text Box 1980">
          <a:extLst>
            <a:ext uri="{FF2B5EF4-FFF2-40B4-BE49-F238E27FC236}">
              <a16:creationId xmlns:a16="http://schemas.microsoft.com/office/drawing/2014/main" xmlns="" id="{F4E24ACF-47BC-40D4-81A9-A1FA726AE5B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290" name="Text Box 1981">
          <a:extLst>
            <a:ext uri="{FF2B5EF4-FFF2-40B4-BE49-F238E27FC236}">
              <a16:creationId xmlns:a16="http://schemas.microsoft.com/office/drawing/2014/main" xmlns="" id="{3ED7E247-8069-4443-8558-B3E0205E90F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291" name="Text Box 1982">
          <a:extLst>
            <a:ext uri="{FF2B5EF4-FFF2-40B4-BE49-F238E27FC236}">
              <a16:creationId xmlns:a16="http://schemas.microsoft.com/office/drawing/2014/main" xmlns="" id="{C08081DF-5949-44ED-96EE-BD70FBDFB7F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292" name="Text Box 1983">
          <a:extLst>
            <a:ext uri="{FF2B5EF4-FFF2-40B4-BE49-F238E27FC236}">
              <a16:creationId xmlns:a16="http://schemas.microsoft.com/office/drawing/2014/main" xmlns="" id="{5C9794DE-9DD0-4D3F-9C2C-1D6E1ABA4BD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293" name="Text Box 1984">
          <a:extLst>
            <a:ext uri="{FF2B5EF4-FFF2-40B4-BE49-F238E27FC236}">
              <a16:creationId xmlns:a16="http://schemas.microsoft.com/office/drawing/2014/main" xmlns="" id="{B604ECA6-7D7E-401A-A00E-8EF42B25B48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294" name="Text Box 1985">
          <a:extLst>
            <a:ext uri="{FF2B5EF4-FFF2-40B4-BE49-F238E27FC236}">
              <a16:creationId xmlns:a16="http://schemas.microsoft.com/office/drawing/2014/main" xmlns="" id="{94F1E735-F148-498F-B202-A36F1CD863C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295" name="Text Box 1986">
          <a:extLst>
            <a:ext uri="{FF2B5EF4-FFF2-40B4-BE49-F238E27FC236}">
              <a16:creationId xmlns:a16="http://schemas.microsoft.com/office/drawing/2014/main" xmlns="" id="{032A2483-DC1C-4768-8D6F-84AFED2CD26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296" name="Text Box 1987">
          <a:extLst>
            <a:ext uri="{FF2B5EF4-FFF2-40B4-BE49-F238E27FC236}">
              <a16:creationId xmlns:a16="http://schemas.microsoft.com/office/drawing/2014/main" xmlns="" id="{81814689-A374-41AF-9520-C2C1AE24F7C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297" name="Text Box 1988">
          <a:extLst>
            <a:ext uri="{FF2B5EF4-FFF2-40B4-BE49-F238E27FC236}">
              <a16:creationId xmlns:a16="http://schemas.microsoft.com/office/drawing/2014/main" xmlns="" id="{ECD7C3FC-4CB1-4029-B5EE-6CBCE381B61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298" name="Text Box 1989">
          <a:extLst>
            <a:ext uri="{FF2B5EF4-FFF2-40B4-BE49-F238E27FC236}">
              <a16:creationId xmlns:a16="http://schemas.microsoft.com/office/drawing/2014/main" xmlns="" id="{DD45FD1B-0A13-4CFC-9019-DF451109DD4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299" name="Text Box 1990">
          <a:extLst>
            <a:ext uri="{FF2B5EF4-FFF2-40B4-BE49-F238E27FC236}">
              <a16:creationId xmlns:a16="http://schemas.microsoft.com/office/drawing/2014/main" xmlns="" id="{15B35BCD-17DE-42A0-A73D-064E32FCEC11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300" name="Text Box 1991">
          <a:extLst>
            <a:ext uri="{FF2B5EF4-FFF2-40B4-BE49-F238E27FC236}">
              <a16:creationId xmlns:a16="http://schemas.microsoft.com/office/drawing/2014/main" xmlns="" id="{CDA78F85-2C22-4906-98B4-CE89A5A750F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301" name="Text Box 1992">
          <a:extLst>
            <a:ext uri="{FF2B5EF4-FFF2-40B4-BE49-F238E27FC236}">
              <a16:creationId xmlns:a16="http://schemas.microsoft.com/office/drawing/2014/main" xmlns="" id="{8ACDCEAE-F5C0-4B31-85F2-8FCC60AD35B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302" name="Text Box 1993">
          <a:extLst>
            <a:ext uri="{FF2B5EF4-FFF2-40B4-BE49-F238E27FC236}">
              <a16:creationId xmlns:a16="http://schemas.microsoft.com/office/drawing/2014/main" xmlns="" id="{40558935-448C-4D5D-82F5-B69CBB833FA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303" name="Text Box 1994">
          <a:extLst>
            <a:ext uri="{FF2B5EF4-FFF2-40B4-BE49-F238E27FC236}">
              <a16:creationId xmlns:a16="http://schemas.microsoft.com/office/drawing/2014/main" xmlns="" id="{7599466E-D9F3-4ABB-9BC2-57FDD58CED6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304" name="Text Box 1995">
          <a:extLst>
            <a:ext uri="{FF2B5EF4-FFF2-40B4-BE49-F238E27FC236}">
              <a16:creationId xmlns:a16="http://schemas.microsoft.com/office/drawing/2014/main" xmlns="" id="{EC553BAE-3ACD-4361-B650-75106B6E2B7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305" name="Text Box 1996">
          <a:extLst>
            <a:ext uri="{FF2B5EF4-FFF2-40B4-BE49-F238E27FC236}">
              <a16:creationId xmlns:a16="http://schemas.microsoft.com/office/drawing/2014/main" xmlns="" id="{85CA7EAE-1D7B-4444-A3EB-BA4CB1431C8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306" name="Text Box 1997">
          <a:extLst>
            <a:ext uri="{FF2B5EF4-FFF2-40B4-BE49-F238E27FC236}">
              <a16:creationId xmlns:a16="http://schemas.microsoft.com/office/drawing/2014/main" xmlns="" id="{735CCE64-ACBA-4A35-BB76-72D0A5A990F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307" name="Text Box 1998">
          <a:extLst>
            <a:ext uri="{FF2B5EF4-FFF2-40B4-BE49-F238E27FC236}">
              <a16:creationId xmlns:a16="http://schemas.microsoft.com/office/drawing/2014/main" xmlns="" id="{9055119E-9FA6-4B1B-B72B-DEC921441E8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308" name="Text Box 1999">
          <a:extLst>
            <a:ext uri="{FF2B5EF4-FFF2-40B4-BE49-F238E27FC236}">
              <a16:creationId xmlns:a16="http://schemas.microsoft.com/office/drawing/2014/main" xmlns="" id="{C0769572-3E72-4310-A868-4BA99C8E67F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309" name="Text Box 2000">
          <a:extLst>
            <a:ext uri="{FF2B5EF4-FFF2-40B4-BE49-F238E27FC236}">
              <a16:creationId xmlns:a16="http://schemas.microsoft.com/office/drawing/2014/main" xmlns="" id="{4F82E52B-81F0-4C8C-82A9-47A5765AD08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310" name="Text Box 2001">
          <a:extLst>
            <a:ext uri="{FF2B5EF4-FFF2-40B4-BE49-F238E27FC236}">
              <a16:creationId xmlns:a16="http://schemas.microsoft.com/office/drawing/2014/main" xmlns="" id="{79A9AE03-D4A9-4C68-8F85-FB7642C71B0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311" name="Text Box 2002">
          <a:extLst>
            <a:ext uri="{FF2B5EF4-FFF2-40B4-BE49-F238E27FC236}">
              <a16:creationId xmlns:a16="http://schemas.microsoft.com/office/drawing/2014/main" xmlns="" id="{18DF1829-C9BD-4A8C-A59E-96C1645B7F4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312" name="Text Box 2003">
          <a:extLst>
            <a:ext uri="{FF2B5EF4-FFF2-40B4-BE49-F238E27FC236}">
              <a16:creationId xmlns:a16="http://schemas.microsoft.com/office/drawing/2014/main" xmlns="" id="{9E66BCB1-46EC-4F21-96CE-8677E2EF250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313" name="Text Box 2004">
          <a:extLst>
            <a:ext uri="{FF2B5EF4-FFF2-40B4-BE49-F238E27FC236}">
              <a16:creationId xmlns:a16="http://schemas.microsoft.com/office/drawing/2014/main" xmlns="" id="{068D6A1B-E4B9-4E87-9E6D-571F07FC6B6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314" name="Text Box 2005">
          <a:extLst>
            <a:ext uri="{FF2B5EF4-FFF2-40B4-BE49-F238E27FC236}">
              <a16:creationId xmlns:a16="http://schemas.microsoft.com/office/drawing/2014/main" xmlns="" id="{30FF0EC9-2CFA-4885-AB70-AB314FFC84F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315" name="Text Box 2006">
          <a:extLst>
            <a:ext uri="{FF2B5EF4-FFF2-40B4-BE49-F238E27FC236}">
              <a16:creationId xmlns:a16="http://schemas.microsoft.com/office/drawing/2014/main" xmlns="" id="{A3453C25-248F-4E81-809E-8D4D299CD48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316" name="Text Box 2007">
          <a:extLst>
            <a:ext uri="{FF2B5EF4-FFF2-40B4-BE49-F238E27FC236}">
              <a16:creationId xmlns:a16="http://schemas.microsoft.com/office/drawing/2014/main" xmlns="" id="{860680F6-8DEF-4458-BB24-3D3BC2332C6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317" name="Text Box 2008">
          <a:extLst>
            <a:ext uri="{FF2B5EF4-FFF2-40B4-BE49-F238E27FC236}">
              <a16:creationId xmlns:a16="http://schemas.microsoft.com/office/drawing/2014/main" xmlns="" id="{3006B667-E879-4D9B-9ABD-01CD2C768C4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318" name="Text Box 2009">
          <a:extLst>
            <a:ext uri="{FF2B5EF4-FFF2-40B4-BE49-F238E27FC236}">
              <a16:creationId xmlns:a16="http://schemas.microsoft.com/office/drawing/2014/main" xmlns="" id="{67E1EBA6-7853-4977-9A09-DC8689D53FDE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319" name="Text Box 2010">
          <a:extLst>
            <a:ext uri="{FF2B5EF4-FFF2-40B4-BE49-F238E27FC236}">
              <a16:creationId xmlns:a16="http://schemas.microsoft.com/office/drawing/2014/main" xmlns="" id="{5EF1F453-4EA6-4351-B365-5DA1846CB3AF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320" name="Text Box 2011">
          <a:extLst>
            <a:ext uri="{FF2B5EF4-FFF2-40B4-BE49-F238E27FC236}">
              <a16:creationId xmlns:a16="http://schemas.microsoft.com/office/drawing/2014/main" xmlns="" id="{3F718763-72D9-44A8-8B88-FFCDC9A7DBF3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321" name="Text Box 2012">
          <a:extLst>
            <a:ext uri="{FF2B5EF4-FFF2-40B4-BE49-F238E27FC236}">
              <a16:creationId xmlns:a16="http://schemas.microsoft.com/office/drawing/2014/main" xmlns="" id="{E993FD44-3C3C-495D-9202-4DF6915703DE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322" name="Text Box 2013">
          <a:extLst>
            <a:ext uri="{FF2B5EF4-FFF2-40B4-BE49-F238E27FC236}">
              <a16:creationId xmlns:a16="http://schemas.microsoft.com/office/drawing/2014/main" xmlns="" id="{32FED718-90C5-4C11-BB0F-E98AABE2E16C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323" name="Text Box 2014">
          <a:extLst>
            <a:ext uri="{FF2B5EF4-FFF2-40B4-BE49-F238E27FC236}">
              <a16:creationId xmlns:a16="http://schemas.microsoft.com/office/drawing/2014/main" xmlns="" id="{2C13CB50-A249-4748-8BFE-2B47484B96A4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324" name="Text Box 2015">
          <a:extLst>
            <a:ext uri="{FF2B5EF4-FFF2-40B4-BE49-F238E27FC236}">
              <a16:creationId xmlns:a16="http://schemas.microsoft.com/office/drawing/2014/main" xmlns="" id="{B7098597-25F6-455E-9DE3-7248C47CC650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325" name="Text Box 2016">
          <a:extLst>
            <a:ext uri="{FF2B5EF4-FFF2-40B4-BE49-F238E27FC236}">
              <a16:creationId xmlns:a16="http://schemas.microsoft.com/office/drawing/2014/main" xmlns="" id="{326A1E85-FC73-4360-8256-943281A99CFD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326" name="Text Box 2017">
          <a:extLst>
            <a:ext uri="{FF2B5EF4-FFF2-40B4-BE49-F238E27FC236}">
              <a16:creationId xmlns:a16="http://schemas.microsoft.com/office/drawing/2014/main" xmlns="" id="{FCA04363-3E36-40E5-A185-C87966248326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327" name="Text Box 2018">
          <a:extLst>
            <a:ext uri="{FF2B5EF4-FFF2-40B4-BE49-F238E27FC236}">
              <a16:creationId xmlns:a16="http://schemas.microsoft.com/office/drawing/2014/main" xmlns="" id="{ADAEDB0C-5DD1-47BA-B3E1-064D95B52116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328" name="Text Box 2019">
          <a:extLst>
            <a:ext uri="{FF2B5EF4-FFF2-40B4-BE49-F238E27FC236}">
              <a16:creationId xmlns:a16="http://schemas.microsoft.com/office/drawing/2014/main" xmlns="" id="{C2CDA01B-F95C-4D68-B248-071031912CE0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329" name="Text Box 2020">
          <a:extLst>
            <a:ext uri="{FF2B5EF4-FFF2-40B4-BE49-F238E27FC236}">
              <a16:creationId xmlns:a16="http://schemas.microsoft.com/office/drawing/2014/main" xmlns="" id="{65C8EE41-F41F-4ECE-89AB-0BC1C6683F88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330" name="Text Box 2021">
          <a:extLst>
            <a:ext uri="{FF2B5EF4-FFF2-40B4-BE49-F238E27FC236}">
              <a16:creationId xmlns:a16="http://schemas.microsoft.com/office/drawing/2014/main" xmlns="" id="{2AD8FAE9-B5AD-4422-A2A7-2B88EABBDACB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331" name="Text Box 2022">
          <a:extLst>
            <a:ext uri="{FF2B5EF4-FFF2-40B4-BE49-F238E27FC236}">
              <a16:creationId xmlns:a16="http://schemas.microsoft.com/office/drawing/2014/main" xmlns="" id="{EC111F52-2A43-4E39-9BB8-F75779D1F25B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332" name="Text Box 2023">
          <a:extLst>
            <a:ext uri="{FF2B5EF4-FFF2-40B4-BE49-F238E27FC236}">
              <a16:creationId xmlns:a16="http://schemas.microsoft.com/office/drawing/2014/main" xmlns="" id="{7F63730D-AD31-4D7F-B9C2-2626681BE9D1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333" name="Text Box 2024">
          <a:extLst>
            <a:ext uri="{FF2B5EF4-FFF2-40B4-BE49-F238E27FC236}">
              <a16:creationId xmlns:a16="http://schemas.microsoft.com/office/drawing/2014/main" xmlns="" id="{8AB84C58-6BCF-44B0-83AD-2A6402C0F6A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334" name="Text Box 2025">
          <a:extLst>
            <a:ext uri="{FF2B5EF4-FFF2-40B4-BE49-F238E27FC236}">
              <a16:creationId xmlns:a16="http://schemas.microsoft.com/office/drawing/2014/main" xmlns="" id="{C7EB5EBF-E654-41D1-9869-623F161F5AC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335" name="Text Box 2026">
          <a:extLst>
            <a:ext uri="{FF2B5EF4-FFF2-40B4-BE49-F238E27FC236}">
              <a16:creationId xmlns:a16="http://schemas.microsoft.com/office/drawing/2014/main" xmlns="" id="{0ACEF0AA-0C56-4F87-8772-EE0874714A61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336" name="Text Box 2027">
          <a:extLst>
            <a:ext uri="{FF2B5EF4-FFF2-40B4-BE49-F238E27FC236}">
              <a16:creationId xmlns:a16="http://schemas.microsoft.com/office/drawing/2014/main" xmlns="" id="{99CF6E46-49D9-4BAC-8BA9-ACC2DC9BA237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337" name="Text Box 2028">
          <a:extLst>
            <a:ext uri="{FF2B5EF4-FFF2-40B4-BE49-F238E27FC236}">
              <a16:creationId xmlns:a16="http://schemas.microsoft.com/office/drawing/2014/main" xmlns="" id="{728E4A1F-BC83-440A-8F9E-FE6D75BA4826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338" name="Text Box 2029">
          <a:extLst>
            <a:ext uri="{FF2B5EF4-FFF2-40B4-BE49-F238E27FC236}">
              <a16:creationId xmlns:a16="http://schemas.microsoft.com/office/drawing/2014/main" xmlns="" id="{43974F4E-D17D-4909-A269-7746F5432A67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339" name="Text Box 2030">
          <a:extLst>
            <a:ext uri="{FF2B5EF4-FFF2-40B4-BE49-F238E27FC236}">
              <a16:creationId xmlns:a16="http://schemas.microsoft.com/office/drawing/2014/main" xmlns="" id="{CD917C35-0AFA-4D6D-A05F-65AF5CE77E9A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340" name="Text Box 2031">
          <a:extLst>
            <a:ext uri="{FF2B5EF4-FFF2-40B4-BE49-F238E27FC236}">
              <a16:creationId xmlns:a16="http://schemas.microsoft.com/office/drawing/2014/main" xmlns="" id="{9FCFDAC5-644A-4396-827B-09A412CA3216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341" name="Text Box 2032">
          <a:extLst>
            <a:ext uri="{FF2B5EF4-FFF2-40B4-BE49-F238E27FC236}">
              <a16:creationId xmlns:a16="http://schemas.microsoft.com/office/drawing/2014/main" xmlns="" id="{77092C09-E468-4646-BC1E-DADD2C253CD6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342" name="Text Box 2033">
          <a:extLst>
            <a:ext uri="{FF2B5EF4-FFF2-40B4-BE49-F238E27FC236}">
              <a16:creationId xmlns:a16="http://schemas.microsoft.com/office/drawing/2014/main" xmlns="" id="{585B01A6-ECC8-4CF9-829F-1BDC89633007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343" name="Text Box 2034">
          <a:extLst>
            <a:ext uri="{FF2B5EF4-FFF2-40B4-BE49-F238E27FC236}">
              <a16:creationId xmlns:a16="http://schemas.microsoft.com/office/drawing/2014/main" xmlns="" id="{93CA6740-46AD-474C-899C-4592F5DC5FBB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344" name="Text Box 2035">
          <a:extLst>
            <a:ext uri="{FF2B5EF4-FFF2-40B4-BE49-F238E27FC236}">
              <a16:creationId xmlns:a16="http://schemas.microsoft.com/office/drawing/2014/main" xmlns="" id="{E8A11488-2F1C-40CF-B7BA-C0E1A35B042F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345" name="Text Box 2036">
          <a:extLst>
            <a:ext uri="{FF2B5EF4-FFF2-40B4-BE49-F238E27FC236}">
              <a16:creationId xmlns:a16="http://schemas.microsoft.com/office/drawing/2014/main" xmlns="" id="{BB5BC64E-01B5-4542-8380-3488359152D6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346" name="Text Box 2037">
          <a:extLst>
            <a:ext uri="{FF2B5EF4-FFF2-40B4-BE49-F238E27FC236}">
              <a16:creationId xmlns:a16="http://schemas.microsoft.com/office/drawing/2014/main" xmlns="" id="{39FF0DD6-A864-49ED-A2D8-FACD7248DDFE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347" name="Text Box 2038">
          <a:extLst>
            <a:ext uri="{FF2B5EF4-FFF2-40B4-BE49-F238E27FC236}">
              <a16:creationId xmlns:a16="http://schemas.microsoft.com/office/drawing/2014/main" xmlns="" id="{1A5E006B-0710-4E7E-8CD2-9EC0E251518E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348" name="Text Box 2039">
          <a:extLst>
            <a:ext uri="{FF2B5EF4-FFF2-40B4-BE49-F238E27FC236}">
              <a16:creationId xmlns:a16="http://schemas.microsoft.com/office/drawing/2014/main" xmlns="" id="{5203FA3F-532E-45D8-A4A3-23172F358231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349" name="Text Box 2040">
          <a:extLst>
            <a:ext uri="{FF2B5EF4-FFF2-40B4-BE49-F238E27FC236}">
              <a16:creationId xmlns:a16="http://schemas.microsoft.com/office/drawing/2014/main" xmlns="" id="{237945FD-A41A-4C61-BACC-7C9E2D58C80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350" name="Text Box 2041">
          <a:extLst>
            <a:ext uri="{FF2B5EF4-FFF2-40B4-BE49-F238E27FC236}">
              <a16:creationId xmlns:a16="http://schemas.microsoft.com/office/drawing/2014/main" xmlns="" id="{A730A7A9-C5DB-43D8-883D-A22D21585A2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351" name="Text Box 2042">
          <a:extLst>
            <a:ext uri="{FF2B5EF4-FFF2-40B4-BE49-F238E27FC236}">
              <a16:creationId xmlns:a16="http://schemas.microsoft.com/office/drawing/2014/main" xmlns="" id="{58E56937-9690-4075-80B5-674236524A9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352" name="Text Box 2043">
          <a:extLst>
            <a:ext uri="{FF2B5EF4-FFF2-40B4-BE49-F238E27FC236}">
              <a16:creationId xmlns:a16="http://schemas.microsoft.com/office/drawing/2014/main" xmlns="" id="{8CC0A69B-15B6-46FC-86C3-A9D1255FC9F9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353" name="Text Box 2044">
          <a:extLst>
            <a:ext uri="{FF2B5EF4-FFF2-40B4-BE49-F238E27FC236}">
              <a16:creationId xmlns:a16="http://schemas.microsoft.com/office/drawing/2014/main" xmlns="" id="{6C923887-62A5-4068-86A5-F9C2345F1975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354" name="Text Box 2045">
          <a:extLst>
            <a:ext uri="{FF2B5EF4-FFF2-40B4-BE49-F238E27FC236}">
              <a16:creationId xmlns:a16="http://schemas.microsoft.com/office/drawing/2014/main" xmlns="" id="{0CFEB0D4-5301-48EE-A2FF-C786F9D49D90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355" name="Text Box 2046">
          <a:extLst>
            <a:ext uri="{FF2B5EF4-FFF2-40B4-BE49-F238E27FC236}">
              <a16:creationId xmlns:a16="http://schemas.microsoft.com/office/drawing/2014/main" xmlns="" id="{0EB0CBD9-7063-477F-A959-4F6799FCC4BC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356" name="Text Box 2047">
          <a:extLst>
            <a:ext uri="{FF2B5EF4-FFF2-40B4-BE49-F238E27FC236}">
              <a16:creationId xmlns:a16="http://schemas.microsoft.com/office/drawing/2014/main" xmlns="" id="{118CEC92-2E24-4083-BA6E-419A47BE225B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357" name="Text Box 2048">
          <a:extLst>
            <a:ext uri="{FF2B5EF4-FFF2-40B4-BE49-F238E27FC236}">
              <a16:creationId xmlns:a16="http://schemas.microsoft.com/office/drawing/2014/main" xmlns="" id="{328859EA-2AA4-4980-A8C2-4FB0CE937FD7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358" name="Text Box 2049">
          <a:extLst>
            <a:ext uri="{FF2B5EF4-FFF2-40B4-BE49-F238E27FC236}">
              <a16:creationId xmlns:a16="http://schemas.microsoft.com/office/drawing/2014/main" xmlns="" id="{6C3E678C-E7EB-4F88-A9D1-109B784F90E3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359" name="Text Box 2050">
          <a:extLst>
            <a:ext uri="{FF2B5EF4-FFF2-40B4-BE49-F238E27FC236}">
              <a16:creationId xmlns:a16="http://schemas.microsoft.com/office/drawing/2014/main" xmlns="" id="{873CA9DF-6093-429F-AC1B-7EAA3D8B52D8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360" name="Text Box 2051">
          <a:extLst>
            <a:ext uri="{FF2B5EF4-FFF2-40B4-BE49-F238E27FC236}">
              <a16:creationId xmlns:a16="http://schemas.microsoft.com/office/drawing/2014/main" xmlns="" id="{DA55E2E9-2796-4E8B-82E0-0E09E1EF92DF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361" name="Text Box 2052">
          <a:extLst>
            <a:ext uri="{FF2B5EF4-FFF2-40B4-BE49-F238E27FC236}">
              <a16:creationId xmlns:a16="http://schemas.microsoft.com/office/drawing/2014/main" xmlns="" id="{2EAAAC04-45C7-464E-8238-2AD473DC99D2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362" name="Text Box 2053">
          <a:extLst>
            <a:ext uri="{FF2B5EF4-FFF2-40B4-BE49-F238E27FC236}">
              <a16:creationId xmlns:a16="http://schemas.microsoft.com/office/drawing/2014/main" xmlns="" id="{2A4D01F2-28F4-42EA-92EE-4AC06F80744C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363" name="Text Box 2054">
          <a:extLst>
            <a:ext uri="{FF2B5EF4-FFF2-40B4-BE49-F238E27FC236}">
              <a16:creationId xmlns:a16="http://schemas.microsoft.com/office/drawing/2014/main" xmlns="" id="{B4E7D92C-2681-4486-9E56-02FD644FC467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364" name="Text Box 2055">
          <a:extLst>
            <a:ext uri="{FF2B5EF4-FFF2-40B4-BE49-F238E27FC236}">
              <a16:creationId xmlns:a16="http://schemas.microsoft.com/office/drawing/2014/main" xmlns="" id="{18133352-9A69-481C-8AE1-FF03D4B1335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365" name="Text Box 2056">
          <a:extLst>
            <a:ext uri="{FF2B5EF4-FFF2-40B4-BE49-F238E27FC236}">
              <a16:creationId xmlns:a16="http://schemas.microsoft.com/office/drawing/2014/main" xmlns="" id="{FC3A82F6-5722-4F08-AD9A-F67880307B8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366" name="Text Box 2057">
          <a:extLst>
            <a:ext uri="{FF2B5EF4-FFF2-40B4-BE49-F238E27FC236}">
              <a16:creationId xmlns:a16="http://schemas.microsoft.com/office/drawing/2014/main" xmlns="" id="{41444CBE-E7F3-435F-B400-B2B40532206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367" name="Text Box 2058">
          <a:extLst>
            <a:ext uri="{FF2B5EF4-FFF2-40B4-BE49-F238E27FC236}">
              <a16:creationId xmlns:a16="http://schemas.microsoft.com/office/drawing/2014/main" xmlns="" id="{46FB4033-AE72-459B-B02B-3324709CAE2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368" name="Text Box 2059">
          <a:extLst>
            <a:ext uri="{FF2B5EF4-FFF2-40B4-BE49-F238E27FC236}">
              <a16:creationId xmlns:a16="http://schemas.microsoft.com/office/drawing/2014/main" xmlns="" id="{71C51C80-F996-4C84-9603-D8DE8A575030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369" name="Text Box 2060">
          <a:extLst>
            <a:ext uri="{FF2B5EF4-FFF2-40B4-BE49-F238E27FC236}">
              <a16:creationId xmlns:a16="http://schemas.microsoft.com/office/drawing/2014/main" xmlns="" id="{4AA91597-3967-4E45-B7E1-F794486495A6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370" name="Text Box 2061">
          <a:extLst>
            <a:ext uri="{FF2B5EF4-FFF2-40B4-BE49-F238E27FC236}">
              <a16:creationId xmlns:a16="http://schemas.microsoft.com/office/drawing/2014/main" xmlns="" id="{37FC7FAD-E5D9-49DB-AF2C-E7DB236388B5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371" name="Text Box 2062">
          <a:extLst>
            <a:ext uri="{FF2B5EF4-FFF2-40B4-BE49-F238E27FC236}">
              <a16:creationId xmlns:a16="http://schemas.microsoft.com/office/drawing/2014/main" xmlns="" id="{09455E3D-4446-4D99-BC73-6403B3216AB2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372" name="Text Box 2063">
          <a:extLst>
            <a:ext uri="{FF2B5EF4-FFF2-40B4-BE49-F238E27FC236}">
              <a16:creationId xmlns:a16="http://schemas.microsoft.com/office/drawing/2014/main" xmlns="" id="{F4801A9D-3378-411A-B2DE-C2253A4DDB87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373" name="Text Box 2064">
          <a:extLst>
            <a:ext uri="{FF2B5EF4-FFF2-40B4-BE49-F238E27FC236}">
              <a16:creationId xmlns:a16="http://schemas.microsoft.com/office/drawing/2014/main" xmlns="" id="{928193CA-314B-4537-98E4-759EB28CFF80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374" name="Text Box 2065">
          <a:extLst>
            <a:ext uri="{FF2B5EF4-FFF2-40B4-BE49-F238E27FC236}">
              <a16:creationId xmlns:a16="http://schemas.microsoft.com/office/drawing/2014/main" xmlns="" id="{7252E269-AD0A-4F72-9A7B-97AB1B91DCEB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375" name="Text Box 2066">
          <a:extLst>
            <a:ext uri="{FF2B5EF4-FFF2-40B4-BE49-F238E27FC236}">
              <a16:creationId xmlns:a16="http://schemas.microsoft.com/office/drawing/2014/main" xmlns="" id="{ACF4B6C4-9305-4F58-9785-3EF88E311FB2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376" name="Text Box 2067">
          <a:extLst>
            <a:ext uri="{FF2B5EF4-FFF2-40B4-BE49-F238E27FC236}">
              <a16:creationId xmlns:a16="http://schemas.microsoft.com/office/drawing/2014/main" xmlns="" id="{640E1E4B-8F26-493F-9274-B1D6F5272409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377" name="Text Box 2068">
          <a:extLst>
            <a:ext uri="{FF2B5EF4-FFF2-40B4-BE49-F238E27FC236}">
              <a16:creationId xmlns:a16="http://schemas.microsoft.com/office/drawing/2014/main" xmlns="" id="{6DDBACF4-7196-4759-8A10-6B0ABF72C140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378" name="Text Box 2069">
          <a:extLst>
            <a:ext uri="{FF2B5EF4-FFF2-40B4-BE49-F238E27FC236}">
              <a16:creationId xmlns:a16="http://schemas.microsoft.com/office/drawing/2014/main" xmlns="" id="{E1B78196-4FAD-4576-80ED-0014F38E1592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379" name="Text Box 2070">
          <a:extLst>
            <a:ext uri="{FF2B5EF4-FFF2-40B4-BE49-F238E27FC236}">
              <a16:creationId xmlns:a16="http://schemas.microsoft.com/office/drawing/2014/main" xmlns="" id="{63B61CF9-2B87-4756-AAED-BA8873534F9A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380" name="Text Box 2071">
          <a:extLst>
            <a:ext uri="{FF2B5EF4-FFF2-40B4-BE49-F238E27FC236}">
              <a16:creationId xmlns:a16="http://schemas.microsoft.com/office/drawing/2014/main" xmlns="" id="{128A8E01-E212-42B2-BBBC-7E6DD0ABC4F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381" name="Text Box 2072">
          <a:extLst>
            <a:ext uri="{FF2B5EF4-FFF2-40B4-BE49-F238E27FC236}">
              <a16:creationId xmlns:a16="http://schemas.microsoft.com/office/drawing/2014/main" xmlns="" id="{DBA659AA-9AF4-43C8-97B4-1509811C10F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382" name="Text Box 2073">
          <a:extLst>
            <a:ext uri="{FF2B5EF4-FFF2-40B4-BE49-F238E27FC236}">
              <a16:creationId xmlns:a16="http://schemas.microsoft.com/office/drawing/2014/main" xmlns="" id="{413897BA-A7CB-4FF0-A0B0-7E617462ABC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383" name="Text Box 2074">
          <a:extLst>
            <a:ext uri="{FF2B5EF4-FFF2-40B4-BE49-F238E27FC236}">
              <a16:creationId xmlns:a16="http://schemas.microsoft.com/office/drawing/2014/main" xmlns="" id="{E3DC4889-1226-49BB-B9E4-06FE3F4495C8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384" name="Text Box 2075">
          <a:extLst>
            <a:ext uri="{FF2B5EF4-FFF2-40B4-BE49-F238E27FC236}">
              <a16:creationId xmlns:a16="http://schemas.microsoft.com/office/drawing/2014/main" xmlns="" id="{EF9D8B31-5672-4D08-94C2-A998FD5CBA71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385" name="Text Box 2076">
          <a:extLst>
            <a:ext uri="{FF2B5EF4-FFF2-40B4-BE49-F238E27FC236}">
              <a16:creationId xmlns:a16="http://schemas.microsoft.com/office/drawing/2014/main" xmlns="" id="{CFC3F40E-EF04-4ADA-902C-427AE0E2A161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386" name="Text Box 2077">
          <a:extLst>
            <a:ext uri="{FF2B5EF4-FFF2-40B4-BE49-F238E27FC236}">
              <a16:creationId xmlns:a16="http://schemas.microsoft.com/office/drawing/2014/main" xmlns="" id="{6979A4A9-758A-4638-A8CB-AB4B2CB7C946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387" name="Text Box 2078">
          <a:extLst>
            <a:ext uri="{FF2B5EF4-FFF2-40B4-BE49-F238E27FC236}">
              <a16:creationId xmlns:a16="http://schemas.microsoft.com/office/drawing/2014/main" xmlns="" id="{A030134D-6729-4159-BC45-203ABB309FEF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388" name="Text Box 2079">
          <a:extLst>
            <a:ext uri="{FF2B5EF4-FFF2-40B4-BE49-F238E27FC236}">
              <a16:creationId xmlns:a16="http://schemas.microsoft.com/office/drawing/2014/main" xmlns="" id="{21A9926B-4CC5-44AA-8CBD-34D876C91562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389" name="Text Box 2080">
          <a:extLst>
            <a:ext uri="{FF2B5EF4-FFF2-40B4-BE49-F238E27FC236}">
              <a16:creationId xmlns:a16="http://schemas.microsoft.com/office/drawing/2014/main" xmlns="" id="{869C393F-FDB5-4F74-B6DD-1AB28569E019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390" name="Text Box 2081">
          <a:extLst>
            <a:ext uri="{FF2B5EF4-FFF2-40B4-BE49-F238E27FC236}">
              <a16:creationId xmlns:a16="http://schemas.microsoft.com/office/drawing/2014/main" xmlns="" id="{84E7224F-DA41-48E3-973B-2667452F44C4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391" name="Text Box 2082">
          <a:extLst>
            <a:ext uri="{FF2B5EF4-FFF2-40B4-BE49-F238E27FC236}">
              <a16:creationId xmlns:a16="http://schemas.microsoft.com/office/drawing/2014/main" xmlns="" id="{7B2A653C-54A6-4EE1-B9C3-C03EE16C7EF1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392" name="Text Box 2083">
          <a:extLst>
            <a:ext uri="{FF2B5EF4-FFF2-40B4-BE49-F238E27FC236}">
              <a16:creationId xmlns:a16="http://schemas.microsoft.com/office/drawing/2014/main" xmlns="" id="{CBA13C20-FB65-461D-8773-B406654DE85D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393" name="Text Box 2084">
          <a:extLst>
            <a:ext uri="{FF2B5EF4-FFF2-40B4-BE49-F238E27FC236}">
              <a16:creationId xmlns:a16="http://schemas.microsoft.com/office/drawing/2014/main" xmlns="" id="{7C61E26D-ECD5-4F92-98FA-27973CD31432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394" name="Text Box 2085">
          <a:extLst>
            <a:ext uri="{FF2B5EF4-FFF2-40B4-BE49-F238E27FC236}">
              <a16:creationId xmlns:a16="http://schemas.microsoft.com/office/drawing/2014/main" xmlns="" id="{3DB077E2-344E-4F54-AB0A-18929AC597E4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395" name="Text Box 2086">
          <a:extLst>
            <a:ext uri="{FF2B5EF4-FFF2-40B4-BE49-F238E27FC236}">
              <a16:creationId xmlns:a16="http://schemas.microsoft.com/office/drawing/2014/main" xmlns="" id="{D497143C-4BE3-4537-8003-F828CFC002D1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396" name="Text Box 2087">
          <a:extLst>
            <a:ext uri="{FF2B5EF4-FFF2-40B4-BE49-F238E27FC236}">
              <a16:creationId xmlns:a16="http://schemas.microsoft.com/office/drawing/2014/main" xmlns="" id="{D50EE13B-72F6-4F1B-A3DB-18F975295798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397" name="Text Box 2088">
          <a:extLst>
            <a:ext uri="{FF2B5EF4-FFF2-40B4-BE49-F238E27FC236}">
              <a16:creationId xmlns:a16="http://schemas.microsoft.com/office/drawing/2014/main" xmlns="" id="{884F3A8A-D70A-444C-BBC8-19D086B0EB9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398" name="Text Box 2089">
          <a:extLst>
            <a:ext uri="{FF2B5EF4-FFF2-40B4-BE49-F238E27FC236}">
              <a16:creationId xmlns:a16="http://schemas.microsoft.com/office/drawing/2014/main" xmlns="" id="{FADAC8F2-93B0-404C-BBBD-EDEADA9A1AB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399" name="Text Box 2090">
          <a:extLst>
            <a:ext uri="{FF2B5EF4-FFF2-40B4-BE49-F238E27FC236}">
              <a16:creationId xmlns:a16="http://schemas.microsoft.com/office/drawing/2014/main" xmlns="" id="{A7D22099-ECC4-4D4F-A253-23C5448759C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400" name="Text Box 2091">
          <a:extLst>
            <a:ext uri="{FF2B5EF4-FFF2-40B4-BE49-F238E27FC236}">
              <a16:creationId xmlns:a16="http://schemas.microsoft.com/office/drawing/2014/main" xmlns="" id="{2B5CBF23-3C6A-4CE3-9CD3-F91C8D9888E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401" name="Text Box 2092">
          <a:extLst>
            <a:ext uri="{FF2B5EF4-FFF2-40B4-BE49-F238E27FC236}">
              <a16:creationId xmlns:a16="http://schemas.microsoft.com/office/drawing/2014/main" xmlns="" id="{55894615-5B02-46F8-8771-7AD74D0683B1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402" name="Text Box 2093">
          <a:extLst>
            <a:ext uri="{FF2B5EF4-FFF2-40B4-BE49-F238E27FC236}">
              <a16:creationId xmlns:a16="http://schemas.microsoft.com/office/drawing/2014/main" xmlns="" id="{07C5F9DA-D985-478A-9D64-6B8609926AEE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403" name="Text Box 2094">
          <a:extLst>
            <a:ext uri="{FF2B5EF4-FFF2-40B4-BE49-F238E27FC236}">
              <a16:creationId xmlns:a16="http://schemas.microsoft.com/office/drawing/2014/main" xmlns="" id="{868A91F3-036A-4329-93DB-738A111112D1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404" name="Text Box 2095">
          <a:extLst>
            <a:ext uri="{FF2B5EF4-FFF2-40B4-BE49-F238E27FC236}">
              <a16:creationId xmlns:a16="http://schemas.microsoft.com/office/drawing/2014/main" xmlns="" id="{65DDD466-5DC4-4DD1-9599-4A721FB32DFA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405" name="Text Box 2096">
          <a:extLst>
            <a:ext uri="{FF2B5EF4-FFF2-40B4-BE49-F238E27FC236}">
              <a16:creationId xmlns:a16="http://schemas.microsoft.com/office/drawing/2014/main" xmlns="" id="{29163933-6C2F-41D9-994C-F807BE73DAF2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406" name="Text Box 2097">
          <a:extLst>
            <a:ext uri="{FF2B5EF4-FFF2-40B4-BE49-F238E27FC236}">
              <a16:creationId xmlns:a16="http://schemas.microsoft.com/office/drawing/2014/main" xmlns="" id="{57E7A9C3-D0E7-4CC7-8E62-AC16A285B7C7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407" name="Text Box 2098">
          <a:extLst>
            <a:ext uri="{FF2B5EF4-FFF2-40B4-BE49-F238E27FC236}">
              <a16:creationId xmlns:a16="http://schemas.microsoft.com/office/drawing/2014/main" xmlns="" id="{0876A12D-63CF-47FC-B768-52F4A76FB2B2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408" name="Text Box 2099">
          <a:extLst>
            <a:ext uri="{FF2B5EF4-FFF2-40B4-BE49-F238E27FC236}">
              <a16:creationId xmlns:a16="http://schemas.microsoft.com/office/drawing/2014/main" xmlns="" id="{8EE828F1-2EDF-4E0E-9327-8B138FFCD91E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409" name="Text Box 2100">
          <a:extLst>
            <a:ext uri="{FF2B5EF4-FFF2-40B4-BE49-F238E27FC236}">
              <a16:creationId xmlns:a16="http://schemas.microsoft.com/office/drawing/2014/main" xmlns="" id="{58B261E8-3A5E-4EB9-9639-AA19CA7BB52B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410" name="Text Box 2101">
          <a:extLst>
            <a:ext uri="{FF2B5EF4-FFF2-40B4-BE49-F238E27FC236}">
              <a16:creationId xmlns:a16="http://schemas.microsoft.com/office/drawing/2014/main" xmlns="" id="{A7F90A33-9742-433E-A797-C7747BEA8424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411" name="Text Box 2102">
          <a:extLst>
            <a:ext uri="{FF2B5EF4-FFF2-40B4-BE49-F238E27FC236}">
              <a16:creationId xmlns:a16="http://schemas.microsoft.com/office/drawing/2014/main" xmlns="" id="{11760962-FC1A-479E-AFAE-D460208104AF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412" name="Text Box 2103">
          <a:extLst>
            <a:ext uri="{FF2B5EF4-FFF2-40B4-BE49-F238E27FC236}">
              <a16:creationId xmlns:a16="http://schemas.microsoft.com/office/drawing/2014/main" xmlns="" id="{15CADE5F-1B3A-4A8E-AEE9-91E6E3624422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413" name="Text Box 2104">
          <a:extLst>
            <a:ext uri="{FF2B5EF4-FFF2-40B4-BE49-F238E27FC236}">
              <a16:creationId xmlns:a16="http://schemas.microsoft.com/office/drawing/2014/main" xmlns="" id="{1A62C5CA-60C1-4389-B64D-0093E184C65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414" name="Text Box 2105">
          <a:extLst>
            <a:ext uri="{FF2B5EF4-FFF2-40B4-BE49-F238E27FC236}">
              <a16:creationId xmlns:a16="http://schemas.microsoft.com/office/drawing/2014/main" xmlns="" id="{7F577CB1-8C2A-4EB7-976F-22B76FAF1EC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415" name="Text Box 2106">
          <a:extLst>
            <a:ext uri="{FF2B5EF4-FFF2-40B4-BE49-F238E27FC236}">
              <a16:creationId xmlns:a16="http://schemas.microsoft.com/office/drawing/2014/main" xmlns="" id="{4BD57F95-D1BE-4229-B313-1B929F3AB88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416" name="Text Box 2107">
          <a:extLst>
            <a:ext uri="{FF2B5EF4-FFF2-40B4-BE49-F238E27FC236}">
              <a16:creationId xmlns:a16="http://schemas.microsoft.com/office/drawing/2014/main" xmlns="" id="{7DC5F240-9E60-4BDC-BF97-658ADB85DB7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417" name="Text Box 2108">
          <a:extLst>
            <a:ext uri="{FF2B5EF4-FFF2-40B4-BE49-F238E27FC236}">
              <a16:creationId xmlns:a16="http://schemas.microsoft.com/office/drawing/2014/main" xmlns="" id="{70B0D565-D607-4B45-B7C4-20990EA93065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418" name="Text Box 2109">
          <a:extLst>
            <a:ext uri="{FF2B5EF4-FFF2-40B4-BE49-F238E27FC236}">
              <a16:creationId xmlns:a16="http://schemas.microsoft.com/office/drawing/2014/main" xmlns="" id="{CEA6738D-E44E-4855-BA73-177A55DBD11E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419" name="Text Box 2110">
          <a:extLst>
            <a:ext uri="{FF2B5EF4-FFF2-40B4-BE49-F238E27FC236}">
              <a16:creationId xmlns:a16="http://schemas.microsoft.com/office/drawing/2014/main" xmlns="" id="{0B3AEDC9-42EC-4124-AC81-574E9BFF8D04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420" name="Text Box 2111">
          <a:extLst>
            <a:ext uri="{FF2B5EF4-FFF2-40B4-BE49-F238E27FC236}">
              <a16:creationId xmlns:a16="http://schemas.microsoft.com/office/drawing/2014/main" xmlns="" id="{A759175D-A489-4056-83EC-33358FA7C6C4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421" name="Text Box 2112">
          <a:extLst>
            <a:ext uri="{FF2B5EF4-FFF2-40B4-BE49-F238E27FC236}">
              <a16:creationId xmlns:a16="http://schemas.microsoft.com/office/drawing/2014/main" xmlns="" id="{504683F8-869A-4E38-B5B4-6960BDE0EE9A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422" name="Text Box 2113">
          <a:extLst>
            <a:ext uri="{FF2B5EF4-FFF2-40B4-BE49-F238E27FC236}">
              <a16:creationId xmlns:a16="http://schemas.microsoft.com/office/drawing/2014/main" xmlns="" id="{8334CBB2-C1E0-4295-9C7E-1D79EDA2B8FB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423" name="Text Box 2114">
          <a:extLst>
            <a:ext uri="{FF2B5EF4-FFF2-40B4-BE49-F238E27FC236}">
              <a16:creationId xmlns:a16="http://schemas.microsoft.com/office/drawing/2014/main" xmlns="" id="{0466A99A-B638-4970-B099-C231FC10AF0F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424" name="Text Box 2115">
          <a:extLst>
            <a:ext uri="{FF2B5EF4-FFF2-40B4-BE49-F238E27FC236}">
              <a16:creationId xmlns:a16="http://schemas.microsoft.com/office/drawing/2014/main" xmlns="" id="{4EFB04BB-D2AA-4E23-908A-785855BA97E9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425" name="Text Box 2116">
          <a:extLst>
            <a:ext uri="{FF2B5EF4-FFF2-40B4-BE49-F238E27FC236}">
              <a16:creationId xmlns:a16="http://schemas.microsoft.com/office/drawing/2014/main" xmlns="" id="{B7267616-8B37-4560-8C80-5E8758389C46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426" name="Text Box 2117">
          <a:extLst>
            <a:ext uri="{FF2B5EF4-FFF2-40B4-BE49-F238E27FC236}">
              <a16:creationId xmlns:a16="http://schemas.microsoft.com/office/drawing/2014/main" xmlns="" id="{7CC6C36B-D974-4020-B0E2-D579C3D16923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427" name="Text Box 2118">
          <a:extLst>
            <a:ext uri="{FF2B5EF4-FFF2-40B4-BE49-F238E27FC236}">
              <a16:creationId xmlns:a16="http://schemas.microsoft.com/office/drawing/2014/main" xmlns="" id="{DD82D7C0-C30E-42E3-AF6C-E26FD8FFBF98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428" name="Text Box 2119">
          <a:extLst>
            <a:ext uri="{FF2B5EF4-FFF2-40B4-BE49-F238E27FC236}">
              <a16:creationId xmlns:a16="http://schemas.microsoft.com/office/drawing/2014/main" xmlns="" id="{90A08BB7-738E-4980-951B-71E2C5A2C032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429" name="Text Box 2120">
          <a:extLst>
            <a:ext uri="{FF2B5EF4-FFF2-40B4-BE49-F238E27FC236}">
              <a16:creationId xmlns:a16="http://schemas.microsoft.com/office/drawing/2014/main" xmlns="" id="{0C9A0FB8-C8BA-47D3-885A-E98A7C6E949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430" name="Text Box 2121">
          <a:extLst>
            <a:ext uri="{FF2B5EF4-FFF2-40B4-BE49-F238E27FC236}">
              <a16:creationId xmlns:a16="http://schemas.microsoft.com/office/drawing/2014/main" xmlns="" id="{AF952665-E333-4256-B6BF-610373C6C40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431" name="Text Box 2122">
          <a:extLst>
            <a:ext uri="{FF2B5EF4-FFF2-40B4-BE49-F238E27FC236}">
              <a16:creationId xmlns:a16="http://schemas.microsoft.com/office/drawing/2014/main" xmlns="" id="{CFF1A63B-4A3B-4D04-8E41-9726100DA65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432" name="Text Box 2123">
          <a:extLst>
            <a:ext uri="{FF2B5EF4-FFF2-40B4-BE49-F238E27FC236}">
              <a16:creationId xmlns:a16="http://schemas.microsoft.com/office/drawing/2014/main" xmlns="" id="{E6EE2CC7-1806-4E16-9D51-BCEFD9F190C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433" name="Text Box 2124">
          <a:extLst>
            <a:ext uri="{FF2B5EF4-FFF2-40B4-BE49-F238E27FC236}">
              <a16:creationId xmlns:a16="http://schemas.microsoft.com/office/drawing/2014/main" xmlns="" id="{2AE708B1-06EB-4284-8237-D8A11BF68959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434" name="Text Box 2125">
          <a:extLst>
            <a:ext uri="{FF2B5EF4-FFF2-40B4-BE49-F238E27FC236}">
              <a16:creationId xmlns:a16="http://schemas.microsoft.com/office/drawing/2014/main" xmlns="" id="{B712D563-7331-4D16-BFA0-468A655F8C8F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435" name="Text Box 2126">
          <a:extLst>
            <a:ext uri="{FF2B5EF4-FFF2-40B4-BE49-F238E27FC236}">
              <a16:creationId xmlns:a16="http://schemas.microsoft.com/office/drawing/2014/main" xmlns="" id="{BE0230EF-2EF4-41BC-9A67-7A467DF82CEF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436" name="Text Box 2127">
          <a:extLst>
            <a:ext uri="{FF2B5EF4-FFF2-40B4-BE49-F238E27FC236}">
              <a16:creationId xmlns:a16="http://schemas.microsoft.com/office/drawing/2014/main" xmlns="" id="{E2BFE785-3E95-4E1D-86B6-39B64D48A7E8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437" name="Text Box 2128">
          <a:extLst>
            <a:ext uri="{FF2B5EF4-FFF2-40B4-BE49-F238E27FC236}">
              <a16:creationId xmlns:a16="http://schemas.microsoft.com/office/drawing/2014/main" xmlns="" id="{A6A46C1C-9FC6-4BFD-AEA0-190B5DFED3E3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438" name="Text Box 2129">
          <a:extLst>
            <a:ext uri="{FF2B5EF4-FFF2-40B4-BE49-F238E27FC236}">
              <a16:creationId xmlns:a16="http://schemas.microsoft.com/office/drawing/2014/main" xmlns="" id="{FB7A60A9-D967-49B8-B117-9954CC865C2A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439" name="Text Box 2130">
          <a:extLst>
            <a:ext uri="{FF2B5EF4-FFF2-40B4-BE49-F238E27FC236}">
              <a16:creationId xmlns:a16="http://schemas.microsoft.com/office/drawing/2014/main" xmlns="" id="{B451399B-BF60-4F5B-9432-050AC3B34825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440" name="Text Box 2131">
          <a:extLst>
            <a:ext uri="{FF2B5EF4-FFF2-40B4-BE49-F238E27FC236}">
              <a16:creationId xmlns:a16="http://schemas.microsoft.com/office/drawing/2014/main" xmlns="" id="{4D6213FB-E7AD-421D-B768-9A4B31102D4C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441" name="Text Box 2132">
          <a:extLst>
            <a:ext uri="{FF2B5EF4-FFF2-40B4-BE49-F238E27FC236}">
              <a16:creationId xmlns:a16="http://schemas.microsoft.com/office/drawing/2014/main" xmlns="" id="{A0A02759-2BB4-4C4A-A9A0-B1E4B0394007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442" name="Text Box 2133">
          <a:extLst>
            <a:ext uri="{FF2B5EF4-FFF2-40B4-BE49-F238E27FC236}">
              <a16:creationId xmlns:a16="http://schemas.microsoft.com/office/drawing/2014/main" xmlns="" id="{D3081165-3488-48DF-94B0-67F44A7EAA63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443" name="Text Box 2134">
          <a:extLst>
            <a:ext uri="{FF2B5EF4-FFF2-40B4-BE49-F238E27FC236}">
              <a16:creationId xmlns:a16="http://schemas.microsoft.com/office/drawing/2014/main" xmlns="" id="{332CFA3F-6E6C-4B5B-9C16-7FBE0A9456B1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444" name="Text Box 2135">
          <a:extLst>
            <a:ext uri="{FF2B5EF4-FFF2-40B4-BE49-F238E27FC236}">
              <a16:creationId xmlns:a16="http://schemas.microsoft.com/office/drawing/2014/main" xmlns="" id="{4FDA0DBD-16B3-4D36-A8D9-EC4B950913CF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445" name="Text Box 2136">
          <a:extLst>
            <a:ext uri="{FF2B5EF4-FFF2-40B4-BE49-F238E27FC236}">
              <a16:creationId xmlns:a16="http://schemas.microsoft.com/office/drawing/2014/main" xmlns="" id="{FA7B62AE-C072-484D-9C46-27DFA8F59ED7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446" name="Text Box 2137">
          <a:extLst>
            <a:ext uri="{FF2B5EF4-FFF2-40B4-BE49-F238E27FC236}">
              <a16:creationId xmlns:a16="http://schemas.microsoft.com/office/drawing/2014/main" xmlns="" id="{C99D5342-EC99-40B6-9A75-740487BD7A41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447" name="Text Box 2138">
          <a:extLst>
            <a:ext uri="{FF2B5EF4-FFF2-40B4-BE49-F238E27FC236}">
              <a16:creationId xmlns:a16="http://schemas.microsoft.com/office/drawing/2014/main" xmlns="" id="{F0B7D272-1508-47EF-AA90-A24FAE60C7A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448" name="Text Box 2139">
          <a:extLst>
            <a:ext uri="{FF2B5EF4-FFF2-40B4-BE49-F238E27FC236}">
              <a16:creationId xmlns:a16="http://schemas.microsoft.com/office/drawing/2014/main" xmlns="" id="{D04086CA-83DC-4560-8F46-02EC345C55A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449" name="Text Box 2140">
          <a:extLst>
            <a:ext uri="{FF2B5EF4-FFF2-40B4-BE49-F238E27FC236}">
              <a16:creationId xmlns:a16="http://schemas.microsoft.com/office/drawing/2014/main" xmlns="" id="{3E23A776-5604-4F57-A181-535D4EF90A30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450" name="Text Box 2141">
          <a:extLst>
            <a:ext uri="{FF2B5EF4-FFF2-40B4-BE49-F238E27FC236}">
              <a16:creationId xmlns:a16="http://schemas.microsoft.com/office/drawing/2014/main" xmlns="" id="{74D05612-9813-4661-B1E3-2F5AB039A3D9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451" name="Text Box 2142">
          <a:extLst>
            <a:ext uri="{FF2B5EF4-FFF2-40B4-BE49-F238E27FC236}">
              <a16:creationId xmlns:a16="http://schemas.microsoft.com/office/drawing/2014/main" xmlns="" id="{187086FC-4BC6-4E38-950F-E920AFB4000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452" name="Text Box 2143">
          <a:extLst>
            <a:ext uri="{FF2B5EF4-FFF2-40B4-BE49-F238E27FC236}">
              <a16:creationId xmlns:a16="http://schemas.microsoft.com/office/drawing/2014/main" xmlns="" id="{5195FD2E-0A08-440F-A746-BF26D1F5BB3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453" name="Text Box 2144">
          <a:extLst>
            <a:ext uri="{FF2B5EF4-FFF2-40B4-BE49-F238E27FC236}">
              <a16:creationId xmlns:a16="http://schemas.microsoft.com/office/drawing/2014/main" xmlns="" id="{F4E67AF5-05FB-46A7-B1FB-87F0954FECAC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454" name="Text Box 2145">
          <a:extLst>
            <a:ext uri="{FF2B5EF4-FFF2-40B4-BE49-F238E27FC236}">
              <a16:creationId xmlns:a16="http://schemas.microsoft.com/office/drawing/2014/main" xmlns="" id="{6589ADD3-DC3E-4AF6-ACE1-BC65696C34E3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455" name="Text Box 2146">
          <a:extLst>
            <a:ext uri="{FF2B5EF4-FFF2-40B4-BE49-F238E27FC236}">
              <a16:creationId xmlns:a16="http://schemas.microsoft.com/office/drawing/2014/main" xmlns="" id="{ED94FA58-0EEB-4A7C-A244-9CAE3794BAC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456" name="Text Box 2147">
          <a:extLst>
            <a:ext uri="{FF2B5EF4-FFF2-40B4-BE49-F238E27FC236}">
              <a16:creationId xmlns:a16="http://schemas.microsoft.com/office/drawing/2014/main" xmlns="" id="{162DEDD1-9633-4267-83AA-59EDB1ED941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457" name="Text Box 2148">
          <a:extLst>
            <a:ext uri="{FF2B5EF4-FFF2-40B4-BE49-F238E27FC236}">
              <a16:creationId xmlns:a16="http://schemas.microsoft.com/office/drawing/2014/main" xmlns="" id="{8D58B6B2-E682-41B0-96D0-8A0C1D258EE9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458" name="Text Box 2149">
          <a:extLst>
            <a:ext uri="{FF2B5EF4-FFF2-40B4-BE49-F238E27FC236}">
              <a16:creationId xmlns:a16="http://schemas.microsoft.com/office/drawing/2014/main" xmlns="" id="{3F30844A-6FE5-4DD6-BF6F-8707F9729193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459" name="Text Box 2150">
          <a:extLst>
            <a:ext uri="{FF2B5EF4-FFF2-40B4-BE49-F238E27FC236}">
              <a16:creationId xmlns:a16="http://schemas.microsoft.com/office/drawing/2014/main" xmlns="" id="{4B88348D-96F7-4E44-AD02-AF322DC84FE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460" name="Text Box 2151">
          <a:extLst>
            <a:ext uri="{FF2B5EF4-FFF2-40B4-BE49-F238E27FC236}">
              <a16:creationId xmlns:a16="http://schemas.microsoft.com/office/drawing/2014/main" xmlns="" id="{FCDDC7FA-DA93-4E4D-94CF-B06B04F9498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461" name="Text Box 2152">
          <a:extLst>
            <a:ext uri="{FF2B5EF4-FFF2-40B4-BE49-F238E27FC236}">
              <a16:creationId xmlns:a16="http://schemas.microsoft.com/office/drawing/2014/main" xmlns="" id="{2198CFB0-534C-41B5-86C9-70D9530545B6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462" name="Text Box 2153">
          <a:extLst>
            <a:ext uri="{FF2B5EF4-FFF2-40B4-BE49-F238E27FC236}">
              <a16:creationId xmlns:a16="http://schemas.microsoft.com/office/drawing/2014/main" xmlns="" id="{89A6679F-BD78-40A5-AADB-AEB9B31850E0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463" name="Text Box 2154">
          <a:extLst>
            <a:ext uri="{FF2B5EF4-FFF2-40B4-BE49-F238E27FC236}">
              <a16:creationId xmlns:a16="http://schemas.microsoft.com/office/drawing/2014/main" xmlns="" id="{40D6164C-6E16-48CC-B901-445DB9B1440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464" name="Text Box 2155">
          <a:extLst>
            <a:ext uri="{FF2B5EF4-FFF2-40B4-BE49-F238E27FC236}">
              <a16:creationId xmlns:a16="http://schemas.microsoft.com/office/drawing/2014/main" xmlns="" id="{597177B9-B066-4FF3-93A4-0EE5FA15B5E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465" name="Text Box 2156">
          <a:extLst>
            <a:ext uri="{FF2B5EF4-FFF2-40B4-BE49-F238E27FC236}">
              <a16:creationId xmlns:a16="http://schemas.microsoft.com/office/drawing/2014/main" xmlns="" id="{723E6199-94BE-47B4-81F0-29C0F2513B36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466" name="Text Box 2157">
          <a:extLst>
            <a:ext uri="{FF2B5EF4-FFF2-40B4-BE49-F238E27FC236}">
              <a16:creationId xmlns:a16="http://schemas.microsoft.com/office/drawing/2014/main" xmlns="" id="{50834B31-AA7E-430E-8C5D-870C075F957F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467" name="Text Box 2158">
          <a:extLst>
            <a:ext uri="{FF2B5EF4-FFF2-40B4-BE49-F238E27FC236}">
              <a16:creationId xmlns:a16="http://schemas.microsoft.com/office/drawing/2014/main" xmlns="" id="{3B18D8A4-2E5F-4EFA-8D33-A1561658D1F9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468" name="Text Box 2159">
          <a:extLst>
            <a:ext uri="{FF2B5EF4-FFF2-40B4-BE49-F238E27FC236}">
              <a16:creationId xmlns:a16="http://schemas.microsoft.com/office/drawing/2014/main" xmlns="" id="{0B120A82-7112-48B1-9AE2-C65044001148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469" name="Text Box 2160">
          <a:extLst>
            <a:ext uri="{FF2B5EF4-FFF2-40B4-BE49-F238E27FC236}">
              <a16:creationId xmlns:a16="http://schemas.microsoft.com/office/drawing/2014/main" xmlns="" id="{3CF0A8E1-B69B-46CD-84ED-C5BC5020218A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470" name="Text Box 2161">
          <a:extLst>
            <a:ext uri="{FF2B5EF4-FFF2-40B4-BE49-F238E27FC236}">
              <a16:creationId xmlns:a16="http://schemas.microsoft.com/office/drawing/2014/main" xmlns="" id="{72452F45-2D00-450A-A4E3-266D948EBABD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471" name="Text Box 2162">
          <a:extLst>
            <a:ext uri="{FF2B5EF4-FFF2-40B4-BE49-F238E27FC236}">
              <a16:creationId xmlns:a16="http://schemas.microsoft.com/office/drawing/2014/main" xmlns="" id="{518B5FEA-1B3A-4166-8BCC-716A13AFE72A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472" name="Text Box 2163">
          <a:extLst>
            <a:ext uri="{FF2B5EF4-FFF2-40B4-BE49-F238E27FC236}">
              <a16:creationId xmlns:a16="http://schemas.microsoft.com/office/drawing/2014/main" xmlns="" id="{162C7DF4-98DF-4A25-A213-F4B5F56D17CB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473" name="Text Box 2164">
          <a:extLst>
            <a:ext uri="{FF2B5EF4-FFF2-40B4-BE49-F238E27FC236}">
              <a16:creationId xmlns:a16="http://schemas.microsoft.com/office/drawing/2014/main" xmlns="" id="{BFCDDC76-D513-4743-A26E-44908C19F708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474" name="Text Box 2165">
          <a:extLst>
            <a:ext uri="{FF2B5EF4-FFF2-40B4-BE49-F238E27FC236}">
              <a16:creationId xmlns:a16="http://schemas.microsoft.com/office/drawing/2014/main" xmlns="" id="{FF167BB1-39C2-4CC6-9703-186C06BAC487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475" name="Text Box 2166">
          <a:extLst>
            <a:ext uri="{FF2B5EF4-FFF2-40B4-BE49-F238E27FC236}">
              <a16:creationId xmlns:a16="http://schemas.microsoft.com/office/drawing/2014/main" xmlns="" id="{7BDDC74B-D875-46CF-A919-FD3792E8B041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476" name="Text Box 2167">
          <a:extLst>
            <a:ext uri="{FF2B5EF4-FFF2-40B4-BE49-F238E27FC236}">
              <a16:creationId xmlns:a16="http://schemas.microsoft.com/office/drawing/2014/main" xmlns="" id="{005CD903-E721-4B2F-AC24-2C22B6A49E58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477" name="Text Box 2168">
          <a:extLst>
            <a:ext uri="{FF2B5EF4-FFF2-40B4-BE49-F238E27FC236}">
              <a16:creationId xmlns:a16="http://schemas.microsoft.com/office/drawing/2014/main" xmlns="" id="{D0C38AF4-80F1-49E1-99C9-4DB3943A9AF3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478" name="Text Box 2169">
          <a:extLst>
            <a:ext uri="{FF2B5EF4-FFF2-40B4-BE49-F238E27FC236}">
              <a16:creationId xmlns:a16="http://schemas.microsoft.com/office/drawing/2014/main" xmlns="" id="{BE6A7A70-18E7-4BAF-A849-7570796082E6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479" name="Text Box 2170">
          <a:extLst>
            <a:ext uri="{FF2B5EF4-FFF2-40B4-BE49-F238E27FC236}">
              <a16:creationId xmlns:a16="http://schemas.microsoft.com/office/drawing/2014/main" xmlns="" id="{2269F921-1EEC-417E-81BB-AF62F798E534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480" name="Text Box 2171">
          <a:extLst>
            <a:ext uri="{FF2B5EF4-FFF2-40B4-BE49-F238E27FC236}">
              <a16:creationId xmlns:a16="http://schemas.microsoft.com/office/drawing/2014/main" xmlns="" id="{737C799F-F894-44E7-A503-58462F8D5387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481" name="Text Box 2172">
          <a:extLst>
            <a:ext uri="{FF2B5EF4-FFF2-40B4-BE49-F238E27FC236}">
              <a16:creationId xmlns:a16="http://schemas.microsoft.com/office/drawing/2014/main" xmlns="" id="{E9381F3D-B864-4AEA-BD35-AA0FECAE59CA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482" name="Text Box 2173">
          <a:extLst>
            <a:ext uri="{FF2B5EF4-FFF2-40B4-BE49-F238E27FC236}">
              <a16:creationId xmlns:a16="http://schemas.microsoft.com/office/drawing/2014/main" xmlns="" id="{6CEDBBFE-5613-4242-9CFC-F15F6667A70A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483" name="Text Box 2174">
          <a:extLst>
            <a:ext uri="{FF2B5EF4-FFF2-40B4-BE49-F238E27FC236}">
              <a16:creationId xmlns:a16="http://schemas.microsoft.com/office/drawing/2014/main" xmlns="" id="{8429C1B9-5C84-49E6-A997-1016D01A59B5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484" name="Text Box 2175">
          <a:extLst>
            <a:ext uri="{FF2B5EF4-FFF2-40B4-BE49-F238E27FC236}">
              <a16:creationId xmlns:a16="http://schemas.microsoft.com/office/drawing/2014/main" xmlns="" id="{63CF4A60-C71D-4845-BEAC-9C3082BA4148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485" name="Text Box 2176">
          <a:extLst>
            <a:ext uri="{FF2B5EF4-FFF2-40B4-BE49-F238E27FC236}">
              <a16:creationId xmlns:a16="http://schemas.microsoft.com/office/drawing/2014/main" xmlns="" id="{0BC9B086-1CFF-42A9-AF71-F28706954CFD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486" name="Text Box 2177">
          <a:extLst>
            <a:ext uri="{FF2B5EF4-FFF2-40B4-BE49-F238E27FC236}">
              <a16:creationId xmlns:a16="http://schemas.microsoft.com/office/drawing/2014/main" xmlns="" id="{2D08113B-47F8-4787-BE51-B7E7BD2F17FC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487" name="Text Box 2178">
          <a:extLst>
            <a:ext uri="{FF2B5EF4-FFF2-40B4-BE49-F238E27FC236}">
              <a16:creationId xmlns:a16="http://schemas.microsoft.com/office/drawing/2014/main" xmlns="" id="{9C570D6F-40BE-4A26-9619-E389862F2A66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488" name="Text Box 2179">
          <a:extLst>
            <a:ext uri="{FF2B5EF4-FFF2-40B4-BE49-F238E27FC236}">
              <a16:creationId xmlns:a16="http://schemas.microsoft.com/office/drawing/2014/main" xmlns="" id="{98DF221A-54C4-4C35-8602-D52E3F3D781D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489" name="Text Box 2180">
          <a:extLst>
            <a:ext uri="{FF2B5EF4-FFF2-40B4-BE49-F238E27FC236}">
              <a16:creationId xmlns:a16="http://schemas.microsoft.com/office/drawing/2014/main" xmlns="" id="{82735C72-774F-4F11-B71D-FED941503386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490" name="Text Box 2181">
          <a:extLst>
            <a:ext uri="{FF2B5EF4-FFF2-40B4-BE49-F238E27FC236}">
              <a16:creationId xmlns:a16="http://schemas.microsoft.com/office/drawing/2014/main" xmlns="" id="{E9915978-A423-4814-AE5D-16ED742E5335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491" name="Text Box 2182">
          <a:extLst>
            <a:ext uri="{FF2B5EF4-FFF2-40B4-BE49-F238E27FC236}">
              <a16:creationId xmlns:a16="http://schemas.microsoft.com/office/drawing/2014/main" xmlns="" id="{2D9FC08E-1B1D-4F08-9D9C-F18DEE404BE8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492" name="Text Box 2183">
          <a:extLst>
            <a:ext uri="{FF2B5EF4-FFF2-40B4-BE49-F238E27FC236}">
              <a16:creationId xmlns:a16="http://schemas.microsoft.com/office/drawing/2014/main" xmlns="" id="{D385EA28-93D9-41C2-84DC-92DB93CD7403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493" name="Text Box 2184">
          <a:extLst>
            <a:ext uri="{FF2B5EF4-FFF2-40B4-BE49-F238E27FC236}">
              <a16:creationId xmlns:a16="http://schemas.microsoft.com/office/drawing/2014/main" xmlns="" id="{6BBF7890-5234-4D6C-8990-E1DBCC18C972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494" name="Text Box 2185">
          <a:extLst>
            <a:ext uri="{FF2B5EF4-FFF2-40B4-BE49-F238E27FC236}">
              <a16:creationId xmlns:a16="http://schemas.microsoft.com/office/drawing/2014/main" xmlns="" id="{991687DE-0813-4A1E-AB64-68ADFAD534BE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495" name="Text Box 2186">
          <a:extLst>
            <a:ext uri="{FF2B5EF4-FFF2-40B4-BE49-F238E27FC236}">
              <a16:creationId xmlns:a16="http://schemas.microsoft.com/office/drawing/2014/main" xmlns="" id="{743707BB-11AB-4A23-BEB7-D9E65AE4CE4E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496" name="Text Box 2187">
          <a:extLst>
            <a:ext uri="{FF2B5EF4-FFF2-40B4-BE49-F238E27FC236}">
              <a16:creationId xmlns:a16="http://schemas.microsoft.com/office/drawing/2014/main" xmlns="" id="{1CDA7B41-24C5-49AC-953B-213D83721A05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497" name="Text Box 2188">
          <a:extLst>
            <a:ext uri="{FF2B5EF4-FFF2-40B4-BE49-F238E27FC236}">
              <a16:creationId xmlns:a16="http://schemas.microsoft.com/office/drawing/2014/main" xmlns="" id="{1F369B62-CD29-4BFD-B8F0-46CFB1E79A93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498" name="Text Box 2189">
          <a:extLst>
            <a:ext uri="{FF2B5EF4-FFF2-40B4-BE49-F238E27FC236}">
              <a16:creationId xmlns:a16="http://schemas.microsoft.com/office/drawing/2014/main" xmlns="" id="{2058865D-7849-42FC-BC9F-D5D9B377F1CB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499" name="Text Box 2190">
          <a:extLst>
            <a:ext uri="{FF2B5EF4-FFF2-40B4-BE49-F238E27FC236}">
              <a16:creationId xmlns:a16="http://schemas.microsoft.com/office/drawing/2014/main" xmlns="" id="{C4A510E5-FEE1-448B-ADD3-803DA1183153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500" name="Text Box 2191">
          <a:extLst>
            <a:ext uri="{FF2B5EF4-FFF2-40B4-BE49-F238E27FC236}">
              <a16:creationId xmlns:a16="http://schemas.microsoft.com/office/drawing/2014/main" xmlns="" id="{76353103-3FEA-4AEE-9476-C88FCFE627E0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501" name="Text Box 2192">
          <a:extLst>
            <a:ext uri="{FF2B5EF4-FFF2-40B4-BE49-F238E27FC236}">
              <a16:creationId xmlns:a16="http://schemas.microsoft.com/office/drawing/2014/main" xmlns="" id="{7FE11474-DBC3-4FB9-A734-4A102C89A19B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502" name="Text Box 2193">
          <a:extLst>
            <a:ext uri="{FF2B5EF4-FFF2-40B4-BE49-F238E27FC236}">
              <a16:creationId xmlns:a16="http://schemas.microsoft.com/office/drawing/2014/main" xmlns="" id="{49C73C98-0494-4E58-A609-27BA5E8A4A80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503" name="Text Box 2194">
          <a:extLst>
            <a:ext uri="{FF2B5EF4-FFF2-40B4-BE49-F238E27FC236}">
              <a16:creationId xmlns:a16="http://schemas.microsoft.com/office/drawing/2014/main" xmlns="" id="{9005D0D4-52E5-4B65-9056-FE348BF1C0C0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504" name="Text Box 2195">
          <a:extLst>
            <a:ext uri="{FF2B5EF4-FFF2-40B4-BE49-F238E27FC236}">
              <a16:creationId xmlns:a16="http://schemas.microsoft.com/office/drawing/2014/main" xmlns="" id="{B9A32B75-30B5-42F7-B102-FB48B4C85B01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505" name="Text Box 2196">
          <a:extLst>
            <a:ext uri="{FF2B5EF4-FFF2-40B4-BE49-F238E27FC236}">
              <a16:creationId xmlns:a16="http://schemas.microsoft.com/office/drawing/2014/main" xmlns="" id="{472483A8-83AB-4F4D-9CAB-8A47D5F95BDD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506" name="Text Box 2197">
          <a:extLst>
            <a:ext uri="{FF2B5EF4-FFF2-40B4-BE49-F238E27FC236}">
              <a16:creationId xmlns:a16="http://schemas.microsoft.com/office/drawing/2014/main" xmlns="" id="{B69E11BC-DC01-43B0-95E8-F7FA4316BFB7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507" name="Text Box 2198">
          <a:extLst>
            <a:ext uri="{FF2B5EF4-FFF2-40B4-BE49-F238E27FC236}">
              <a16:creationId xmlns:a16="http://schemas.microsoft.com/office/drawing/2014/main" xmlns="" id="{33947334-66D8-4825-A444-A1AC02BE7FE5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508" name="Text Box 2199">
          <a:extLst>
            <a:ext uri="{FF2B5EF4-FFF2-40B4-BE49-F238E27FC236}">
              <a16:creationId xmlns:a16="http://schemas.microsoft.com/office/drawing/2014/main" xmlns="" id="{D5B50A5C-E38A-4E7F-B173-E5E0BF15AF05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509" name="Text Box 2200">
          <a:extLst>
            <a:ext uri="{FF2B5EF4-FFF2-40B4-BE49-F238E27FC236}">
              <a16:creationId xmlns:a16="http://schemas.microsoft.com/office/drawing/2014/main" xmlns="" id="{AB633E0D-362D-4934-865F-019DE9954FF8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510" name="Text Box 2201">
          <a:extLst>
            <a:ext uri="{FF2B5EF4-FFF2-40B4-BE49-F238E27FC236}">
              <a16:creationId xmlns:a16="http://schemas.microsoft.com/office/drawing/2014/main" xmlns="" id="{2BEA8C58-AA7D-4AE1-9FF7-4CD31ECC0915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511" name="Text Box 2202">
          <a:extLst>
            <a:ext uri="{FF2B5EF4-FFF2-40B4-BE49-F238E27FC236}">
              <a16:creationId xmlns:a16="http://schemas.microsoft.com/office/drawing/2014/main" xmlns="" id="{ECE4D790-39F0-411F-BC71-3D1664D605A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512" name="Text Box 2203">
          <a:extLst>
            <a:ext uri="{FF2B5EF4-FFF2-40B4-BE49-F238E27FC236}">
              <a16:creationId xmlns:a16="http://schemas.microsoft.com/office/drawing/2014/main" xmlns="" id="{641CA02A-4F2C-41F0-A965-B703253CDC3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3513" name="Text Box 2204">
          <a:extLst>
            <a:ext uri="{FF2B5EF4-FFF2-40B4-BE49-F238E27FC236}">
              <a16:creationId xmlns:a16="http://schemas.microsoft.com/office/drawing/2014/main" xmlns="" id="{98FB9F5C-2A89-4761-BED9-8406A76658A9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514" name="Text Box 2205">
          <a:extLst>
            <a:ext uri="{FF2B5EF4-FFF2-40B4-BE49-F238E27FC236}">
              <a16:creationId xmlns:a16="http://schemas.microsoft.com/office/drawing/2014/main" xmlns="" id="{84FBD564-91F4-49DE-9D85-53922D18F524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515" name="Text Box 2206">
          <a:extLst>
            <a:ext uri="{FF2B5EF4-FFF2-40B4-BE49-F238E27FC236}">
              <a16:creationId xmlns:a16="http://schemas.microsoft.com/office/drawing/2014/main" xmlns="" id="{EE6C80C6-21AB-466D-84F3-1B5AE20356E9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516" name="Text Box 2207">
          <a:extLst>
            <a:ext uri="{FF2B5EF4-FFF2-40B4-BE49-F238E27FC236}">
              <a16:creationId xmlns:a16="http://schemas.microsoft.com/office/drawing/2014/main" xmlns="" id="{D65F3819-9304-4303-8D20-B41D7B17E78F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517" name="Text Box 2208">
          <a:extLst>
            <a:ext uri="{FF2B5EF4-FFF2-40B4-BE49-F238E27FC236}">
              <a16:creationId xmlns:a16="http://schemas.microsoft.com/office/drawing/2014/main" xmlns="" id="{FBE52CAB-DD27-403D-808A-628FC56BE902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3518" name="Text Box 2209">
          <a:extLst>
            <a:ext uri="{FF2B5EF4-FFF2-40B4-BE49-F238E27FC236}">
              <a16:creationId xmlns:a16="http://schemas.microsoft.com/office/drawing/2014/main" xmlns="" id="{72F26597-B64B-44EF-9CD6-8922E1AA26D4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3519" name="Text Box 2210">
          <a:extLst>
            <a:ext uri="{FF2B5EF4-FFF2-40B4-BE49-F238E27FC236}">
              <a16:creationId xmlns:a16="http://schemas.microsoft.com/office/drawing/2014/main" xmlns="" id="{A3C5DC75-C6B7-4605-91FA-60FBD24D9DF7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3520" name="Text Box 2211">
          <a:extLst>
            <a:ext uri="{FF2B5EF4-FFF2-40B4-BE49-F238E27FC236}">
              <a16:creationId xmlns:a16="http://schemas.microsoft.com/office/drawing/2014/main" xmlns="" id="{1895F966-2620-41CE-9066-56ABD01DB8F3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3521" name="Text Box 2212">
          <a:extLst>
            <a:ext uri="{FF2B5EF4-FFF2-40B4-BE49-F238E27FC236}">
              <a16:creationId xmlns:a16="http://schemas.microsoft.com/office/drawing/2014/main" xmlns="" id="{27F0390D-156E-400D-94DF-615F3A62F675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3522" name="Text Box 2213">
          <a:extLst>
            <a:ext uri="{FF2B5EF4-FFF2-40B4-BE49-F238E27FC236}">
              <a16:creationId xmlns:a16="http://schemas.microsoft.com/office/drawing/2014/main" xmlns="" id="{5F4B47B4-D4B0-4FE6-BBCB-2BB222A8FD55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3523" name="Text Box 2214">
          <a:extLst>
            <a:ext uri="{FF2B5EF4-FFF2-40B4-BE49-F238E27FC236}">
              <a16:creationId xmlns:a16="http://schemas.microsoft.com/office/drawing/2014/main" xmlns="" id="{1F5F301A-476D-4FA5-BB03-D738C6F28A44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3524" name="Text Box 2215">
          <a:extLst>
            <a:ext uri="{FF2B5EF4-FFF2-40B4-BE49-F238E27FC236}">
              <a16:creationId xmlns:a16="http://schemas.microsoft.com/office/drawing/2014/main" xmlns="" id="{FB31A9E6-E92C-436A-A684-54A02E59D6DF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3525" name="Text Box 2216">
          <a:extLst>
            <a:ext uri="{FF2B5EF4-FFF2-40B4-BE49-F238E27FC236}">
              <a16:creationId xmlns:a16="http://schemas.microsoft.com/office/drawing/2014/main" xmlns="" id="{16631C95-19BF-402D-A18F-74EB3CD1D07D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3526" name="Text Box 2217">
          <a:extLst>
            <a:ext uri="{FF2B5EF4-FFF2-40B4-BE49-F238E27FC236}">
              <a16:creationId xmlns:a16="http://schemas.microsoft.com/office/drawing/2014/main" xmlns="" id="{CF967683-A3DF-4ACD-91EB-11002503AAA6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3527" name="Text Box 2218">
          <a:extLst>
            <a:ext uri="{FF2B5EF4-FFF2-40B4-BE49-F238E27FC236}">
              <a16:creationId xmlns:a16="http://schemas.microsoft.com/office/drawing/2014/main" xmlns="" id="{5EF18D62-E79D-4BA6-9092-3567304C4984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3528" name="Text Box 2219">
          <a:extLst>
            <a:ext uri="{FF2B5EF4-FFF2-40B4-BE49-F238E27FC236}">
              <a16:creationId xmlns:a16="http://schemas.microsoft.com/office/drawing/2014/main" xmlns="" id="{F2555655-B690-4D7B-BF8E-4A848610516B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3529" name="Text Box 2220">
          <a:extLst>
            <a:ext uri="{FF2B5EF4-FFF2-40B4-BE49-F238E27FC236}">
              <a16:creationId xmlns:a16="http://schemas.microsoft.com/office/drawing/2014/main" xmlns="" id="{31023509-21E8-4DF6-9C58-2E599A268930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3530" name="Text Box 2221">
          <a:extLst>
            <a:ext uri="{FF2B5EF4-FFF2-40B4-BE49-F238E27FC236}">
              <a16:creationId xmlns:a16="http://schemas.microsoft.com/office/drawing/2014/main" xmlns="" id="{9C334A10-D956-48D6-ADB8-04374A8099E0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3531" name="Text Box 2222">
          <a:extLst>
            <a:ext uri="{FF2B5EF4-FFF2-40B4-BE49-F238E27FC236}">
              <a16:creationId xmlns:a16="http://schemas.microsoft.com/office/drawing/2014/main" xmlns="" id="{502E2431-7F75-4F55-A290-C12B99E47120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3532" name="Text Box 2223">
          <a:extLst>
            <a:ext uri="{FF2B5EF4-FFF2-40B4-BE49-F238E27FC236}">
              <a16:creationId xmlns:a16="http://schemas.microsoft.com/office/drawing/2014/main" xmlns="" id="{1A1EF44A-DE53-46AB-BB3F-0089F2DD3BDA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3533" name="Text Box 2224">
          <a:extLst>
            <a:ext uri="{FF2B5EF4-FFF2-40B4-BE49-F238E27FC236}">
              <a16:creationId xmlns:a16="http://schemas.microsoft.com/office/drawing/2014/main" xmlns="" id="{E02E82BD-4158-43A4-AC0E-9226EE1D0685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3534" name="Text Box 2225">
          <a:extLst>
            <a:ext uri="{FF2B5EF4-FFF2-40B4-BE49-F238E27FC236}">
              <a16:creationId xmlns:a16="http://schemas.microsoft.com/office/drawing/2014/main" xmlns="" id="{7A0CF745-6458-470E-8212-C961DEBA7B42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3535" name="Text Box 2226">
          <a:extLst>
            <a:ext uri="{FF2B5EF4-FFF2-40B4-BE49-F238E27FC236}">
              <a16:creationId xmlns:a16="http://schemas.microsoft.com/office/drawing/2014/main" xmlns="" id="{6C3EDC0C-23CB-42A7-99D4-A606FA793319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3536" name="Text Box 2227">
          <a:extLst>
            <a:ext uri="{FF2B5EF4-FFF2-40B4-BE49-F238E27FC236}">
              <a16:creationId xmlns:a16="http://schemas.microsoft.com/office/drawing/2014/main" xmlns="" id="{CF5078DE-D5B2-4924-A1E0-383C0878F6AC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3537" name="Text Box 2228">
          <a:extLst>
            <a:ext uri="{FF2B5EF4-FFF2-40B4-BE49-F238E27FC236}">
              <a16:creationId xmlns:a16="http://schemas.microsoft.com/office/drawing/2014/main" xmlns="" id="{9CBAD842-E56D-4708-9E15-722398240A11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3538" name="Text Box 2229">
          <a:extLst>
            <a:ext uri="{FF2B5EF4-FFF2-40B4-BE49-F238E27FC236}">
              <a16:creationId xmlns:a16="http://schemas.microsoft.com/office/drawing/2014/main" xmlns="" id="{07EAE625-EE36-47E7-938C-DC11DCA1C6EF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3539" name="Text Box 2230">
          <a:extLst>
            <a:ext uri="{FF2B5EF4-FFF2-40B4-BE49-F238E27FC236}">
              <a16:creationId xmlns:a16="http://schemas.microsoft.com/office/drawing/2014/main" xmlns="" id="{8D7A6743-E0E2-4D73-BB4C-FD7D0F933D55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3540" name="Text Box 2231">
          <a:extLst>
            <a:ext uri="{FF2B5EF4-FFF2-40B4-BE49-F238E27FC236}">
              <a16:creationId xmlns:a16="http://schemas.microsoft.com/office/drawing/2014/main" xmlns="" id="{1F58FA99-5B5C-49C4-9396-9E5D695E9F9F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3541" name="Text Box 2232">
          <a:extLst>
            <a:ext uri="{FF2B5EF4-FFF2-40B4-BE49-F238E27FC236}">
              <a16:creationId xmlns:a16="http://schemas.microsoft.com/office/drawing/2014/main" xmlns="" id="{795E2B43-A81C-4CE0-A9EE-460EE965999E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3542" name="Text Box 2233">
          <a:extLst>
            <a:ext uri="{FF2B5EF4-FFF2-40B4-BE49-F238E27FC236}">
              <a16:creationId xmlns:a16="http://schemas.microsoft.com/office/drawing/2014/main" xmlns="" id="{52B17977-8EDD-40DC-B580-610AB0B9D3CE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3543" name="Text Box 2234">
          <a:extLst>
            <a:ext uri="{FF2B5EF4-FFF2-40B4-BE49-F238E27FC236}">
              <a16:creationId xmlns:a16="http://schemas.microsoft.com/office/drawing/2014/main" xmlns="" id="{FBD1EB32-7549-4F79-8F23-37E8F5DF9775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3544" name="Text Box 2235">
          <a:extLst>
            <a:ext uri="{FF2B5EF4-FFF2-40B4-BE49-F238E27FC236}">
              <a16:creationId xmlns:a16="http://schemas.microsoft.com/office/drawing/2014/main" xmlns="" id="{7FB96340-3640-40C4-AA4C-22266F6C530C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3545" name="Text Box 2236">
          <a:extLst>
            <a:ext uri="{FF2B5EF4-FFF2-40B4-BE49-F238E27FC236}">
              <a16:creationId xmlns:a16="http://schemas.microsoft.com/office/drawing/2014/main" xmlns="" id="{775A0E54-7649-41AB-9553-5A0304F2168F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3546" name="Text Box 2237">
          <a:extLst>
            <a:ext uri="{FF2B5EF4-FFF2-40B4-BE49-F238E27FC236}">
              <a16:creationId xmlns:a16="http://schemas.microsoft.com/office/drawing/2014/main" xmlns="" id="{CDC8B40B-805F-4590-B9BC-7D73A9DD9E70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3547" name="Text Box 2238">
          <a:extLst>
            <a:ext uri="{FF2B5EF4-FFF2-40B4-BE49-F238E27FC236}">
              <a16:creationId xmlns:a16="http://schemas.microsoft.com/office/drawing/2014/main" xmlns="" id="{6FFFB910-9F5E-4940-8739-3468A9B29433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3548" name="Text Box 2239">
          <a:extLst>
            <a:ext uri="{FF2B5EF4-FFF2-40B4-BE49-F238E27FC236}">
              <a16:creationId xmlns:a16="http://schemas.microsoft.com/office/drawing/2014/main" xmlns="" id="{B224527F-07D9-41F9-9647-94DEEF10065F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3549" name="Text Box 2240">
          <a:extLst>
            <a:ext uri="{FF2B5EF4-FFF2-40B4-BE49-F238E27FC236}">
              <a16:creationId xmlns:a16="http://schemas.microsoft.com/office/drawing/2014/main" xmlns="" id="{17991C6A-BAC7-4B40-9FA6-87E9C651F782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3550" name="Text Box 2241">
          <a:extLst>
            <a:ext uri="{FF2B5EF4-FFF2-40B4-BE49-F238E27FC236}">
              <a16:creationId xmlns:a16="http://schemas.microsoft.com/office/drawing/2014/main" xmlns="" id="{79E6E821-738B-4283-9384-5714155B42C3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3551" name="Text Box 2242">
          <a:extLst>
            <a:ext uri="{FF2B5EF4-FFF2-40B4-BE49-F238E27FC236}">
              <a16:creationId xmlns:a16="http://schemas.microsoft.com/office/drawing/2014/main" xmlns="" id="{0B0D200D-ABE1-41C0-8C54-07EBFCACAACF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3552" name="Text Box 2243">
          <a:extLst>
            <a:ext uri="{FF2B5EF4-FFF2-40B4-BE49-F238E27FC236}">
              <a16:creationId xmlns:a16="http://schemas.microsoft.com/office/drawing/2014/main" xmlns="" id="{FDB9A4C5-0756-4F4C-B390-9D94E722BAB4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3553" name="Text Box 2244">
          <a:extLst>
            <a:ext uri="{FF2B5EF4-FFF2-40B4-BE49-F238E27FC236}">
              <a16:creationId xmlns:a16="http://schemas.microsoft.com/office/drawing/2014/main" xmlns="" id="{1D48A562-D272-423F-9593-EC5137E5D50E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3554" name="Text Box 2245">
          <a:extLst>
            <a:ext uri="{FF2B5EF4-FFF2-40B4-BE49-F238E27FC236}">
              <a16:creationId xmlns:a16="http://schemas.microsoft.com/office/drawing/2014/main" xmlns="" id="{A818A104-710A-4334-AF38-431122CC0E3B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3555" name="Text Box 2246">
          <a:extLst>
            <a:ext uri="{FF2B5EF4-FFF2-40B4-BE49-F238E27FC236}">
              <a16:creationId xmlns:a16="http://schemas.microsoft.com/office/drawing/2014/main" xmlns="" id="{8E91753D-DF5F-4ABC-AE42-536EEA616A6B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3556" name="Text Box 2247">
          <a:extLst>
            <a:ext uri="{FF2B5EF4-FFF2-40B4-BE49-F238E27FC236}">
              <a16:creationId xmlns:a16="http://schemas.microsoft.com/office/drawing/2014/main" xmlns="" id="{F0238027-C1EF-4D08-8CAA-B73E116B625F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3557" name="Text Box 2248">
          <a:extLst>
            <a:ext uri="{FF2B5EF4-FFF2-40B4-BE49-F238E27FC236}">
              <a16:creationId xmlns:a16="http://schemas.microsoft.com/office/drawing/2014/main" xmlns="" id="{4F7A756A-47ED-4AB9-B2A0-232B8BC11AB7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3558" name="Text Box 2249">
          <a:extLst>
            <a:ext uri="{FF2B5EF4-FFF2-40B4-BE49-F238E27FC236}">
              <a16:creationId xmlns:a16="http://schemas.microsoft.com/office/drawing/2014/main" xmlns="" id="{059D6B8F-16CB-41B2-9D03-87CC78EA13B3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3559" name="Text Box 2250">
          <a:extLst>
            <a:ext uri="{FF2B5EF4-FFF2-40B4-BE49-F238E27FC236}">
              <a16:creationId xmlns:a16="http://schemas.microsoft.com/office/drawing/2014/main" xmlns="" id="{53996380-BB24-4285-8EE7-6B1121E5B316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3560" name="Text Box 2251">
          <a:extLst>
            <a:ext uri="{FF2B5EF4-FFF2-40B4-BE49-F238E27FC236}">
              <a16:creationId xmlns:a16="http://schemas.microsoft.com/office/drawing/2014/main" xmlns="" id="{9F76D7A0-35DA-4C18-B9E7-7EF10AC2FD3F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3561" name="Text Box 2252">
          <a:extLst>
            <a:ext uri="{FF2B5EF4-FFF2-40B4-BE49-F238E27FC236}">
              <a16:creationId xmlns:a16="http://schemas.microsoft.com/office/drawing/2014/main" xmlns="" id="{6245CC01-ECE6-4B36-A73E-451D1B1CE5A3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3562" name="Text Box 2253">
          <a:extLst>
            <a:ext uri="{FF2B5EF4-FFF2-40B4-BE49-F238E27FC236}">
              <a16:creationId xmlns:a16="http://schemas.microsoft.com/office/drawing/2014/main" xmlns="" id="{290448F4-9854-47A6-BE19-3FE169E40EEE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3563" name="Text Box 2254">
          <a:extLst>
            <a:ext uri="{FF2B5EF4-FFF2-40B4-BE49-F238E27FC236}">
              <a16:creationId xmlns:a16="http://schemas.microsoft.com/office/drawing/2014/main" xmlns="" id="{212F58A5-5FA5-44DD-9F05-104465AD57F8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3564" name="Text Box 2255">
          <a:extLst>
            <a:ext uri="{FF2B5EF4-FFF2-40B4-BE49-F238E27FC236}">
              <a16:creationId xmlns:a16="http://schemas.microsoft.com/office/drawing/2014/main" xmlns="" id="{A2624131-9B7A-4455-95EE-7D788D0C6E08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3565" name="Text Box 2256">
          <a:extLst>
            <a:ext uri="{FF2B5EF4-FFF2-40B4-BE49-F238E27FC236}">
              <a16:creationId xmlns:a16="http://schemas.microsoft.com/office/drawing/2014/main" xmlns="" id="{E576EF5F-A536-4430-928F-742B7E921B0C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3566" name="Text Box 2257">
          <a:extLst>
            <a:ext uri="{FF2B5EF4-FFF2-40B4-BE49-F238E27FC236}">
              <a16:creationId xmlns:a16="http://schemas.microsoft.com/office/drawing/2014/main" xmlns="" id="{9E371081-B041-4CB9-A1AA-954C7C756C92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3567" name="Text Box 2258">
          <a:extLst>
            <a:ext uri="{FF2B5EF4-FFF2-40B4-BE49-F238E27FC236}">
              <a16:creationId xmlns:a16="http://schemas.microsoft.com/office/drawing/2014/main" xmlns="" id="{EC12F397-E132-4893-A37A-D1B89BE95A9B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3568" name="Text Box 2259">
          <a:extLst>
            <a:ext uri="{FF2B5EF4-FFF2-40B4-BE49-F238E27FC236}">
              <a16:creationId xmlns:a16="http://schemas.microsoft.com/office/drawing/2014/main" xmlns="" id="{B2B3E4BE-F0E1-4C37-86D7-1604B7143303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3569" name="Text Box 2260">
          <a:extLst>
            <a:ext uri="{FF2B5EF4-FFF2-40B4-BE49-F238E27FC236}">
              <a16:creationId xmlns:a16="http://schemas.microsoft.com/office/drawing/2014/main" xmlns="" id="{FD4F9ABC-B9CE-4059-990A-89B0D9555BAD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3570" name="Text Box 2261">
          <a:extLst>
            <a:ext uri="{FF2B5EF4-FFF2-40B4-BE49-F238E27FC236}">
              <a16:creationId xmlns:a16="http://schemas.microsoft.com/office/drawing/2014/main" xmlns="" id="{CF8FF157-0420-4902-89C7-E0D6BEDD40C3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3571" name="Text Box 2262">
          <a:extLst>
            <a:ext uri="{FF2B5EF4-FFF2-40B4-BE49-F238E27FC236}">
              <a16:creationId xmlns:a16="http://schemas.microsoft.com/office/drawing/2014/main" xmlns="" id="{A144FCB8-4424-48D7-B0AD-9237A37A8F5E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3572" name="Text Box 2263">
          <a:extLst>
            <a:ext uri="{FF2B5EF4-FFF2-40B4-BE49-F238E27FC236}">
              <a16:creationId xmlns:a16="http://schemas.microsoft.com/office/drawing/2014/main" xmlns="" id="{7099994C-0774-46E6-8DAE-E6C315935805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3573" name="Text Box 2264">
          <a:extLst>
            <a:ext uri="{FF2B5EF4-FFF2-40B4-BE49-F238E27FC236}">
              <a16:creationId xmlns:a16="http://schemas.microsoft.com/office/drawing/2014/main" xmlns="" id="{C3A89F99-BDB4-4EFF-97A1-77E4746DBB2E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3574" name="Text Box 2265">
          <a:extLst>
            <a:ext uri="{FF2B5EF4-FFF2-40B4-BE49-F238E27FC236}">
              <a16:creationId xmlns:a16="http://schemas.microsoft.com/office/drawing/2014/main" xmlns="" id="{F3434887-034B-4E72-9B21-B765C53CFD0D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3575" name="Text Box 2266">
          <a:extLst>
            <a:ext uri="{FF2B5EF4-FFF2-40B4-BE49-F238E27FC236}">
              <a16:creationId xmlns:a16="http://schemas.microsoft.com/office/drawing/2014/main" xmlns="" id="{F06D7EA6-32A0-41B5-9727-ED017093FB8F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3576" name="Text Box 2267">
          <a:extLst>
            <a:ext uri="{FF2B5EF4-FFF2-40B4-BE49-F238E27FC236}">
              <a16:creationId xmlns:a16="http://schemas.microsoft.com/office/drawing/2014/main" xmlns="" id="{7DF64385-7814-4E3F-9D5D-8785CC7C0811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3577" name="Text Box 2268">
          <a:extLst>
            <a:ext uri="{FF2B5EF4-FFF2-40B4-BE49-F238E27FC236}">
              <a16:creationId xmlns:a16="http://schemas.microsoft.com/office/drawing/2014/main" xmlns="" id="{B4ED5A63-DD2A-4210-8F50-129EAD6023C2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3578" name="Text Box 2269">
          <a:extLst>
            <a:ext uri="{FF2B5EF4-FFF2-40B4-BE49-F238E27FC236}">
              <a16:creationId xmlns:a16="http://schemas.microsoft.com/office/drawing/2014/main" xmlns="" id="{80CCA44F-46AC-45C4-8F9F-7B4D1A8FC72B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3579" name="Text Box 2270">
          <a:extLst>
            <a:ext uri="{FF2B5EF4-FFF2-40B4-BE49-F238E27FC236}">
              <a16:creationId xmlns:a16="http://schemas.microsoft.com/office/drawing/2014/main" xmlns="" id="{EC0469B8-4B93-454B-B72D-5E9293907636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3580" name="Text Box 2271">
          <a:extLst>
            <a:ext uri="{FF2B5EF4-FFF2-40B4-BE49-F238E27FC236}">
              <a16:creationId xmlns:a16="http://schemas.microsoft.com/office/drawing/2014/main" xmlns="" id="{4C4D3B6F-44DF-4ADB-88A9-052A572DE7F7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3581" name="Text Box 2272">
          <a:extLst>
            <a:ext uri="{FF2B5EF4-FFF2-40B4-BE49-F238E27FC236}">
              <a16:creationId xmlns:a16="http://schemas.microsoft.com/office/drawing/2014/main" xmlns="" id="{77C9FFFE-C093-4E92-A3E2-FEEB69F8E80D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582" name="Text Box 2273">
          <a:extLst>
            <a:ext uri="{FF2B5EF4-FFF2-40B4-BE49-F238E27FC236}">
              <a16:creationId xmlns:a16="http://schemas.microsoft.com/office/drawing/2014/main" xmlns="" id="{DAF7E035-DCA4-4674-8C01-41B3D3F3D510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583" name="Text Box 2274">
          <a:extLst>
            <a:ext uri="{FF2B5EF4-FFF2-40B4-BE49-F238E27FC236}">
              <a16:creationId xmlns:a16="http://schemas.microsoft.com/office/drawing/2014/main" xmlns="" id="{844112B4-FD51-431C-A7AA-A5625F4A7F9D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584" name="Text Box 2275">
          <a:extLst>
            <a:ext uri="{FF2B5EF4-FFF2-40B4-BE49-F238E27FC236}">
              <a16:creationId xmlns:a16="http://schemas.microsoft.com/office/drawing/2014/main" xmlns="" id="{7EF9F183-8BA5-4054-A09E-854ED88C69C9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585" name="Text Box 2276">
          <a:extLst>
            <a:ext uri="{FF2B5EF4-FFF2-40B4-BE49-F238E27FC236}">
              <a16:creationId xmlns:a16="http://schemas.microsoft.com/office/drawing/2014/main" xmlns="" id="{682F002E-DE2F-4514-A0F9-5498F27F1D7E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586" name="Text Box 2277">
          <a:extLst>
            <a:ext uri="{FF2B5EF4-FFF2-40B4-BE49-F238E27FC236}">
              <a16:creationId xmlns:a16="http://schemas.microsoft.com/office/drawing/2014/main" xmlns="" id="{E3FFB708-899F-40CE-ADCD-32A5016250C3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587" name="Text Box 2278">
          <a:extLst>
            <a:ext uri="{FF2B5EF4-FFF2-40B4-BE49-F238E27FC236}">
              <a16:creationId xmlns:a16="http://schemas.microsoft.com/office/drawing/2014/main" xmlns="" id="{E2773376-BB3D-4473-A4D7-C66C664139A3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588" name="Text Box 2279">
          <a:extLst>
            <a:ext uri="{FF2B5EF4-FFF2-40B4-BE49-F238E27FC236}">
              <a16:creationId xmlns:a16="http://schemas.microsoft.com/office/drawing/2014/main" xmlns="" id="{F1A5ED0C-7458-4EDC-A0CE-D76E13227B01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589" name="Text Box 2280">
          <a:extLst>
            <a:ext uri="{FF2B5EF4-FFF2-40B4-BE49-F238E27FC236}">
              <a16:creationId xmlns:a16="http://schemas.microsoft.com/office/drawing/2014/main" xmlns="" id="{9EF2E552-6C89-40A7-940D-B37DE446A6FF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590" name="Text Box 2281">
          <a:extLst>
            <a:ext uri="{FF2B5EF4-FFF2-40B4-BE49-F238E27FC236}">
              <a16:creationId xmlns:a16="http://schemas.microsoft.com/office/drawing/2014/main" xmlns="" id="{D366038E-D968-425C-B3F0-0CCAA714CC72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591" name="Text Box 2282">
          <a:extLst>
            <a:ext uri="{FF2B5EF4-FFF2-40B4-BE49-F238E27FC236}">
              <a16:creationId xmlns:a16="http://schemas.microsoft.com/office/drawing/2014/main" xmlns="" id="{2351300D-F9DB-49D4-AD98-6C7F9CA836AF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592" name="Text Box 2283">
          <a:extLst>
            <a:ext uri="{FF2B5EF4-FFF2-40B4-BE49-F238E27FC236}">
              <a16:creationId xmlns:a16="http://schemas.microsoft.com/office/drawing/2014/main" xmlns="" id="{D5506F15-3784-4107-801B-D9B7A4CC3854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593" name="Text Box 2284">
          <a:extLst>
            <a:ext uri="{FF2B5EF4-FFF2-40B4-BE49-F238E27FC236}">
              <a16:creationId xmlns:a16="http://schemas.microsoft.com/office/drawing/2014/main" xmlns="" id="{61032B1A-7813-412D-AE94-6B25F9A263B9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594" name="Text Box 2285">
          <a:extLst>
            <a:ext uri="{FF2B5EF4-FFF2-40B4-BE49-F238E27FC236}">
              <a16:creationId xmlns:a16="http://schemas.microsoft.com/office/drawing/2014/main" xmlns="" id="{444CD826-EDC9-4272-8DE0-1B9C0A3090EB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595" name="Text Box 2286">
          <a:extLst>
            <a:ext uri="{FF2B5EF4-FFF2-40B4-BE49-F238E27FC236}">
              <a16:creationId xmlns:a16="http://schemas.microsoft.com/office/drawing/2014/main" xmlns="" id="{49833F0D-5843-4A98-A962-73193FB8AD03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596" name="Text Box 2287">
          <a:extLst>
            <a:ext uri="{FF2B5EF4-FFF2-40B4-BE49-F238E27FC236}">
              <a16:creationId xmlns:a16="http://schemas.microsoft.com/office/drawing/2014/main" xmlns="" id="{5227309C-89BF-47A6-B0B9-1BAD02F8D4C4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597" name="Text Box 2288">
          <a:extLst>
            <a:ext uri="{FF2B5EF4-FFF2-40B4-BE49-F238E27FC236}">
              <a16:creationId xmlns:a16="http://schemas.microsoft.com/office/drawing/2014/main" xmlns="" id="{5F6974BD-5B54-4186-9B01-F88496071D41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598" name="Text Box 2289">
          <a:extLst>
            <a:ext uri="{FF2B5EF4-FFF2-40B4-BE49-F238E27FC236}">
              <a16:creationId xmlns:a16="http://schemas.microsoft.com/office/drawing/2014/main" xmlns="" id="{0F546D48-117E-452E-8C20-E2FE71E8EE77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599" name="Text Box 2290">
          <a:extLst>
            <a:ext uri="{FF2B5EF4-FFF2-40B4-BE49-F238E27FC236}">
              <a16:creationId xmlns:a16="http://schemas.microsoft.com/office/drawing/2014/main" xmlns="" id="{0577ACBF-2D12-40AC-B232-99FDC0E7F75E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600" name="Text Box 2291">
          <a:extLst>
            <a:ext uri="{FF2B5EF4-FFF2-40B4-BE49-F238E27FC236}">
              <a16:creationId xmlns:a16="http://schemas.microsoft.com/office/drawing/2014/main" xmlns="" id="{475498DD-4D45-4274-A8C0-ABDE96C08511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601" name="Text Box 2292">
          <a:extLst>
            <a:ext uri="{FF2B5EF4-FFF2-40B4-BE49-F238E27FC236}">
              <a16:creationId xmlns:a16="http://schemas.microsoft.com/office/drawing/2014/main" xmlns="" id="{ADA6CBCF-700C-45C0-BACD-01C097A1F334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602" name="Text Box 2293">
          <a:extLst>
            <a:ext uri="{FF2B5EF4-FFF2-40B4-BE49-F238E27FC236}">
              <a16:creationId xmlns:a16="http://schemas.microsoft.com/office/drawing/2014/main" xmlns="" id="{725215FB-AD38-4B12-9156-76CAC8C3EB70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603" name="Text Box 2294">
          <a:extLst>
            <a:ext uri="{FF2B5EF4-FFF2-40B4-BE49-F238E27FC236}">
              <a16:creationId xmlns:a16="http://schemas.microsoft.com/office/drawing/2014/main" xmlns="" id="{BF199506-69E9-4377-A4DB-3ABA34205500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604" name="Text Box 2295">
          <a:extLst>
            <a:ext uri="{FF2B5EF4-FFF2-40B4-BE49-F238E27FC236}">
              <a16:creationId xmlns:a16="http://schemas.microsoft.com/office/drawing/2014/main" xmlns="" id="{5BECDC64-8E3E-4A7E-8C64-38C99F95E70E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605" name="Text Box 2296">
          <a:extLst>
            <a:ext uri="{FF2B5EF4-FFF2-40B4-BE49-F238E27FC236}">
              <a16:creationId xmlns:a16="http://schemas.microsoft.com/office/drawing/2014/main" xmlns="" id="{3AC9A571-A0F7-44AC-A07D-F30684DAFAC0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606" name="Text Box 2297">
          <a:extLst>
            <a:ext uri="{FF2B5EF4-FFF2-40B4-BE49-F238E27FC236}">
              <a16:creationId xmlns:a16="http://schemas.microsoft.com/office/drawing/2014/main" xmlns="" id="{EAD9A6AA-E781-454F-9C96-4A1A16370AE7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607" name="Text Box 2298">
          <a:extLst>
            <a:ext uri="{FF2B5EF4-FFF2-40B4-BE49-F238E27FC236}">
              <a16:creationId xmlns:a16="http://schemas.microsoft.com/office/drawing/2014/main" xmlns="" id="{0650AAE8-6AC4-4C41-8D1B-D5C36BAD9E7E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608" name="Text Box 2299">
          <a:extLst>
            <a:ext uri="{FF2B5EF4-FFF2-40B4-BE49-F238E27FC236}">
              <a16:creationId xmlns:a16="http://schemas.microsoft.com/office/drawing/2014/main" xmlns="" id="{31AEA368-305A-4237-8D53-85EBDBFD08BF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609" name="Text Box 2300">
          <a:extLst>
            <a:ext uri="{FF2B5EF4-FFF2-40B4-BE49-F238E27FC236}">
              <a16:creationId xmlns:a16="http://schemas.microsoft.com/office/drawing/2014/main" xmlns="" id="{A3434F0F-3B73-48FE-A4EB-43B73B6016E3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610" name="Text Box 2301">
          <a:extLst>
            <a:ext uri="{FF2B5EF4-FFF2-40B4-BE49-F238E27FC236}">
              <a16:creationId xmlns:a16="http://schemas.microsoft.com/office/drawing/2014/main" xmlns="" id="{4223C8ED-B4A7-4760-BD7A-7C30C4544E90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611" name="Text Box 2302">
          <a:extLst>
            <a:ext uri="{FF2B5EF4-FFF2-40B4-BE49-F238E27FC236}">
              <a16:creationId xmlns:a16="http://schemas.microsoft.com/office/drawing/2014/main" xmlns="" id="{E09E591F-A523-4499-80A6-421D97CEFB2A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612" name="Text Box 2303">
          <a:extLst>
            <a:ext uri="{FF2B5EF4-FFF2-40B4-BE49-F238E27FC236}">
              <a16:creationId xmlns:a16="http://schemas.microsoft.com/office/drawing/2014/main" xmlns="" id="{B3D5904F-897F-4EA9-83F5-3A09C901848A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613" name="Text Box 2304">
          <a:extLst>
            <a:ext uri="{FF2B5EF4-FFF2-40B4-BE49-F238E27FC236}">
              <a16:creationId xmlns:a16="http://schemas.microsoft.com/office/drawing/2014/main" xmlns="" id="{5CC110C6-85C8-4404-B5CD-A5C4286CF612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614" name="Text Box 2305">
          <a:extLst>
            <a:ext uri="{FF2B5EF4-FFF2-40B4-BE49-F238E27FC236}">
              <a16:creationId xmlns:a16="http://schemas.microsoft.com/office/drawing/2014/main" xmlns="" id="{ECCA55B6-D051-4A98-9036-3908F76B3104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615" name="Text Box 2306">
          <a:extLst>
            <a:ext uri="{FF2B5EF4-FFF2-40B4-BE49-F238E27FC236}">
              <a16:creationId xmlns:a16="http://schemas.microsoft.com/office/drawing/2014/main" xmlns="" id="{7E31C5E3-4845-4FD4-9815-162C083FBA8F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616" name="Text Box 2307">
          <a:extLst>
            <a:ext uri="{FF2B5EF4-FFF2-40B4-BE49-F238E27FC236}">
              <a16:creationId xmlns:a16="http://schemas.microsoft.com/office/drawing/2014/main" xmlns="" id="{1B416006-603F-4C0D-9E83-C86D025EA5BD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617" name="Text Box 2308">
          <a:extLst>
            <a:ext uri="{FF2B5EF4-FFF2-40B4-BE49-F238E27FC236}">
              <a16:creationId xmlns:a16="http://schemas.microsoft.com/office/drawing/2014/main" xmlns="" id="{849C57E1-42B8-4B7B-9760-46A97FC9672F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618" name="Text Box 2309">
          <a:extLst>
            <a:ext uri="{FF2B5EF4-FFF2-40B4-BE49-F238E27FC236}">
              <a16:creationId xmlns:a16="http://schemas.microsoft.com/office/drawing/2014/main" xmlns="" id="{E4103326-B632-48CE-8FFA-3AF0AE29A4D6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619" name="Text Box 2310">
          <a:extLst>
            <a:ext uri="{FF2B5EF4-FFF2-40B4-BE49-F238E27FC236}">
              <a16:creationId xmlns:a16="http://schemas.microsoft.com/office/drawing/2014/main" xmlns="" id="{99BFFFFA-B282-486A-A26A-88CD429B7B71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620" name="Text Box 2311">
          <a:extLst>
            <a:ext uri="{FF2B5EF4-FFF2-40B4-BE49-F238E27FC236}">
              <a16:creationId xmlns:a16="http://schemas.microsoft.com/office/drawing/2014/main" xmlns="" id="{2A9BA595-B9FF-4A16-990B-EA90E2624C76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621" name="Text Box 2312">
          <a:extLst>
            <a:ext uri="{FF2B5EF4-FFF2-40B4-BE49-F238E27FC236}">
              <a16:creationId xmlns:a16="http://schemas.microsoft.com/office/drawing/2014/main" xmlns="" id="{0CF90F63-C107-47D2-BEB7-6F753E64BAE1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622" name="Text Box 2313">
          <a:extLst>
            <a:ext uri="{FF2B5EF4-FFF2-40B4-BE49-F238E27FC236}">
              <a16:creationId xmlns:a16="http://schemas.microsoft.com/office/drawing/2014/main" xmlns="" id="{491E837F-8FE5-4307-9BA2-1404A2C83B15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623" name="Text Box 2314">
          <a:extLst>
            <a:ext uri="{FF2B5EF4-FFF2-40B4-BE49-F238E27FC236}">
              <a16:creationId xmlns:a16="http://schemas.microsoft.com/office/drawing/2014/main" xmlns="" id="{E5D4F849-8551-4140-807B-7091DD2A27E8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624" name="Text Box 2315">
          <a:extLst>
            <a:ext uri="{FF2B5EF4-FFF2-40B4-BE49-F238E27FC236}">
              <a16:creationId xmlns:a16="http://schemas.microsoft.com/office/drawing/2014/main" xmlns="" id="{35582A3C-7213-40D4-88C9-0A5B3007A592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625" name="Text Box 2316">
          <a:extLst>
            <a:ext uri="{FF2B5EF4-FFF2-40B4-BE49-F238E27FC236}">
              <a16:creationId xmlns:a16="http://schemas.microsoft.com/office/drawing/2014/main" xmlns="" id="{74AD3C45-03AD-4A61-A583-AC03BBC7E2EB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626" name="Text Box 2317">
          <a:extLst>
            <a:ext uri="{FF2B5EF4-FFF2-40B4-BE49-F238E27FC236}">
              <a16:creationId xmlns:a16="http://schemas.microsoft.com/office/drawing/2014/main" xmlns="" id="{5555D941-E249-4909-A182-87AB7160312A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627" name="Text Box 2318">
          <a:extLst>
            <a:ext uri="{FF2B5EF4-FFF2-40B4-BE49-F238E27FC236}">
              <a16:creationId xmlns:a16="http://schemas.microsoft.com/office/drawing/2014/main" xmlns="" id="{E837B2F6-8400-4FA9-8167-35F87E380158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628" name="Text Box 2319">
          <a:extLst>
            <a:ext uri="{FF2B5EF4-FFF2-40B4-BE49-F238E27FC236}">
              <a16:creationId xmlns:a16="http://schemas.microsoft.com/office/drawing/2014/main" xmlns="" id="{549AA5D9-F2EE-4758-BDF8-F80CD3D27791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629" name="Text Box 2320">
          <a:extLst>
            <a:ext uri="{FF2B5EF4-FFF2-40B4-BE49-F238E27FC236}">
              <a16:creationId xmlns:a16="http://schemas.microsoft.com/office/drawing/2014/main" xmlns="" id="{DEE69AEA-1ECA-4CB8-92F8-F60361E167C1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630" name="Text Box 2321">
          <a:extLst>
            <a:ext uri="{FF2B5EF4-FFF2-40B4-BE49-F238E27FC236}">
              <a16:creationId xmlns:a16="http://schemas.microsoft.com/office/drawing/2014/main" xmlns="" id="{B669A803-7CD0-4FCB-AB99-F26F84E3BDDD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631" name="Text Box 2322">
          <a:extLst>
            <a:ext uri="{FF2B5EF4-FFF2-40B4-BE49-F238E27FC236}">
              <a16:creationId xmlns:a16="http://schemas.microsoft.com/office/drawing/2014/main" xmlns="" id="{CEC871C0-5181-4E36-83EB-2E1045BCAB60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632" name="Text Box 2323">
          <a:extLst>
            <a:ext uri="{FF2B5EF4-FFF2-40B4-BE49-F238E27FC236}">
              <a16:creationId xmlns:a16="http://schemas.microsoft.com/office/drawing/2014/main" xmlns="" id="{9A89DF7E-27A7-4E24-B89E-9E5B9FA9DFD7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633" name="Text Box 2324">
          <a:extLst>
            <a:ext uri="{FF2B5EF4-FFF2-40B4-BE49-F238E27FC236}">
              <a16:creationId xmlns:a16="http://schemas.microsoft.com/office/drawing/2014/main" xmlns="" id="{0053934C-81F8-4E6C-A91A-46616176D386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634" name="Text Box 2325">
          <a:extLst>
            <a:ext uri="{FF2B5EF4-FFF2-40B4-BE49-F238E27FC236}">
              <a16:creationId xmlns:a16="http://schemas.microsoft.com/office/drawing/2014/main" xmlns="" id="{918656D6-FD96-4F92-A4F0-6AB4C6E80780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635" name="Text Box 2326">
          <a:extLst>
            <a:ext uri="{FF2B5EF4-FFF2-40B4-BE49-F238E27FC236}">
              <a16:creationId xmlns:a16="http://schemas.microsoft.com/office/drawing/2014/main" xmlns="" id="{553141DE-72CB-4E41-9F6B-C20A5A674A6C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636" name="Text Box 2327">
          <a:extLst>
            <a:ext uri="{FF2B5EF4-FFF2-40B4-BE49-F238E27FC236}">
              <a16:creationId xmlns:a16="http://schemas.microsoft.com/office/drawing/2014/main" xmlns="" id="{DE405E4A-4B9A-481A-9D49-BC131C88CE64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637" name="Text Box 2328">
          <a:extLst>
            <a:ext uri="{FF2B5EF4-FFF2-40B4-BE49-F238E27FC236}">
              <a16:creationId xmlns:a16="http://schemas.microsoft.com/office/drawing/2014/main" xmlns="" id="{6E975B22-3106-49C9-B9D9-E9F70C4D98AD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638" name="Text Box 2329">
          <a:extLst>
            <a:ext uri="{FF2B5EF4-FFF2-40B4-BE49-F238E27FC236}">
              <a16:creationId xmlns:a16="http://schemas.microsoft.com/office/drawing/2014/main" xmlns="" id="{3E3687AE-2C72-4DF9-AF79-01445724666F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639" name="Text Box 2330">
          <a:extLst>
            <a:ext uri="{FF2B5EF4-FFF2-40B4-BE49-F238E27FC236}">
              <a16:creationId xmlns:a16="http://schemas.microsoft.com/office/drawing/2014/main" xmlns="" id="{20FA9F81-D9E5-4AAD-B3CC-B2CB05398171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640" name="Text Box 2331">
          <a:extLst>
            <a:ext uri="{FF2B5EF4-FFF2-40B4-BE49-F238E27FC236}">
              <a16:creationId xmlns:a16="http://schemas.microsoft.com/office/drawing/2014/main" xmlns="" id="{D89131CD-6EA1-46C9-A3D8-F6CFF59D4B49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641" name="Text Box 2332">
          <a:extLst>
            <a:ext uri="{FF2B5EF4-FFF2-40B4-BE49-F238E27FC236}">
              <a16:creationId xmlns:a16="http://schemas.microsoft.com/office/drawing/2014/main" xmlns="" id="{0592BE17-882F-4C6B-82BE-9AC579B6EFD8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642" name="Text Box 2333">
          <a:extLst>
            <a:ext uri="{FF2B5EF4-FFF2-40B4-BE49-F238E27FC236}">
              <a16:creationId xmlns:a16="http://schemas.microsoft.com/office/drawing/2014/main" xmlns="" id="{2812F3CA-5753-4306-A2BB-BECBD0E56DE5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643" name="Text Box 2334">
          <a:extLst>
            <a:ext uri="{FF2B5EF4-FFF2-40B4-BE49-F238E27FC236}">
              <a16:creationId xmlns:a16="http://schemas.microsoft.com/office/drawing/2014/main" xmlns="" id="{989439E2-BBB8-44E3-BD78-F34922CE97AD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644" name="Text Box 2335">
          <a:extLst>
            <a:ext uri="{FF2B5EF4-FFF2-40B4-BE49-F238E27FC236}">
              <a16:creationId xmlns:a16="http://schemas.microsoft.com/office/drawing/2014/main" xmlns="" id="{7BA2B652-F395-497B-A84C-5C1B18F9C636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645" name="Text Box 2336">
          <a:extLst>
            <a:ext uri="{FF2B5EF4-FFF2-40B4-BE49-F238E27FC236}">
              <a16:creationId xmlns:a16="http://schemas.microsoft.com/office/drawing/2014/main" xmlns="" id="{29C73D75-E672-4B98-9971-3028747D2695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646" name="Text Box 2337">
          <a:extLst>
            <a:ext uri="{FF2B5EF4-FFF2-40B4-BE49-F238E27FC236}">
              <a16:creationId xmlns:a16="http://schemas.microsoft.com/office/drawing/2014/main" xmlns="" id="{BC77CF3B-244C-40CC-B612-B7C41CD4AFAF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647" name="Text Box 2338">
          <a:extLst>
            <a:ext uri="{FF2B5EF4-FFF2-40B4-BE49-F238E27FC236}">
              <a16:creationId xmlns:a16="http://schemas.microsoft.com/office/drawing/2014/main" xmlns="" id="{8C311484-57E0-43F3-82B0-509FF4A21B8E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648" name="Text Box 2339">
          <a:extLst>
            <a:ext uri="{FF2B5EF4-FFF2-40B4-BE49-F238E27FC236}">
              <a16:creationId xmlns:a16="http://schemas.microsoft.com/office/drawing/2014/main" xmlns="" id="{A68C6F35-16BF-4552-8AB0-8E68D61D3453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649" name="Text Box 2340">
          <a:extLst>
            <a:ext uri="{FF2B5EF4-FFF2-40B4-BE49-F238E27FC236}">
              <a16:creationId xmlns:a16="http://schemas.microsoft.com/office/drawing/2014/main" xmlns="" id="{100B3AFC-6AF8-48D8-A3D2-9517DC226151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650" name="Text Box 2341">
          <a:extLst>
            <a:ext uri="{FF2B5EF4-FFF2-40B4-BE49-F238E27FC236}">
              <a16:creationId xmlns:a16="http://schemas.microsoft.com/office/drawing/2014/main" xmlns="" id="{8B65ED27-D52A-474C-96E2-6181B6274F47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651" name="Text Box 2342">
          <a:extLst>
            <a:ext uri="{FF2B5EF4-FFF2-40B4-BE49-F238E27FC236}">
              <a16:creationId xmlns:a16="http://schemas.microsoft.com/office/drawing/2014/main" xmlns="" id="{08997BF9-D864-4C2A-A767-58DA83EE1D33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652" name="Text Box 2343">
          <a:extLst>
            <a:ext uri="{FF2B5EF4-FFF2-40B4-BE49-F238E27FC236}">
              <a16:creationId xmlns:a16="http://schemas.microsoft.com/office/drawing/2014/main" xmlns="" id="{EC5211E2-A4F1-4A69-8044-E60DAE8FCFEE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653" name="Text Box 2344">
          <a:extLst>
            <a:ext uri="{FF2B5EF4-FFF2-40B4-BE49-F238E27FC236}">
              <a16:creationId xmlns:a16="http://schemas.microsoft.com/office/drawing/2014/main" xmlns="" id="{48F609A4-0ED6-4953-8990-25A645266945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654" name="Text Box 2345">
          <a:extLst>
            <a:ext uri="{FF2B5EF4-FFF2-40B4-BE49-F238E27FC236}">
              <a16:creationId xmlns:a16="http://schemas.microsoft.com/office/drawing/2014/main" xmlns="" id="{13CC8628-D87C-46E9-A500-16210C921E8A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655" name="Text Box 2346">
          <a:extLst>
            <a:ext uri="{FF2B5EF4-FFF2-40B4-BE49-F238E27FC236}">
              <a16:creationId xmlns:a16="http://schemas.microsoft.com/office/drawing/2014/main" xmlns="" id="{84B29688-97F4-4D69-8DC4-D39B90858C45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656" name="Text Box 2347">
          <a:extLst>
            <a:ext uri="{FF2B5EF4-FFF2-40B4-BE49-F238E27FC236}">
              <a16:creationId xmlns:a16="http://schemas.microsoft.com/office/drawing/2014/main" xmlns="" id="{629E6A48-E1B5-4467-B542-45BD834C1FD9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657" name="Text Box 2348">
          <a:extLst>
            <a:ext uri="{FF2B5EF4-FFF2-40B4-BE49-F238E27FC236}">
              <a16:creationId xmlns:a16="http://schemas.microsoft.com/office/drawing/2014/main" xmlns="" id="{DEBBC825-B957-4807-B197-CC6A1F7BD63B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658" name="Text Box 2349">
          <a:extLst>
            <a:ext uri="{FF2B5EF4-FFF2-40B4-BE49-F238E27FC236}">
              <a16:creationId xmlns:a16="http://schemas.microsoft.com/office/drawing/2014/main" xmlns="" id="{6602AB86-81E8-4E22-A251-65FDDD693279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659" name="Text Box 2350">
          <a:extLst>
            <a:ext uri="{FF2B5EF4-FFF2-40B4-BE49-F238E27FC236}">
              <a16:creationId xmlns:a16="http://schemas.microsoft.com/office/drawing/2014/main" xmlns="" id="{B09E969E-C317-457C-9804-CF6CF88F2042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660" name="Text Box 2351">
          <a:extLst>
            <a:ext uri="{FF2B5EF4-FFF2-40B4-BE49-F238E27FC236}">
              <a16:creationId xmlns:a16="http://schemas.microsoft.com/office/drawing/2014/main" xmlns="" id="{CBC7FC13-5099-496E-BE17-27676394EA99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661" name="Text Box 2352">
          <a:extLst>
            <a:ext uri="{FF2B5EF4-FFF2-40B4-BE49-F238E27FC236}">
              <a16:creationId xmlns:a16="http://schemas.microsoft.com/office/drawing/2014/main" xmlns="" id="{34751D52-27BA-464B-8B77-F5BAE70DAAC4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662" name="Text Box 2353">
          <a:extLst>
            <a:ext uri="{FF2B5EF4-FFF2-40B4-BE49-F238E27FC236}">
              <a16:creationId xmlns:a16="http://schemas.microsoft.com/office/drawing/2014/main" xmlns="" id="{44E6B312-3BB6-4A03-B5B8-0B22C1BBA26E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663" name="Text Box 2354">
          <a:extLst>
            <a:ext uri="{FF2B5EF4-FFF2-40B4-BE49-F238E27FC236}">
              <a16:creationId xmlns:a16="http://schemas.microsoft.com/office/drawing/2014/main" xmlns="" id="{1C9BE793-172B-4AE9-A431-932BDBAFA211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664" name="Text Box 2355">
          <a:extLst>
            <a:ext uri="{FF2B5EF4-FFF2-40B4-BE49-F238E27FC236}">
              <a16:creationId xmlns:a16="http://schemas.microsoft.com/office/drawing/2014/main" xmlns="" id="{181A72CC-638B-4300-AA24-AB95134D3993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665" name="Text Box 2356">
          <a:extLst>
            <a:ext uri="{FF2B5EF4-FFF2-40B4-BE49-F238E27FC236}">
              <a16:creationId xmlns:a16="http://schemas.microsoft.com/office/drawing/2014/main" xmlns="" id="{E6499921-52E5-45FD-A7D0-7CBB2395B139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666" name="Text Box 2357">
          <a:extLst>
            <a:ext uri="{FF2B5EF4-FFF2-40B4-BE49-F238E27FC236}">
              <a16:creationId xmlns:a16="http://schemas.microsoft.com/office/drawing/2014/main" xmlns="" id="{E405A2E4-5C3B-497F-82A3-8BCD37C849F1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667" name="Text Box 2358">
          <a:extLst>
            <a:ext uri="{FF2B5EF4-FFF2-40B4-BE49-F238E27FC236}">
              <a16:creationId xmlns:a16="http://schemas.microsoft.com/office/drawing/2014/main" xmlns="" id="{0A722D8D-7BA9-451A-AB88-53556673F7E4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668" name="Text Box 2359">
          <a:extLst>
            <a:ext uri="{FF2B5EF4-FFF2-40B4-BE49-F238E27FC236}">
              <a16:creationId xmlns:a16="http://schemas.microsoft.com/office/drawing/2014/main" xmlns="" id="{57C4F3E9-A67F-45B3-9CFD-7E12D6DC7799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669" name="Text Box 2360">
          <a:extLst>
            <a:ext uri="{FF2B5EF4-FFF2-40B4-BE49-F238E27FC236}">
              <a16:creationId xmlns:a16="http://schemas.microsoft.com/office/drawing/2014/main" xmlns="" id="{C25F2A06-50E4-4EC4-8673-14BB1C6EA5F8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670" name="Text Box 2361">
          <a:extLst>
            <a:ext uri="{FF2B5EF4-FFF2-40B4-BE49-F238E27FC236}">
              <a16:creationId xmlns:a16="http://schemas.microsoft.com/office/drawing/2014/main" xmlns="" id="{DD52B22C-5D6A-4B73-9F2B-D2B78D88022F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671" name="Text Box 2362">
          <a:extLst>
            <a:ext uri="{FF2B5EF4-FFF2-40B4-BE49-F238E27FC236}">
              <a16:creationId xmlns:a16="http://schemas.microsoft.com/office/drawing/2014/main" xmlns="" id="{DBC7C37E-BB37-405D-84E9-B811D7BB129A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672" name="Text Box 2363">
          <a:extLst>
            <a:ext uri="{FF2B5EF4-FFF2-40B4-BE49-F238E27FC236}">
              <a16:creationId xmlns:a16="http://schemas.microsoft.com/office/drawing/2014/main" xmlns="" id="{0AC0B9DD-03BA-4CFB-9F85-ABCE40E0FE04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673" name="Text Box 2364">
          <a:extLst>
            <a:ext uri="{FF2B5EF4-FFF2-40B4-BE49-F238E27FC236}">
              <a16:creationId xmlns:a16="http://schemas.microsoft.com/office/drawing/2014/main" xmlns="" id="{6987D445-BDA3-47C7-B164-5580731473B8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674" name="Text Box 2365">
          <a:extLst>
            <a:ext uri="{FF2B5EF4-FFF2-40B4-BE49-F238E27FC236}">
              <a16:creationId xmlns:a16="http://schemas.microsoft.com/office/drawing/2014/main" xmlns="" id="{F982F7C8-01EC-4671-BF82-3DF537AD7B26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675" name="Text Box 2366">
          <a:extLst>
            <a:ext uri="{FF2B5EF4-FFF2-40B4-BE49-F238E27FC236}">
              <a16:creationId xmlns:a16="http://schemas.microsoft.com/office/drawing/2014/main" xmlns="" id="{292380CB-05D8-4EEC-BC91-10F921372978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676" name="Text Box 2367">
          <a:extLst>
            <a:ext uri="{FF2B5EF4-FFF2-40B4-BE49-F238E27FC236}">
              <a16:creationId xmlns:a16="http://schemas.microsoft.com/office/drawing/2014/main" xmlns="" id="{38942381-E58B-4131-87AD-B0E8DE85D4C8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677" name="Text Box 2368">
          <a:extLst>
            <a:ext uri="{FF2B5EF4-FFF2-40B4-BE49-F238E27FC236}">
              <a16:creationId xmlns:a16="http://schemas.microsoft.com/office/drawing/2014/main" xmlns="" id="{0285BBCC-1941-4418-A786-788017D70D83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678" name="Text Box 2369">
          <a:extLst>
            <a:ext uri="{FF2B5EF4-FFF2-40B4-BE49-F238E27FC236}">
              <a16:creationId xmlns:a16="http://schemas.microsoft.com/office/drawing/2014/main" xmlns="" id="{389080D9-FC80-4ABA-93C9-E08C66D7B906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679" name="Text Box 2370">
          <a:extLst>
            <a:ext uri="{FF2B5EF4-FFF2-40B4-BE49-F238E27FC236}">
              <a16:creationId xmlns:a16="http://schemas.microsoft.com/office/drawing/2014/main" xmlns="" id="{78CE8C57-8237-41E6-A431-614CA4E5113D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680" name="Text Box 2371">
          <a:extLst>
            <a:ext uri="{FF2B5EF4-FFF2-40B4-BE49-F238E27FC236}">
              <a16:creationId xmlns:a16="http://schemas.microsoft.com/office/drawing/2014/main" xmlns="" id="{DA1BEA3C-7ACD-4EE2-9444-6D5C0AD6B83C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681" name="Text Box 2372">
          <a:extLst>
            <a:ext uri="{FF2B5EF4-FFF2-40B4-BE49-F238E27FC236}">
              <a16:creationId xmlns:a16="http://schemas.microsoft.com/office/drawing/2014/main" xmlns="" id="{D67697C9-6DF6-448B-A47F-553557F096C4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682" name="Text Box 2373">
          <a:extLst>
            <a:ext uri="{FF2B5EF4-FFF2-40B4-BE49-F238E27FC236}">
              <a16:creationId xmlns:a16="http://schemas.microsoft.com/office/drawing/2014/main" xmlns="" id="{6AF48172-97BA-4955-A3AF-72494BA95D7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683" name="Text Box 2374">
          <a:extLst>
            <a:ext uri="{FF2B5EF4-FFF2-40B4-BE49-F238E27FC236}">
              <a16:creationId xmlns:a16="http://schemas.microsoft.com/office/drawing/2014/main" xmlns="" id="{C8B9F52C-48F6-4DAD-8752-88F8B2465C9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684" name="Text Box 2375">
          <a:extLst>
            <a:ext uri="{FF2B5EF4-FFF2-40B4-BE49-F238E27FC236}">
              <a16:creationId xmlns:a16="http://schemas.microsoft.com/office/drawing/2014/main" xmlns="" id="{4780C22B-8DC2-49E1-B556-410B0DC540F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685" name="Text Box 2376">
          <a:extLst>
            <a:ext uri="{FF2B5EF4-FFF2-40B4-BE49-F238E27FC236}">
              <a16:creationId xmlns:a16="http://schemas.microsoft.com/office/drawing/2014/main" xmlns="" id="{78EE9805-F16F-4093-945B-39566BB90DB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686" name="Text Box 2377">
          <a:extLst>
            <a:ext uri="{FF2B5EF4-FFF2-40B4-BE49-F238E27FC236}">
              <a16:creationId xmlns:a16="http://schemas.microsoft.com/office/drawing/2014/main" xmlns="" id="{D4049B80-C009-4A6A-B729-65E62F4C13A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687" name="Text Box 2378">
          <a:extLst>
            <a:ext uri="{FF2B5EF4-FFF2-40B4-BE49-F238E27FC236}">
              <a16:creationId xmlns:a16="http://schemas.microsoft.com/office/drawing/2014/main" xmlns="" id="{3C1C7E60-B00A-4F86-B261-985279AF7F6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688" name="Text Box 2379">
          <a:extLst>
            <a:ext uri="{FF2B5EF4-FFF2-40B4-BE49-F238E27FC236}">
              <a16:creationId xmlns:a16="http://schemas.microsoft.com/office/drawing/2014/main" xmlns="" id="{AEBD60E6-4D0A-462E-AB0B-F345C1F93DB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689" name="Text Box 2380">
          <a:extLst>
            <a:ext uri="{FF2B5EF4-FFF2-40B4-BE49-F238E27FC236}">
              <a16:creationId xmlns:a16="http://schemas.microsoft.com/office/drawing/2014/main" xmlns="" id="{0B9604AE-3DFE-499C-9DB5-DB189344F30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690" name="Text Box 2381">
          <a:extLst>
            <a:ext uri="{FF2B5EF4-FFF2-40B4-BE49-F238E27FC236}">
              <a16:creationId xmlns:a16="http://schemas.microsoft.com/office/drawing/2014/main" xmlns="" id="{7382B1A3-379B-442C-B2F8-D3612379AF7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691" name="Text Box 2382">
          <a:extLst>
            <a:ext uri="{FF2B5EF4-FFF2-40B4-BE49-F238E27FC236}">
              <a16:creationId xmlns:a16="http://schemas.microsoft.com/office/drawing/2014/main" xmlns="" id="{4E7D6A17-C8ED-4E3E-88C6-095E9BA8C19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692" name="Text Box 2383">
          <a:extLst>
            <a:ext uri="{FF2B5EF4-FFF2-40B4-BE49-F238E27FC236}">
              <a16:creationId xmlns:a16="http://schemas.microsoft.com/office/drawing/2014/main" xmlns="" id="{F815FC64-4402-45BE-8579-03A1D239DAD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693" name="Text Box 2384">
          <a:extLst>
            <a:ext uri="{FF2B5EF4-FFF2-40B4-BE49-F238E27FC236}">
              <a16:creationId xmlns:a16="http://schemas.microsoft.com/office/drawing/2014/main" xmlns="" id="{2FB991FF-B53F-4585-B967-68B4FD196AD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694" name="Text Box 2385">
          <a:extLst>
            <a:ext uri="{FF2B5EF4-FFF2-40B4-BE49-F238E27FC236}">
              <a16:creationId xmlns:a16="http://schemas.microsoft.com/office/drawing/2014/main" xmlns="" id="{6D239F42-FAFE-4ED6-AF32-B685D7D3C65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695" name="Text Box 2386">
          <a:extLst>
            <a:ext uri="{FF2B5EF4-FFF2-40B4-BE49-F238E27FC236}">
              <a16:creationId xmlns:a16="http://schemas.microsoft.com/office/drawing/2014/main" xmlns="" id="{F5426154-2303-4589-84AE-E8F235D42A1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696" name="Text Box 2387">
          <a:extLst>
            <a:ext uri="{FF2B5EF4-FFF2-40B4-BE49-F238E27FC236}">
              <a16:creationId xmlns:a16="http://schemas.microsoft.com/office/drawing/2014/main" xmlns="" id="{31829FBE-F3B1-4625-BAC1-E4398C3D05D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697" name="Text Box 2388">
          <a:extLst>
            <a:ext uri="{FF2B5EF4-FFF2-40B4-BE49-F238E27FC236}">
              <a16:creationId xmlns:a16="http://schemas.microsoft.com/office/drawing/2014/main" xmlns="" id="{1782132A-6411-4C24-B8DE-4E7FB345AC1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698" name="Text Box 2389">
          <a:extLst>
            <a:ext uri="{FF2B5EF4-FFF2-40B4-BE49-F238E27FC236}">
              <a16:creationId xmlns:a16="http://schemas.microsoft.com/office/drawing/2014/main" xmlns="" id="{2C64C607-D5F3-4C47-AF4E-FD6CB324F95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699" name="Text Box 2390">
          <a:extLst>
            <a:ext uri="{FF2B5EF4-FFF2-40B4-BE49-F238E27FC236}">
              <a16:creationId xmlns:a16="http://schemas.microsoft.com/office/drawing/2014/main" xmlns="" id="{A33220EC-7738-4ADE-892C-C1ABB3EFADB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700" name="Text Box 2391">
          <a:extLst>
            <a:ext uri="{FF2B5EF4-FFF2-40B4-BE49-F238E27FC236}">
              <a16:creationId xmlns:a16="http://schemas.microsoft.com/office/drawing/2014/main" xmlns="" id="{29583DAB-5024-4188-A8CD-EBEE0CC75CC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701" name="Text Box 2392">
          <a:extLst>
            <a:ext uri="{FF2B5EF4-FFF2-40B4-BE49-F238E27FC236}">
              <a16:creationId xmlns:a16="http://schemas.microsoft.com/office/drawing/2014/main" xmlns="" id="{DCE93376-514E-4439-BDCD-846BEF2EBA3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702" name="Text Box 2393">
          <a:extLst>
            <a:ext uri="{FF2B5EF4-FFF2-40B4-BE49-F238E27FC236}">
              <a16:creationId xmlns:a16="http://schemas.microsoft.com/office/drawing/2014/main" xmlns="" id="{64F3A8B2-8E04-4EC7-B761-D905633B00B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703" name="Text Box 2394">
          <a:extLst>
            <a:ext uri="{FF2B5EF4-FFF2-40B4-BE49-F238E27FC236}">
              <a16:creationId xmlns:a16="http://schemas.microsoft.com/office/drawing/2014/main" xmlns="" id="{3637E6E8-5CBD-4117-B2A2-744A9228B9D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704" name="Text Box 2395">
          <a:extLst>
            <a:ext uri="{FF2B5EF4-FFF2-40B4-BE49-F238E27FC236}">
              <a16:creationId xmlns:a16="http://schemas.microsoft.com/office/drawing/2014/main" xmlns="" id="{EBDC6925-4F7F-4B7D-8FF7-0D6F9087301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705" name="Text Box 2396">
          <a:extLst>
            <a:ext uri="{FF2B5EF4-FFF2-40B4-BE49-F238E27FC236}">
              <a16:creationId xmlns:a16="http://schemas.microsoft.com/office/drawing/2014/main" xmlns="" id="{88F7AE58-33B6-4ECD-8BF5-5C05837E6CC1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706" name="Text Box 2397">
          <a:extLst>
            <a:ext uri="{FF2B5EF4-FFF2-40B4-BE49-F238E27FC236}">
              <a16:creationId xmlns:a16="http://schemas.microsoft.com/office/drawing/2014/main" xmlns="" id="{B1559143-F5B0-4594-A8CD-2FB203C12AC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707" name="Text Box 2398">
          <a:extLst>
            <a:ext uri="{FF2B5EF4-FFF2-40B4-BE49-F238E27FC236}">
              <a16:creationId xmlns:a16="http://schemas.microsoft.com/office/drawing/2014/main" xmlns="" id="{A88FEF9A-7262-4400-8ED3-0F9818DD33F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708" name="Text Box 2399">
          <a:extLst>
            <a:ext uri="{FF2B5EF4-FFF2-40B4-BE49-F238E27FC236}">
              <a16:creationId xmlns:a16="http://schemas.microsoft.com/office/drawing/2014/main" xmlns="" id="{52318163-6AAB-4872-A0FE-7323E2AF005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709" name="Text Box 2400">
          <a:extLst>
            <a:ext uri="{FF2B5EF4-FFF2-40B4-BE49-F238E27FC236}">
              <a16:creationId xmlns:a16="http://schemas.microsoft.com/office/drawing/2014/main" xmlns="" id="{6D47DE82-0F01-4ECA-B4E0-6CD11EA07F2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710" name="Text Box 2401">
          <a:extLst>
            <a:ext uri="{FF2B5EF4-FFF2-40B4-BE49-F238E27FC236}">
              <a16:creationId xmlns:a16="http://schemas.microsoft.com/office/drawing/2014/main" xmlns="" id="{B0CBB1BA-8813-48FD-B40D-6E042002468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711" name="Text Box 2402">
          <a:extLst>
            <a:ext uri="{FF2B5EF4-FFF2-40B4-BE49-F238E27FC236}">
              <a16:creationId xmlns:a16="http://schemas.microsoft.com/office/drawing/2014/main" xmlns="" id="{A8B153B5-377F-4BFE-8AB8-3548C295BFA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712" name="Text Box 2403">
          <a:extLst>
            <a:ext uri="{FF2B5EF4-FFF2-40B4-BE49-F238E27FC236}">
              <a16:creationId xmlns:a16="http://schemas.microsoft.com/office/drawing/2014/main" xmlns="" id="{ECBA9DF1-8B51-4AEE-A2AA-360853D38F5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713" name="Text Box 2404">
          <a:extLst>
            <a:ext uri="{FF2B5EF4-FFF2-40B4-BE49-F238E27FC236}">
              <a16:creationId xmlns:a16="http://schemas.microsoft.com/office/drawing/2014/main" xmlns="" id="{8FF78EE9-13F4-475D-9ACD-17A205D0677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714" name="Text Box 2405">
          <a:extLst>
            <a:ext uri="{FF2B5EF4-FFF2-40B4-BE49-F238E27FC236}">
              <a16:creationId xmlns:a16="http://schemas.microsoft.com/office/drawing/2014/main" xmlns="" id="{88C0361D-0A84-49FF-B3FC-FBBA6F7735B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715" name="Text Box 2406">
          <a:extLst>
            <a:ext uri="{FF2B5EF4-FFF2-40B4-BE49-F238E27FC236}">
              <a16:creationId xmlns:a16="http://schemas.microsoft.com/office/drawing/2014/main" xmlns="" id="{8FBE2618-CB61-4A44-A01B-E3B3C8FA116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716" name="Text Box 2407">
          <a:extLst>
            <a:ext uri="{FF2B5EF4-FFF2-40B4-BE49-F238E27FC236}">
              <a16:creationId xmlns:a16="http://schemas.microsoft.com/office/drawing/2014/main" xmlns="" id="{C6DEB96C-6B65-4F67-BED8-D2536105533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717" name="Text Box 2408">
          <a:extLst>
            <a:ext uri="{FF2B5EF4-FFF2-40B4-BE49-F238E27FC236}">
              <a16:creationId xmlns:a16="http://schemas.microsoft.com/office/drawing/2014/main" xmlns="" id="{41BCA317-741D-44F1-A351-2795A9E108D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718" name="Text Box 2409">
          <a:extLst>
            <a:ext uri="{FF2B5EF4-FFF2-40B4-BE49-F238E27FC236}">
              <a16:creationId xmlns:a16="http://schemas.microsoft.com/office/drawing/2014/main" xmlns="" id="{7DE5132B-340D-40B8-BB72-7A71ABCE345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719" name="Text Box 2410">
          <a:extLst>
            <a:ext uri="{FF2B5EF4-FFF2-40B4-BE49-F238E27FC236}">
              <a16:creationId xmlns:a16="http://schemas.microsoft.com/office/drawing/2014/main" xmlns="" id="{F2DF86CD-326A-4EE0-A674-2BAB1A813A3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720" name="Text Box 2411">
          <a:extLst>
            <a:ext uri="{FF2B5EF4-FFF2-40B4-BE49-F238E27FC236}">
              <a16:creationId xmlns:a16="http://schemas.microsoft.com/office/drawing/2014/main" xmlns="" id="{750D976F-5024-444D-8891-4F5815D2D07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721" name="Text Box 2412">
          <a:extLst>
            <a:ext uri="{FF2B5EF4-FFF2-40B4-BE49-F238E27FC236}">
              <a16:creationId xmlns:a16="http://schemas.microsoft.com/office/drawing/2014/main" xmlns="" id="{6F76476E-15DB-47F8-A69F-B267B3AC455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722" name="Text Box 2413">
          <a:extLst>
            <a:ext uri="{FF2B5EF4-FFF2-40B4-BE49-F238E27FC236}">
              <a16:creationId xmlns:a16="http://schemas.microsoft.com/office/drawing/2014/main" xmlns="" id="{B96B1303-E750-4AAB-B9D2-73F2E05C66A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723" name="Text Box 2414">
          <a:extLst>
            <a:ext uri="{FF2B5EF4-FFF2-40B4-BE49-F238E27FC236}">
              <a16:creationId xmlns:a16="http://schemas.microsoft.com/office/drawing/2014/main" xmlns="" id="{AB93D3F1-A8E0-4576-99BA-5A4F668C9EC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724" name="Text Box 2415">
          <a:extLst>
            <a:ext uri="{FF2B5EF4-FFF2-40B4-BE49-F238E27FC236}">
              <a16:creationId xmlns:a16="http://schemas.microsoft.com/office/drawing/2014/main" xmlns="" id="{E059DECD-1DDA-4D75-984B-E94E275A287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725" name="Text Box 2416">
          <a:extLst>
            <a:ext uri="{FF2B5EF4-FFF2-40B4-BE49-F238E27FC236}">
              <a16:creationId xmlns:a16="http://schemas.microsoft.com/office/drawing/2014/main" xmlns="" id="{154B6AEE-2977-41C8-AC80-3C7850841BF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726" name="Text Box 2417">
          <a:extLst>
            <a:ext uri="{FF2B5EF4-FFF2-40B4-BE49-F238E27FC236}">
              <a16:creationId xmlns:a16="http://schemas.microsoft.com/office/drawing/2014/main" xmlns="" id="{F2EC90A4-E9C8-4DC8-8FE2-1E31B523C881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727" name="Text Box 2418">
          <a:extLst>
            <a:ext uri="{FF2B5EF4-FFF2-40B4-BE49-F238E27FC236}">
              <a16:creationId xmlns:a16="http://schemas.microsoft.com/office/drawing/2014/main" xmlns="" id="{284C4E49-44EC-4842-AB8C-F50B482C1D8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728" name="Text Box 2419">
          <a:extLst>
            <a:ext uri="{FF2B5EF4-FFF2-40B4-BE49-F238E27FC236}">
              <a16:creationId xmlns:a16="http://schemas.microsoft.com/office/drawing/2014/main" xmlns="" id="{358E8ECC-AC59-4160-ABC0-C59F8719AE8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729" name="Text Box 2420">
          <a:extLst>
            <a:ext uri="{FF2B5EF4-FFF2-40B4-BE49-F238E27FC236}">
              <a16:creationId xmlns:a16="http://schemas.microsoft.com/office/drawing/2014/main" xmlns="" id="{81D0778A-DB70-4B7F-9398-E5C6598A211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730" name="Text Box 2421">
          <a:extLst>
            <a:ext uri="{FF2B5EF4-FFF2-40B4-BE49-F238E27FC236}">
              <a16:creationId xmlns:a16="http://schemas.microsoft.com/office/drawing/2014/main" xmlns="" id="{FC7840DE-67D9-4B6A-800E-7F38EA30913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731" name="Text Box 2422">
          <a:extLst>
            <a:ext uri="{FF2B5EF4-FFF2-40B4-BE49-F238E27FC236}">
              <a16:creationId xmlns:a16="http://schemas.microsoft.com/office/drawing/2014/main" xmlns="" id="{D7F306FE-F0AB-40DF-8608-31C919A77FF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732" name="Text Box 2423">
          <a:extLst>
            <a:ext uri="{FF2B5EF4-FFF2-40B4-BE49-F238E27FC236}">
              <a16:creationId xmlns:a16="http://schemas.microsoft.com/office/drawing/2014/main" xmlns="" id="{B6785018-D509-4FEE-9220-ACDC58843164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733" name="Text Box 2424">
          <a:extLst>
            <a:ext uri="{FF2B5EF4-FFF2-40B4-BE49-F238E27FC236}">
              <a16:creationId xmlns:a16="http://schemas.microsoft.com/office/drawing/2014/main" xmlns="" id="{83C607C6-D239-46AF-976C-33FBD76FB9CE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734" name="Text Box 2425">
          <a:extLst>
            <a:ext uri="{FF2B5EF4-FFF2-40B4-BE49-F238E27FC236}">
              <a16:creationId xmlns:a16="http://schemas.microsoft.com/office/drawing/2014/main" xmlns="" id="{71015D68-9693-45F9-AFFF-6C4A1E32824D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735" name="Text Box 2426">
          <a:extLst>
            <a:ext uri="{FF2B5EF4-FFF2-40B4-BE49-F238E27FC236}">
              <a16:creationId xmlns:a16="http://schemas.microsoft.com/office/drawing/2014/main" xmlns="" id="{956EC792-7429-4165-A562-F862D2BBC670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736" name="Text Box 2427">
          <a:extLst>
            <a:ext uri="{FF2B5EF4-FFF2-40B4-BE49-F238E27FC236}">
              <a16:creationId xmlns:a16="http://schemas.microsoft.com/office/drawing/2014/main" xmlns="" id="{FD29B14F-2360-4EAC-8392-CB9F54F70164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737" name="Text Box 2428">
          <a:extLst>
            <a:ext uri="{FF2B5EF4-FFF2-40B4-BE49-F238E27FC236}">
              <a16:creationId xmlns:a16="http://schemas.microsoft.com/office/drawing/2014/main" xmlns="" id="{DDD642EE-DC2A-48D5-88A5-1A4060022A7F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738" name="Text Box 2429">
          <a:extLst>
            <a:ext uri="{FF2B5EF4-FFF2-40B4-BE49-F238E27FC236}">
              <a16:creationId xmlns:a16="http://schemas.microsoft.com/office/drawing/2014/main" xmlns="" id="{78F5C08D-E5B7-4E31-9834-B63CE33D107C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739" name="Text Box 2430">
          <a:extLst>
            <a:ext uri="{FF2B5EF4-FFF2-40B4-BE49-F238E27FC236}">
              <a16:creationId xmlns:a16="http://schemas.microsoft.com/office/drawing/2014/main" xmlns="" id="{2F1AE201-FC62-4F47-9FF7-542007172DE0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740" name="Text Box 2431">
          <a:extLst>
            <a:ext uri="{FF2B5EF4-FFF2-40B4-BE49-F238E27FC236}">
              <a16:creationId xmlns:a16="http://schemas.microsoft.com/office/drawing/2014/main" xmlns="" id="{0401B73A-7C5F-4E1B-ACC2-FCD87D08BD30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741" name="Text Box 2432">
          <a:extLst>
            <a:ext uri="{FF2B5EF4-FFF2-40B4-BE49-F238E27FC236}">
              <a16:creationId xmlns:a16="http://schemas.microsoft.com/office/drawing/2014/main" xmlns="" id="{ED45ABF4-2E9F-40F4-B178-BA3285D0C92A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742" name="Text Box 2433">
          <a:extLst>
            <a:ext uri="{FF2B5EF4-FFF2-40B4-BE49-F238E27FC236}">
              <a16:creationId xmlns:a16="http://schemas.microsoft.com/office/drawing/2014/main" xmlns="" id="{EE19A4C9-21B9-4DDA-B2C9-475A223E77D9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743" name="Text Box 2434">
          <a:extLst>
            <a:ext uri="{FF2B5EF4-FFF2-40B4-BE49-F238E27FC236}">
              <a16:creationId xmlns:a16="http://schemas.microsoft.com/office/drawing/2014/main" xmlns="" id="{D2AE4449-440F-4E9A-BE77-2C1CDF72FEF7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744" name="Text Box 2435">
          <a:extLst>
            <a:ext uri="{FF2B5EF4-FFF2-40B4-BE49-F238E27FC236}">
              <a16:creationId xmlns:a16="http://schemas.microsoft.com/office/drawing/2014/main" xmlns="" id="{079A48D0-0B25-478B-AF7F-6E7BEB6D453A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745" name="Text Box 2436">
          <a:extLst>
            <a:ext uri="{FF2B5EF4-FFF2-40B4-BE49-F238E27FC236}">
              <a16:creationId xmlns:a16="http://schemas.microsoft.com/office/drawing/2014/main" xmlns="" id="{996E3B3C-F3FF-413D-9C1F-342CB398EBDC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746" name="Text Box 2437">
          <a:extLst>
            <a:ext uri="{FF2B5EF4-FFF2-40B4-BE49-F238E27FC236}">
              <a16:creationId xmlns:a16="http://schemas.microsoft.com/office/drawing/2014/main" xmlns="" id="{FB0EEF9E-FF2C-4DB5-98B3-CD5873FB5E3C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747" name="Text Box 2438">
          <a:extLst>
            <a:ext uri="{FF2B5EF4-FFF2-40B4-BE49-F238E27FC236}">
              <a16:creationId xmlns:a16="http://schemas.microsoft.com/office/drawing/2014/main" xmlns="" id="{000A4A5F-AE1D-46BF-8EDC-3FA44416A243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748" name="Text Box 2439">
          <a:extLst>
            <a:ext uri="{FF2B5EF4-FFF2-40B4-BE49-F238E27FC236}">
              <a16:creationId xmlns:a16="http://schemas.microsoft.com/office/drawing/2014/main" xmlns="" id="{D9489CD3-4F5B-46A3-9004-56DB9C1CF2B1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749" name="Text Box 2440">
          <a:extLst>
            <a:ext uri="{FF2B5EF4-FFF2-40B4-BE49-F238E27FC236}">
              <a16:creationId xmlns:a16="http://schemas.microsoft.com/office/drawing/2014/main" xmlns="" id="{FB4E9860-3D8E-4051-A835-424F9FFC8AB2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750" name="Text Box 2441">
          <a:extLst>
            <a:ext uri="{FF2B5EF4-FFF2-40B4-BE49-F238E27FC236}">
              <a16:creationId xmlns:a16="http://schemas.microsoft.com/office/drawing/2014/main" xmlns="" id="{18AFCA30-4DCF-4355-93CF-C1AE0E88A3B9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751" name="Text Box 2442">
          <a:extLst>
            <a:ext uri="{FF2B5EF4-FFF2-40B4-BE49-F238E27FC236}">
              <a16:creationId xmlns:a16="http://schemas.microsoft.com/office/drawing/2014/main" xmlns="" id="{81191EEF-E4D4-4F47-BEC5-7526340A8E89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752" name="Text Box 2443">
          <a:extLst>
            <a:ext uri="{FF2B5EF4-FFF2-40B4-BE49-F238E27FC236}">
              <a16:creationId xmlns:a16="http://schemas.microsoft.com/office/drawing/2014/main" xmlns="" id="{E28BD658-7B37-4E6B-AFF0-F2AD98D66863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753" name="Text Box 2444">
          <a:extLst>
            <a:ext uri="{FF2B5EF4-FFF2-40B4-BE49-F238E27FC236}">
              <a16:creationId xmlns:a16="http://schemas.microsoft.com/office/drawing/2014/main" xmlns="" id="{DD28ECEE-EEC8-4968-9224-74CC198332DD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754" name="Text Box 2445">
          <a:extLst>
            <a:ext uri="{FF2B5EF4-FFF2-40B4-BE49-F238E27FC236}">
              <a16:creationId xmlns:a16="http://schemas.microsoft.com/office/drawing/2014/main" xmlns="" id="{7BA84000-A1DC-40C4-8BBF-3AA9D9D37A97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755" name="Text Box 2446">
          <a:extLst>
            <a:ext uri="{FF2B5EF4-FFF2-40B4-BE49-F238E27FC236}">
              <a16:creationId xmlns:a16="http://schemas.microsoft.com/office/drawing/2014/main" xmlns="" id="{38669264-A0BB-457C-BD7F-E4A755FDB260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756" name="Text Box 2447">
          <a:extLst>
            <a:ext uri="{FF2B5EF4-FFF2-40B4-BE49-F238E27FC236}">
              <a16:creationId xmlns:a16="http://schemas.microsoft.com/office/drawing/2014/main" xmlns="" id="{4CE34E6D-0E4D-4AF1-AB25-6DC04BABFED6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757" name="Text Box 2448">
          <a:extLst>
            <a:ext uri="{FF2B5EF4-FFF2-40B4-BE49-F238E27FC236}">
              <a16:creationId xmlns:a16="http://schemas.microsoft.com/office/drawing/2014/main" xmlns="" id="{317D7163-5EFE-4F30-975D-1FE40B3FD5CC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758" name="Text Box 2449">
          <a:extLst>
            <a:ext uri="{FF2B5EF4-FFF2-40B4-BE49-F238E27FC236}">
              <a16:creationId xmlns:a16="http://schemas.microsoft.com/office/drawing/2014/main" xmlns="" id="{34CF4932-8BA7-4260-B237-F577FA312D89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759" name="Text Box 2450">
          <a:extLst>
            <a:ext uri="{FF2B5EF4-FFF2-40B4-BE49-F238E27FC236}">
              <a16:creationId xmlns:a16="http://schemas.microsoft.com/office/drawing/2014/main" xmlns="" id="{C7CE6DC9-9636-44C3-83F0-9D4557DB5C25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760" name="Text Box 2451">
          <a:extLst>
            <a:ext uri="{FF2B5EF4-FFF2-40B4-BE49-F238E27FC236}">
              <a16:creationId xmlns:a16="http://schemas.microsoft.com/office/drawing/2014/main" xmlns="" id="{CB0F1D4E-1C8E-49B4-9EB1-35135678F2FB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761" name="Text Box 2452">
          <a:extLst>
            <a:ext uri="{FF2B5EF4-FFF2-40B4-BE49-F238E27FC236}">
              <a16:creationId xmlns:a16="http://schemas.microsoft.com/office/drawing/2014/main" xmlns="" id="{CDF69F91-39D0-46A4-859F-8FC920729602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762" name="Text Box 2453">
          <a:extLst>
            <a:ext uri="{FF2B5EF4-FFF2-40B4-BE49-F238E27FC236}">
              <a16:creationId xmlns:a16="http://schemas.microsoft.com/office/drawing/2014/main" xmlns="" id="{49D0A325-A7DC-4F27-B5E0-39C114A6C239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763" name="Text Box 2454">
          <a:extLst>
            <a:ext uri="{FF2B5EF4-FFF2-40B4-BE49-F238E27FC236}">
              <a16:creationId xmlns:a16="http://schemas.microsoft.com/office/drawing/2014/main" xmlns="" id="{A720FD3F-F695-4E3D-91F5-A7347431568C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764" name="Text Box 2455">
          <a:extLst>
            <a:ext uri="{FF2B5EF4-FFF2-40B4-BE49-F238E27FC236}">
              <a16:creationId xmlns:a16="http://schemas.microsoft.com/office/drawing/2014/main" xmlns="" id="{5F38BCA9-A578-49E4-9235-6446EE9D0E61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765" name="Text Box 2456">
          <a:extLst>
            <a:ext uri="{FF2B5EF4-FFF2-40B4-BE49-F238E27FC236}">
              <a16:creationId xmlns:a16="http://schemas.microsoft.com/office/drawing/2014/main" xmlns="" id="{3C562500-DCFB-4780-9F85-5746E3DA0833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766" name="Text Box 2457">
          <a:extLst>
            <a:ext uri="{FF2B5EF4-FFF2-40B4-BE49-F238E27FC236}">
              <a16:creationId xmlns:a16="http://schemas.microsoft.com/office/drawing/2014/main" xmlns="" id="{95E64CC9-AD91-4116-B97F-1A4BF45CAB2E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767" name="Text Box 2458">
          <a:extLst>
            <a:ext uri="{FF2B5EF4-FFF2-40B4-BE49-F238E27FC236}">
              <a16:creationId xmlns:a16="http://schemas.microsoft.com/office/drawing/2014/main" xmlns="" id="{E4679F49-B972-4D03-B72A-2A9258DA2442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768" name="Text Box 2459">
          <a:extLst>
            <a:ext uri="{FF2B5EF4-FFF2-40B4-BE49-F238E27FC236}">
              <a16:creationId xmlns:a16="http://schemas.microsoft.com/office/drawing/2014/main" xmlns="" id="{AD20D09C-172D-433D-90A2-3D26C4730303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769" name="Text Box 2460">
          <a:extLst>
            <a:ext uri="{FF2B5EF4-FFF2-40B4-BE49-F238E27FC236}">
              <a16:creationId xmlns:a16="http://schemas.microsoft.com/office/drawing/2014/main" xmlns="" id="{E13AE3E1-06F6-42FC-AFD4-662DEC59979F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770" name="Text Box 2461">
          <a:extLst>
            <a:ext uri="{FF2B5EF4-FFF2-40B4-BE49-F238E27FC236}">
              <a16:creationId xmlns:a16="http://schemas.microsoft.com/office/drawing/2014/main" xmlns="" id="{F3480FEB-4ABE-47EF-84A1-7283C89009CD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771" name="Text Box 2462">
          <a:extLst>
            <a:ext uri="{FF2B5EF4-FFF2-40B4-BE49-F238E27FC236}">
              <a16:creationId xmlns:a16="http://schemas.microsoft.com/office/drawing/2014/main" xmlns="" id="{6301D22D-444A-4B90-94F6-2BAFCB24249F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772" name="Text Box 2463">
          <a:extLst>
            <a:ext uri="{FF2B5EF4-FFF2-40B4-BE49-F238E27FC236}">
              <a16:creationId xmlns:a16="http://schemas.microsoft.com/office/drawing/2014/main" xmlns="" id="{7550C9A2-593E-4494-9249-4E70EA15917C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773" name="Text Box 2464">
          <a:extLst>
            <a:ext uri="{FF2B5EF4-FFF2-40B4-BE49-F238E27FC236}">
              <a16:creationId xmlns:a16="http://schemas.microsoft.com/office/drawing/2014/main" xmlns="" id="{CD74FF16-E769-4B7B-B416-18E20903D169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774" name="Text Box 2465">
          <a:extLst>
            <a:ext uri="{FF2B5EF4-FFF2-40B4-BE49-F238E27FC236}">
              <a16:creationId xmlns:a16="http://schemas.microsoft.com/office/drawing/2014/main" xmlns="" id="{F0C785B1-FC8A-453E-BD45-C13357A202BD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775" name="Text Box 2466">
          <a:extLst>
            <a:ext uri="{FF2B5EF4-FFF2-40B4-BE49-F238E27FC236}">
              <a16:creationId xmlns:a16="http://schemas.microsoft.com/office/drawing/2014/main" xmlns="" id="{05839291-C08D-46F6-830D-542BC0F0B3D7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776" name="Text Box 2467">
          <a:extLst>
            <a:ext uri="{FF2B5EF4-FFF2-40B4-BE49-F238E27FC236}">
              <a16:creationId xmlns:a16="http://schemas.microsoft.com/office/drawing/2014/main" xmlns="" id="{B5057809-CFA0-4C95-9457-446AA6800443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777" name="Text Box 2468">
          <a:extLst>
            <a:ext uri="{FF2B5EF4-FFF2-40B4-BE49-F238E27FC236}">
              <a16:creationId xmlns:a16="http://schemas.microsoft.com/office/drawing/2014/main" xmlns="" id="{B2F66D2E-8D26-4A5C-AEA0-4CE77AC63482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778" name="Text Box 2469">
          <a:extLst>
            <a:ext uri="{FF2B5EF4-FFF2-40B4-BE49-F238E27FC236}">
              <a16:creationId xmlns:a16="http://schemas.microsoft.com/office/drawing/2014/main" xmlns="" id="{B9042211-F537-4FB8-B941-875603FF0F05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779" name="Text Box 2470">
          <a:extLst>
            <a:ext uri="{FF2B5EF4-FFF2-40B4-BE49-F238E27FC236}">
              <a16:creationId xmlns:a16="http://schemas.microsoft.com/office/drawing/2014/main" xmlns="" id="{ACB458A8-74E5-460C-BA46-6074D19D39CE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780" name="Text Box 2471">
          <a:extLst>
            <a:ext uri="{FF2B5EF4-FFF2-40B4-BE49-F238E27FC236}">
              <a16:creationId xmlns:a16="http://schemas.microsoft.com/office/drawing/2014/main" xmlns="" id="{22D33642-46B6-442B-894E-878E6579FEC7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781" name="Text Box 2472">
          <a:extLst>
            <a:ext uri="{FF2B5EF4-FFF2-40B4-BE49-F238E27FC236}">
              <a16:creationId xmlns:a16="http://schemas.microsoft.com/office/drawing/2014/main" xmlns="" id="{431529AB-3B8F-41ED-9281-9E8696C870A2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782" name="Text Box 2473">
          <a:extLst>
            <a:ext uri="{FF2B5EF4-FFF2-40B4-BE49-F238E27FC236}">
              <a16:creationId xmlns:a16="http://schemas.microsoft.com/office/drawing/2014/main" xmlns="" id="{D1F7128C-CF9E-442C-B6B1-B0D3E010D94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783" name="Text Box 2474">
          <a:extLst>
            <a:ext uri="{FF2B5EF4-FFF2-40B4-BE49-F238E27FC236}">
              <a16:creationId xmlns:a16="http://schemas.microsoft.com/office/drawing/2014/main" xmlns="" id="{11E59759-D796-4B2D-983E-0990FE0C9FA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784" name="Text Box 2475">
          <a:extLst>
            <a:ext uri="{FF2B5EF4-FFF2-40B4-BE49-F238E27FC236}">
              <a16:creationId xmlns:a16="http://schemas.microsoft.com/office/drawing/2014/main" xmlns="" id="{4AF80BFC-37EB-4E68-B349-9C1140ACB0E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785" name="Text Box 2476">
          <a:extLst>
            <a:ext uri="{FF2B5EF4-FFF2-40B4-BE49-F238E27FC236}">
              <a16:creationId xmlns:a16="http://schemas.microsoft.com/office/drawing/2014/main" xmlns="" id="{FF14D8C2-2754-4136-99AD-74D259BEF0C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786" name="Text Box 2477">
          <a:extLst>
            <a:ext uri="{FF2B5EF4-FFF2-40B4-BE49-F238E27FC236}">
              <a16:creationId xmlns:a16="http://schemas.microsoft.com/office/drawing/2014/main" xmlns="" id="{A5C99484-78EB-4CD0-A235-3BFF465647D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787" name="Text Box 2478">
          <a:extLst>
            <a:ext uri="{FF2B5EF4-FFF2-40B4-BE49-F238E27FC236}">
              <a16:creationId xmlns:a16="http://schemas.microsoft.com/office/drawing/2014/main" xmlns="" id="{A295609B-1837-424A-B3A8-F114E23CDCD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788" name="Text Box 2479">
          <a:extLst>
            <a:ext uri="{FF2B5EF4-FFF2-40B4-BE49-F238E27FC236}">
              <a16:creationId xmlns:a16="http://schemas.microsoft.com/office/drawing/2014/main" xmlns="" id="{BDFFECFD-2AB5-4AF3-BA92-2E2DFBF959F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789" name="Text Box 2480">
          <a:extLst>
            <a:ext uri="{FF2B5EF4-FFF2-40B4-BE49-F238E27FC236}">
              <a16:creationId xmlns:a16="http://schemas.microsoft.com/office/drawing/2014/main" xmlns="" id="{26C543D9-97DC-4326-992F-356F5824BC1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790" name="Text Box 2481">
          <a:extLst>
            <a:ext uri="{FF2B5EF4-FFF2-40B4-BE49-F238E27FC236}">
              <a16:creationId xmlns:a16="http://schemas.microsoft.com/office/drawing/2014/main" xmlns="" id="{AD27B9DC-B769-4F5D-B15E-2F8A9E78162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791" name="Text Box 2482">
          <a:extLst>
            <a:ext uri="{FF2B5EF4-FFF2-40B4-BE49-F238E27FC236}">
              <a16:creationId xmlns:a16="http://schemas.microsoft.com/office/drawing/2014/main" xmlns="" id="{8F3CF497-4BF4-4FEF-86EB-4FE4ED08C7C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792" name="Text Box 2483">
          <a:extLst>
            <a:ext uri="{FF2B5EF4-FFF2-40B4-BE49-F238E27FC236}">
              <a16:creationId xmlns:a16="http://schemas.microsoft.com/office/drawing/2014/main" xmlns="" id="{192580A6-16AB-473C-BF6E-222194368B7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793" name="Text Box 2484">
          <a:extLst>
            <a:ext uri="{FF2B5EF4-FFF2-40B4-BE49-F238E27FC236}">
              <a16:creationId xmlns:a16="http://schemas.microsoft.com/office/drawing/2014/main" xmlns="" id="{4E13A9A1-1497-4CC6-BBA7-6F03AA7D1CD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794" name="Text Box 2485">
          <a:extLst>
            <a:ext uri="{FF2B5EF4-FFF2-40B4-BE49-F238E27FC236}">
              <a16:creationId xmlns:a16="http://schemas.microsoft.com/office/drawing/2014/main" xmlns="" id="{615A843A-B270-4EC9-8066-95325651180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795" name="Text Box 2486">
          <a:extLst>
            <a:ext uri="{FF2B5EF4-FFF2-40B4-BE49-F238E27FC236}">
              <a16:creationId xmlns:a16="http://schemas.microsoft.com/office/drawing/2014/main" xmlns="" id="{9B330204-29B7-4A8C-958B-FF75205C11F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796" name="Text Box 2487">
          <a:extLst>
            <a:ext uri="{FF2B5EF4-FFF2-40B4-BE49-F238E27FC236}">
              <a16:creationId xmlns:a16="http://schemas.microsoft.com/office/drawing/2014/main" xmlns="" id="{E8FBDCDE-90EE-4E06-B830-AE5BACE1620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797" name="Text Box 2488">
          <a:extLst>
            <a:ext uri="{FF2B5EF4-FFF2-40B4-BE49-F238E27FC236}">
              <a16:creationId xmlns:a16="http://schemas.microsoft.com/office/drawing/2014/main" xmlns="" id="{F141E96B-DD73-4CAF-AEC5-001DEE91D21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798" name="Text Box 2489">
          <a:extLst>
            <a:ext uri="{FF2B5EF4-FFF2-40B4-BE49-F238E27FC236}">
              <a16:creationId xmlns:a16="http://schemas.microsoft.com/office/drawing/2014/main" xmlns="" id="{D1A5D428-E8C9-40F6-8282-A9821DDDA0B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799" name="Text Box 2490">
          <a:extLst>
            <a:ext uri="{FF2B5EF4-FFF2-40B4-BE49-F238E27FC236}">
              <a16:creationId xmlns:a16="http://schemas.microsoft.com/office/drawing/2014/main" xmlns="" id="{284A005D-C13D-4EA3-B238-6212694062F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800" name="Text Box 2491">
          <a:extLst>
            <a:ext uri="{FF2B5EF4-FFF2-40B4-BE49-F238E27FC236}">
              <a16:creationId xmlns:a16="http://schemas.microsoft.com/office/drawing/2014/main" xmlns="" id="{498937F4-CABE-4BC8-8E1A-1E2A7513562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801" name="Text Box 2492">
          <a:extLst>
            <a:ext uri="{FF2B5EF4-FFF2-40B4-BE49-F238E27FC236}">
              <a16:creationId xmlns:a16="http://schemas.microsoft.com/office/drawing/2014/main" xmlns="" id="{76219221-383D-4BE2-835E-44BAC75013F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802" name="Text Box 2493">
          <a:extLst>
            <a:ext uri="{FF2B5EF4-FFF2-40B4-BE49-F238E27FC236}">
              <a16:creationId xmlns:a16="http://schemas.microsoft.com/office/drawing/2014/main" xmlns="" id="{DD8662FB-DADE-4425-8C89-AAA844FF217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803" name="Text Box 2494">
          <a:extLst>
            <a:ext uri="{FF2B5EF4-FFF2-40B4-BE49-F238E27FC236}">
              <a16:creationId xmlns:a16="http://schemas.microsoft.com/office/drawing/2014/main" xmlns="" id="{31B20FD3-9E33-4D81-833B-178F03039D6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804" name="Text Box 2495">
          <a:extLst>
            <a:ext uri="{FF2B5EF4-FFF2-40B4-BE49-F238E27FC236}">
              <a16:creationId xmlns:a16="http://schemas.microsoft.com/office/drawing/2014/main" xmlns="" id="{B05B3811-8260-423A-A856-7D0CB0C666D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805" name="Text Box 2496">
          <a:extLst>
            <a:ext uri="{FF2B5EF4-FFF2-40B4-BE49-F238E27FC236}">
              <a16:creationId xmlns:a16="http://schemas.microsoft.com/office/drawing/2014/main" xmlns="" id="{9AB7B8EC-F549-4D01-A3FF-17E6C9008C3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806" name="Text Box 2497">
          <a:extLst>
            <a:ext uri="{FF2B5EF4-FFF2-40B4-BE49-F238E27FC236}">
              <a16:creationId xmlns:a16="http://schemas.microsoft.com/office/drawing/2014/main" xmlns="" id="{50D1FCEB-1E30-42F7-AB47-3BEC279937A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807" name="Text Box 2498">
          <a:extLst>
            <a:ext uri="{FF2B5EF4-FFF2-40B4-BE49-F238E27FC236}">
              <a16:creationId xmlns:a16="http://schemas.microsoft.com/office/drawing/2014/main" xmlns="" id="{25368FC9-709A-4C0C-A77C-CA54E43126A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808" name="Text Box 2499">
          <a:extLst>
            <a:ext uri="{FF2B5EF4-FFF2-40B4-BE49-F238E27FC236}">
              <a16:creationId xmlns:a16="http://schemas.microsoft.com/office/drawing/2014/main" xmlns="" id="{28432164-89A2-4275-9E8D-48AC742DA80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809" name="Text Box 2500">
          <a:extLst>
            <a:ext uri="{FF2B5EF4-FFF2-40B4-BE49-F238E27FC236}">
              <a16:creationId xmlns:a16="http://schemas.microsoft.com/office/drawing/2014/main" xmlns="" id="{6A721BC9-A50C-460D-AF60-A72A162F422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810" name="Text Box 2501">
          <a:extLst>
            <a:ext uri="{FF2B5EF4-FFF2-40B4-BE49-F238E27FC236}">
              <a16:creationId xmlns:a16="http://schemas.microsoft.com/office/drawing/2014/main" xmlns="" id="{811A158C-4DA8-4112-A614-C101FF93D36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811" name="Text Box 2502">
          <a:extLst>
            <a:ext uri="{FF2B5EF4-FFF2-40B4-BE49-F238E27FC236}">
              <a16:creationId xmlns:a16="http://schemas.microsoft.com/office/drawing/2014/main" xmlns="" id="{23B9C2E4-D845-4427-818F-16E47608AF5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812" name="Text Box 2503">
          <a:extLst>
            <a:ext uri="{FF2B5EF4-FFF2-40B4-BE49-F238E27FC236}">
              <a16:creationId xmlns:a16="http://schemas.microsoft.com/office/drawing/2014/main" xmlns="" id="{7DAD9B0C-D8D5-41B4-9BB2-429570BBD08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813" name="Text Box 2504">
          <a:extLst>
            <a:ext uri="{FF2B5EF4-FFF2-40B4-BE49-F238E27FC236}">
              <a16:creationId xmlns:a16="http://schemas.microsoft.com/office/drawing/2014/main" xmlns="" id="{4B072267-F1D0-4E68-A892-1A1E8AB7A16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814" name="Text Box 2505">
          <a:extLst>
            <a:ext uri="{FF2B5EF4-FFF2-40B4-BE49-F238E27FC236}">
              <a16:creationId xmlns:a16="http://schemas.microsoft.com/office/drawing/2014/main" xmlns="" id="{79C7BD6D-6D0A-45D1-8A62-C47C26BDC2D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815" name="Text Box 2506">
          <a:extLst>
            <a:ext uri="{FF2B5EF4-FFF2-40B4-BE49-F238E27FC236}">
              <a16:creationId xmlns:a16="http://schemas.microsoft.com/office/drawing/2014/main" xmlns="" id="{A464F1BA-443D-47AD-8AA5-F7B39197864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816" name="Text Box 2507">
          <a:extLst>
            <a:ext uri="{FF2B5EF4-FFF2-40B4-BE49-F238E27FC236}">
              <a16:creationId xmlns:a16="http://schemas.microsoft.com/office/drawing/2014/main" xmlns="" id="{5A61883E-87AB-4061-935A-96EA6A2DB34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817" name="Text Box 2508">
          <a:extLst>
            <a:ext uri="{FF2B5EF4-FFF2-40B4-BE49-F238E27FC236}">
              <a16:creationId xmlns:a16="http://schemas.microsoft.com/office/drawing/2014/main" xmlns="" id="{C00B4EAC-F1FA-476F-9E31-F8F4ABF956B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818" name="Text Box 2509">
          <a:extLst>
            <a:ext uri="{FF2B5EF4-FFF2-40B4-BE49-F238E27FC236}">
              <a16:creationId xmlns:a16="http://schemas.microsoft.com/office/drawing/2014/main" xmlns="" id="{FD28AD57-B0F4-4307-9E09-E16558B9395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819" name="Text Box 2510">
          <a:extLst>
            <a:ext uri="{FF2B5EF4-FFF2-40B4-BE49-F238E27FC236}">
              <a16:creationId xmlns:a16="http://schemas.microsoft.com/office/drawing/2014/main" xmlns="" id="{BA60F0BD-50F2-4F2D-9687-7B066247B22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820" name="Text Box 2511">
          <a:extLst>
            <a:ext uri="{FF2B5EF4-FFF2-40B4-BE49-F238E27FC236}">
              <a16:creationId xmlns:a16="http://schemas.microsoft.com/office/drawing/2014/main" xmlns="" id="{E450885D-90B0-4471-8A64-1C37DA6C5B1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821" name="Text Box 2512">
          <a:extLst>
            <a:ext uri="{FF2B5EF4-FFF2-40B4-BE49-F238E27FC236}">
              <a16:creationId xmlns:a16="http://schemas.microsoft.com/office/drawing/2014/main" xmlns="" id="{5815090C-B19F-47D2-B3E9-6AA1FF069EB1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822" name="Text Box 2513">
          <a:extLst>
            <a:ext uri="{FF2B5EF4-FFF2-40B4-BE49-F238E27FC236}">
              <a16:creationId xmlns:a16="http://schemas.microsoft.com/office/drawing/2014/main" xmlns="" id="{B7727415-33C4-44AC-A543-8E902656F2B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823" name="Text Box 2514">
          <a:extLst>
            <a:ext uri="{FF2B5EF4-FFF2-40B4-BE49-F238E27FC236}">
              <a16:creationId xmlns:a16="http://schemas.microsoft.com/office/drawing/2014/main" xmlns="" id="{A040D203-03D1-49DF-8AF3-E62BAE684F6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824" name="Text Box 2515">
          <a:extLst>
            <a:ext uri="{FF2B5EF4-FFF2-40B4-BE49-F238E27FC236}">
              <a16:creationId xmlns:a16="http://schemas.microsoft.com/office/drawing/2014/main" xmlns="" id="{B86C392B-0859-4DFE-8960-FB76537FE90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825" name="Text Box 2516">
          <a:extLst>
            <a:ext uri="{FF2B5EF4-FFF2-40B4-BE49-F238E27FC236}">
              <a16:creationId xmlns:a16="http://schemas.microsoft.com/office/drawing/2014/main" xmlns="" id="{A8A2A044-4805-49A4-82A8-32AE02144AB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826" name="Text Box 2517">
          <a:extLst>
            <a:ext uri="{FF2B5EF4-FFF2-40B4-BE49-F238E27FC236}">
              <a16:creationId xmlns:a16="http://schemas.microsoft.com/office/drawing/2014/main" xmlns="" id="{568B4B79-3533-4DE4-947A-88CE74E94E3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827" name="Text Box 2518">
          <a:extLst>
            <a:ext uri="{FF2B5EF4-FFF2-40B4-BE49-F238E27FC236}">
              <a16:creationId xmlns:a16="http://schemas.microsoft.com/office/drawing/2014/main" xmlns="" id="{63309457-F700-4896-A6FC-24BA0C7C6CC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828" name="Text Box 2519">
          <a:extLst>
            <a:ext uri="{FF2B5EF4-FFF2-40B4-BE49-F238E27FC236}">
              <a16:creationId xmlns:a16="http://schemas.microsoft.com/office/drawing/2014/main" xmlns="" id="{F7BB8924-965C-4F7D-8675-8780C1B62F9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829" name="Text Box 2520">
          <a:extLst>
            <a:ext uri="{FF2B5EF4-FFF2-40B4-BE49-F238E27FC236}">
              <a16:creationId xmlns:a16="http://schemas.microsoft.com/office/drawing/2014/main" xmlns="" id="{DEF32098-F903-46B4-AD2F-9F7F622043E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830" name="Text Box 2521">
          <a:extLst>
            <a:ext uri="{FF2B5EF4-FFF2-40B4-BE49-F238E27FC236}">
              <a16:creationId xmlns:a16="http://schemas.microsoft.com/office/drawing/2014/main" xmlns="" id="{CD1C3D4F-30EC-4245-95CF-E21F480BAA1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831" name="Text Box 2522">
          <a:extLst>
            <a:ext uri="{FF2B5EF4-FFF2-40B4-BE49-F238E27FC236}">
              <a16:creationId xmlns:a16="http://schemas.microsoft.com/office/drawing/2014/main" xmlns="" id="{086B93D5-2077-4E88-B74E-2D37C42C886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832" name="Text Box 2523">
          <a:extLst>
            <a:ext uri="{FF2B5EF4-FFF2-40B4-BE49-F238E27FC236}">
              <a16:creationId xmlns:a16="http://schemas.microsoft.com/office/drawing/2014/main" xmlns="" id="{7AF505C1-F690-42D6-A7FF-93FECA4B176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833" name="Text Box 2524">
          <a:extLst>
            <a:ext uri="{FF2B5EF4-FFF2-40B4-BE49-F238E27FC236}">
              <a16:creationId xmlns:a16="http://schemas.microsoft.com/office/drawing/2014/main" xmlns="" id="{F495987E-3EFF-4D4B-9ED9-9F9E2B3B2DA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834" name="Text Box 2525">
          <a:extLst>
            <a:ext uri="{FF2B5EF4-FFF2-40B4-BE49-F238E27FC236}">
              <a16:creationId xmlns:a16="http://schemas.microsoft.com/office/drawing/2014/main" xmlns="" id="{99EDFCBF-EBBA-4BB4-A5B4-2F00057C349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835" name="Text Box 2526">
          <a:extLst>
            <a:ext uri="{FF2B5EF4-FFF2-40B4-BE49-F238E27FC236}">
              <a16:creationId xmlns:a16="http://schemas.microsoft.com/office/drawing/2014/main" xmlns="" id="{4BB63904-46BD-42BE-A28F-3CB0404533E8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836" name="Text Box 2527">
          <a:extLst>
            <a:ext uri="{FF2B5EF4-FFF2-40B4-BE49-F238E27FC236}">
              <a16:creationId xmlns:a16="http://schemas.microsoft.com/office/drawing/2014/main" xmlns="" id="{76CAC52E-0EBB-4738-AF5A-9C3AD85BF1D1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837" name="Text Box 2528">
          <a:extLst>
            <a:ext uri="{FF2B5EF4-FFF2-40B4-BE49-F238E27FC236}">
              <a16:creationId xmlns:a16="http://schemas.microsoft.com/office/drawing/2014/main" xmlns="" id="{3BF8AF2C-5299-49CE-9A2E-6FE5135825FD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838" name="Text Box 2529">
          <a:extLst>
            <a:ext uri="{FF2B5EF4-FFF2-40B4-BE49-F238E27FC236}">
              <a16:creationId xmlns:a16="http://schemas.microsoft.com/office/drawing/2014/main" xmlns="" id="{26BF1940-E978-455B-B781-65B9DC93A0B5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839" name="Text Box 2530">
          <a:extLst>
            <a:ext uri="{FF2B5EF4-FFF2-40B4-BE49-F238E27FC236}">
              <a16:creationId xmlns:a16="http://schemas.microsoft.com/office/drawing/2014/main" xmlns="" id="{CDF7EE80-6D05-47F6-8C6E-0325E1891E52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840" name="Text Box 2531">
          <a:extLst>
            <a:ext uri="{FF2B5EF4-FFF2-40B4-BE49-F238E27FC236}">
              <a16:creationId xmlns:a16="http://schemas.microsoft.com/office/drawing/2014/main" xmlns="" id="{0B07D617-4439-4483-9E38-E43456A25295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841" name="Text Box 2532">
          <a:extLst>
            <a:ext uri="{FF2B5EF4-FFF2-40B4-BE49-F238E27FC236}">
              <a16:creationId xmlns:a16="http://schemas.microsoft.com/office/drawing/2014/main" xmlns="" id="{DD394DC5-3020-4E33-BFD1-49F45D4B7C07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842" name="Text Box 2533">
          <a:extLst>
            <a:ext uri="{FF2B5EF4-FFF2-40B4-BE49-F238E27FC236}">
              <a16:creationId xmlns:a16="http://schemas.microsoft.com/office/drawing/2014/main" xmlns="" id="{4668B9A8-457B-42B4-9317-9410457C5683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843" name="Text Box 2534">
          <a:extLst>
            <a:ext uri="{FF2B5EF4-FFF2-40B4-BE49-F238E27FC236}">
              <a16:creationId xmlns:a16="http://schemas.microsoft.com/office/drawing/2014/main" xmlns="" id="{45AE6AB6-F721-49C4-B59D-57BBA1D8B6D4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844" name="Text Box 2535">
          <a:extLst>
            <a:ext uri="{FF2B5EF4-FFF2-40B4-BE49-F238E27FC236}">
              <a16:creationId xmlns:a16="http://schemas.microsoft.com/office/drawing/2014/main" xmlns="" id="{1918DBBD-A7FB-42BB-BE3D-5A9734CE6845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845" name="Text Box 2536">
          <a:extLst>
            <a:ext uri="{FF2B5EF4-FFF2-40B4-BE49-F238E27FC236}">
              <a16:creationId xmlns:a16="http://schemas.microsoft.com/office/drawing/2014/main" xmlns="" id="{D2BDD63B-9916-4FF8-B6D5-A1BD67F68A53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846" name="Text Box 2537">
          <a:extLst>
            <a:ext uri="{FF2B5EF4-FFF2-40B4-BE49-F238E27FC236}">
              <a16:creationId xmlns:a16="http://schemas.microsoft.com/office/drawing/2014/main" xmlns="" id="{F78D41D5-C881-4FFB-98E8-4C491E158A6D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847" name="Text Box 2538">
          <a:extLst>
            <a:ext uri="{FF2B5EF4-FFF2-40B4-BE49-F238E27FC236}">
              <a16:creationId xmlns:a16="http://schemas.microsoft.com/office/drawing/2014/main" xmlns="" id="{FE853E9F-AA05-48B7-BCB8-5A70FB1B696A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848" name="Text Box 2539">
          <a:extLst>
            <a:ext uri="{FF2B5EF4-FFF2-40B4-BE49-F238E27FC236}">
              <a16:creationId xmlns:a16="http://schemas.microsoft.com/office/drawing/2014/main" xmlns="" id="{6325D9CC-80F8-477D-B6D8-E9E4CBCD25B9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849" name="Text Box 2540">
          <a:extLst>
            <a:ext uri="{FF2B5EF4-FFF2-40B4-BE49-F238E27FC236}">
              <a16:creationId xmlns:a16="http://schemas.microsoft.com/office/drawing/2014/main" xmlns="" id="{8EF7B4AF-C9EB-4A2D-83C6-0EBDA1C3E05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850" name="Text Box 2541">
          <a:extLst>
            <a:ext uri="{FF2B5EF4-FFF2-40B4-BE49-F238E27FC236}">
              <a16:creationId xmlns:a16="http://schemas.microsoft.com/office/drawing/2014/main" xmlns="" id="{2AFF2855-D20D-4CE7-9726-C034581AAA0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851" name="Text Box 2542">
          <a:extLst>
            <a:ext uri="{FF2B5EF4-FFF2-40B4-BE49-F238E27FC236}">
              <a16:creationId xmlns:a16="http://schemas.microsoft.com/office/drawing/2014/main" xmlns="" id="{28CA6883-F83F-4128-8F94-BE6C428FBB8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852" name="Text Box 2543">
          <a:extLst>
            <a:ext uri="{FF2B5EF4-FFF2-40B4-BE49-F238E27FC236}">
              <a16:creationId xmlns:a16="http://schemas.microsoft.com/office/drawing/2014/main" xmlns="" id="{62FC2AAC-AE2D-4623-A580-7F827B5AA4B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853" name="Text Box 2544">
          <a:extLst>
            <a:ext uri="{FF2B5EF4-FFF2-40B4-BE49-F238E27FC236}">
              <a16:creationId xmlns:a16="http://schemas.microsoft.com/office/drawing/2014/main" xmlns="" id="{CE45DC8B-6287-4DC1-84B6-336CB216B4C3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854" name="Text Box 2545">
          <a:extLst>
            <a:ext uri="{FF2B5EF4-FFF2-40B4-BE49-F238E27FC236}">
              <a16:creationId xmlns:a16="http://schemas.microsoft.com/office/drawing/2014/main" xmlns="" id="{94D5D9CC-A633-416E-A106-BF140A0A81E7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855" name="Text Box 2546">
          <a:extLst>
            <a:ext uri="{FF2B5EF4-FFF2-40B4-BE49-F238E27FC236}">
              <a16:creationId xmlns:a16="http://schemas.microsoft.com/office/drawing/2014/main" xmlns="" id="{3CF2E4C4-5584-4AE7-B82E-255933ACC578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856" name="Text Box 2547">
          <a:extLst>
            <a:ext uri="{FF2B5EF4-FFF2-40B4-BE49-F238E27FC236}">
              <a16:creationId xmlns:a16="http://schemas.microsoft.com/office/drawing/2014/main" xmlns="" id="{1FFD2830-E0D0-411F-9861-BDA3B4B86928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857" name="Text Box 2548">
          <a:extLst>
            <a:ext uri="{FF2B5EF4-FFF2-40B4-BE49-F238E27FC236}">
              <a16:creationId xmlns:a16="http://schemas.microsoft.com/office/drawing/2014/main" xmlns="" id="{FC2D0809-5997-417C-9929-C7397C3AD7F9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858" name="Text Box 2549">
          <a:extLst>
            <a:ext uri="{FF2B5EF4-FFF2-40B4-BE49-F238E27FC236}">
              <a16:creationId xmlns:a16="http://schemas.microsoft.com/office/drawing/2014/main" xmlns="" id="{16481AF6-B9DA-4867-ABBD-9EF875C5D268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859" name="Text Box 2550">
          <a:extLst>
            <a:ext uri="{FF2B5EF4-FFF2-40B4-BE49-F238E27FC236}">
              <a16:creationId xmlns:a16="http://schemas.microsoft.com/office/drawing/2014/main" xmlns="" id="{40F74817-C597-47D7-8B0B-0ACFDF921AAB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860" name="Text Box 2551">
          <a:extLst>
            <a:ext uri="{FF2B5EF4-FFF2-40B4-BE49-F238E27FC236}">
              <a16:creationId xmlns:a16="http://schemas.microsoft.com/office/drawing/2014/main" xmlns="" id="{10E3204A-47E3-41D2-942B-DB000A02C466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861" name="Text Box 2552">
          <a:extLst>
            <a:ext uri="{FF2B5EF4-FFF2-40B4-BE49-F238E27FC236}">
              <a16:creationId xmlns:a16="http://schemas.microsoft.com/office/drawing/2014/main" xmlns="" id="{0605401D-5EC0-44EC-AC0D-0050D4DE12E6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862" name="Text Box 2553">
          <a:extLst>
            <a:ext uri="{FF2B5EF4-FFF2-40B4-BE49-F238E27FC236}">
              <a16:creationId xmlns:a16="http://schemas.microsoft.com/office/drawing/2014/main" xmlns="" id="{A3EE8EFD-D76A-4E53-A65C-84284335879F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863" name="Text Box 2554">
          <a:extLst>
            <a:ext uri="{FF2B5EF4-FFF2-40B4-BE49-F238E27FC236}">
              <a16:creationId xmlns:a16="http://schemas.microsoft.com/office/drawing/2014/main" xmlns="" id="{6E4414B0-A547-422B-9432-8F5A7D518F39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864" name="Text Box 2555">
          <a:extLst>
            <a:ext uri="{FF2B5EF4-FFF2-40B4-BE49-F238E27FC236}">
              <a16:creationId xmlns:a16="http://schemas.microsoft.com/office/drawing/2014/main" xmlns="" id="{84138082-F838-4D4C-9524-469DFA98E2D8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865" name="Text Box 2556">
          <a:extLst>
            <a:ext uri="{FF2B5EF4-FFF2-40B4-BE49-F238E27FC236}">
              <a16:creationId xmlns:a16="http://schemas.microsoft.com/office/drawing/2014/main" xmlns="" id="{E6A21E4E-5F6F-4243-B463-41381EC0128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866" name="Text Box 2557">
          <a:extLst>
            <a:ext uri="{FF2B5EF4-FFF2-40B4-BE49-F238E27FC236}">
              <a16:creationId xmlns:a16="http://schemas.microsoft.com/office/drawing/2014/main" xmlns="" id="{C4872CEE-CE18-4ED0-A5AF-33023946099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867" name="Text Box 2558">
          <a:extLst>
            <a:ext uri="{FF2B5EF4-FFF2-40B4-BE49-F238E27FC236}">
              <a16:creationId xmlns:a16="http://schemas.microsoft.com/office/drawing/2014/main" xmlns="" id="{5A7C670B-5F88-428D-880C-39E8C172A34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868" name="Text Box 2559">
          <a:extLst>
            <a:ext uri="{FF2B5EF4-FFF2-40B4-BE49-F238E27FC236}">
              <a16:creationId xmlns:a16="http://schemas.microsoft.com/office/drawing/2014/main" xmlns="" id="{2B5094A9-CDB8-4B1E-99BA-C964605D5E6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869" name="Text Box 2560">
          <a:extLst>
            <a:ext uri="{FF2B5EF4-FFF2-40B4-BE49-F238E27FC236}">
              <a16:creationId xmlns:a16="http://schemas.microsoft.com/office/drawing/2014/main" xmlns="" id="{3E32A770-D1AF-464E-945D-CF85D2D3CC57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870" name="Text Box 2561">
          <a:extLst>
            <a:ext uri="{FF2B5EF4-FFF2-40B4-BE49-F238E27FC236}">
              <a16:creationId xmlns:a16="http://schemas.microsoft.com/office/drawing/2014/main" xmlns="" id="{3290FF2B-A7E4-44C5-98B7-A6E549ABBB13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871" name="Text Box 2562">
          <a:extLst>
            <a:ext uri="{FF2B5EF4-FFF2-40B4-BE49-F238E27FC236}">
              <a16:creationId xmlns:a16="http://schemas.microsoft.com/office/drawing/2014/main" xmlns="" id="{D1EA4E5D-6B83-4464-9EC9-7D25BB8B9835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872" name="Text Box 2563">
          <a:extLst>
            <a:ext uri="{FF2B5EF4-FFF2-40B4-BE49-F238E27FC236}">
              <a16:creationId xmlns:a16="http://schemas.microsoft.com/office/drawing/2014/main" xmlns="" id="{FE79B04F-6704-4709-BA2B-4AC7BE9C60F3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873" name="Text Box 2564">
          <a:extLst>
            <a:ext uri="{FF2B5EF4-FFF2-40B4-BE49-F238E27FC236}">
              <a16:creationId xmlns:a16="http://schemas.microsoft.com/office/drawing/2014/main" xmlns="" id="{85A1E913-73D8-46EC-B0E7-9CF3BED6E485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874" name="Text Box 2565">
          <a:extLst>
            <a:ext uri="{FF2B5EF4-FFF2-40B4-BE49-F238E27FC236}">
              <a16:creationId xmlns:a16="http://schemas.microsoft.com/office/drawing/2014/main" xmlns="" id="{2DE897BD-A590-4F7C-A34C-556D409F07DD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875" name="Text Box 2566">
          <a:extLst>
            <a:ext uri="{FF2B5EF4-FFF2-40B4-BE49-F238E27FC236}">
              <a16:creationId xmlns:a16="http://schemas.microsoft.com/office/drawing/2014/main" xmlns="" id="{0C440805-EC19-4881-97C5-2F1C845A1E94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876" name="Text Box 2567">
          <a:extLst>
            <a:ext uri="{FF2B5EF4-FFF2-40B4-BE49-F238E27FC236}">
              <a16:creationId xmlns:a16="http://schemas.microsoft.com/office/drawing/2014/main" xmlns="" id="{5AFA8DA3-0D9F-473D-A28A-7F94206AA34E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877" name="Text Box 2568">
          <a:extLst>
            <a:ext uri="{FF2B5EF4-FFF2-40B4-BE49-F238E27FC236}">
              <a16:creationId xmlns:a16="http://schemas.microsoft.com/office/drawing/2014/main" xmlns="" id="{E22C08ED-8AD4-429A-A930-E463D5AA5A3B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878" name="Text Box 2569">
          <a:extLst>
            <a:ext uri="{FF2B5EF4-FFF2-40B4-BE49-F238E27FC236}">
              <a16:creationId xmlns:a16="http://schemas.microsoft.com/office/drawing/2014/main" xmlns="" id="{CE2F0D5E-9A1F-4ECA-A246-9989B8F7BE44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879" name="Text Box 2570">
          <a:extLst>
            <a:ext uri="{FF2B5EF4-FFF2-40B4-BE49-F238E27FC236}">
              <a16:creationId xmlns:a16="http://schemas.microsoft.com/office/drawing/2014/main" xmlns="" id="{17D8807A-6616-465B-920D-5B760D68FFBC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880" name="Text Box 2571">
          <a:extLst>
            <a:ext uri="{FF2B5EF4-FFF2-40B4-BE49-F238E27FC236}">
              <a16:creationId xmlns:a16="http://schemas.microsoft.com/office/drawing/2014/main" xmlns="" id="{9A39A0B6-741F-4B71-9074-F273654A4088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881" name="Text Box 2572">
          <a:extLst>
            <a:ext uri="{FF2B5EF4-FFF2-40B4-BE49-F238E27FC236}">
              <a16:creationId xmlns:a16="http://schemas.microsoft.com/office/drawing/2014/main" xmlns="" id="{E0C41BE2-9BE1-48C3-8523-51145D107BB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882" name="Text Box 2573">
          <a:extLst>
            <a:ext uri="{FF2B5EF4-FFF2-40B4-BE49-F238E27FC236}">
              <a16:creationId xmlns:a16="http://schemas.microsoft.com/office/drawing/2014/main" xmlns="" id="{A22FE04E-0D1C-43C6-AED4-BF74794F6E51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883" name="Text Box 2574">
          <a:extLst>
            <a:ext uri="{FF2B5EF4-FFF2-40B4-BE49-F238E27FC236}">
              <a16:creationId xmlns:a16="http://schemas.microsoft.com/office/drawing/2014/main" xmlns="" id="{FC4B944C-A371-4DA5-859E-29F3A5BC281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884" name="Text Box 2575">
          <a:extLst>
            <a:ext uri="{FF2B5EF4-FFF2-40B4-BE49-F238E27FC236}">
              <a16:creationId xmlns:a16="http://schemas.microsoft.com/office/drawing/2014/main" xmlns="" id="{1F780A22-2F83-49A1-8B53-1FC4E3513A1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885" name="Text Box 2576">
          <a:extLst>
            <a:ext uri="{FF2B5EF4-FFF2-40B4-BE49-F238E27FC236}">
              <a16:creationId xmlns:a16="http://schemas.microsoft.com/office/drawing/2014/main" xmlns="" id="{7E9D9EFD-7D46-44FE-AD91-DF236DD89B1F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886" name="Text Box 2577">
          <a:extLst>
            <a:ext uri="{FF2B5EF4-FFF2-40B4-BE49-F238E27FC236}">
              <a16:creationId xmlns:a16="http://schemas.microsoft.com/office/drawing/2014/main" xmlns="" id="{B7330EC9-A674-409C-907F-6C80C4B43E8D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887" name="Text Box 2578">
          <a:extLst>
            <a:ext uri="{FF2B5EF4-FFF2-40B4-BE49-F238E27FC236}">
              <a16:creationId xmlns:a16="http://schemas.microsoft.com/office/drawing/2014/main" xmlns="" id="{463C2F89-E96B-4520-9E13-EFA326216ADE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888" name="Text Box 2579">
          <a:extLst>
            <a:ext uri="{FF2B5EF4-FFF2-40B4-BE49-F238E27FC236}">
              <a16:creationId xmlns:a16="http://schemas.microsoft.com/office/drawing/2014/main" xmlns="" id="{25526C90-C065-48D4-9812-F04225D73735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889" name="Text Box 2580">
          <a:extLst>
            <a:ext uri="{FF2B5EF4-FFF2-40B4-BE49-F238E27FC236}">
              <a16:creationId xmlns:a16="http://schemas.microsoft.com/office/drawing/2014/main" xmlns="" id="{1DF6EA8C-1B01-4B82-936B-8C375FCFFE6B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890" name="Text Box 2581">
          <a:extLst>
            <a:ext uri="{FF2B5EF4-FFF2-40B4-BE49-F238E27FC236}">
              <a16:creationId xmlns:a16="http://schemas.microsoft.com/office/drawing/2014/main" xmlns="" id="{3AD82033-5770-43B1-A424-63701A45DFD0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891" name="Text Box 2582">
          <a:extLst>
            <a:ext uri="{FF2B5EF4-FFF2-40B4-BE49-F238E27FC236}">
              <a16:creationId xmlns:a16="http://schemas.microsoft.com/office/drawing/2014/main" xmlns="" id="{846BFAC9-AC62-4E5A-93A7-53363259AB23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892" name="Text Box 2583">
          <a:extLst>
            <a:ext uri="{FF2B5EF4-FFF2-40B4-BE49-F238E27FC236}">
              <a16:creationId xmlns:a16="http://schemas.microsoft.com/office/drawing/2014/main" xmlns="" id="{7C87AED1-5847-460B-BF4E-00BD672E267A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893" name="Text Box 2584">
          <a:extLst>
            <a:ext uri="{FF2B5EF4-FFF2-40B4-BE49-F238E27FC236}">
              <a16:creationId xmlns:a16="http://schemas.microsoft.com/office/drawing/2014/main" xmlns="" id="{43E463FC-AD1F-4AD9-8860-FDB73685FA36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894" name="Text Box 2585">
          <a:extLst>
            <a:ext uri="{FF2B5EF4-FFF2-40B4-BE49-F238E27FC236}">
              <a16:creationId xmlns:a16="http://schemas.microsoft.com/office/drawing/2014/main" xmlns="" id="{4224AC44-41FE-4618-AB49-2422A689E487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895" name="Text Box 2586">
          <a:extLst>
            <a:ext uri="{FF2B5EF4-FFF2-40B4-BE49-F238E27FC236}">
              <a16:creationId xmlns:a16="http://schemas.microsoft.com/office/drawing/2014/main" xmlns="" id="{C607F5B8-EBBD-4F72-AF51-BB87BCAD6F3A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896" name="Text Box 2587">
          <a:extLst>
            <a:ext uri="{FF2B5EF4-FFF2-40B4-BE49-F238E27FC236}">
              <a16:creationId xmlns:a16="http://schemas.microsoft.com/office/drawing/2014/main" xmlns="" id="{F0E2EE1F-1EC4-4EAA-AA56-873E1CD799F7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897" name="Text Box 2588">
          <a:extLst>
            <a:ext uri="{FF2B5EF4-FFF2-40B4-BE49-F238E27FC236}">
              <a16:creationId xmlns:a16="http://schemas.microsoft.com/office/drawing/2014/main" xmlns="" id="{53737854-895D-4750-AF5F-A0495B2B631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898" name="Text Box 2589">
          <a:extLst>
            <a:ext uri="{FF2B5EF4-FFF2-40B4-BE49-F238E27FC236}">
              <a16:creationId xmlns:a16="http://schemas.microsoft.com/office/drawing/2014/main" xmlns="" id="{B2E28FA0-7554-40FC-B797-556167E6866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899" name="Text Box 2590">
          <a:extLst>
            <a:ext uri="{FF2B5EF4-FFF2-40B4-BE49-F238E27FC236}">
              <a16:creationId xmlns:a16="http://schemas.microsoft.com/office/drawing/2014/main" xmlns="" id="{B4D80913-25FE-418D-ABE0-285105CF48E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900" name="Text Box 2591">
          <a:extLst>
            <a:ext uri="{FF2B5EF4-FFF2-40B4-BE49-F238E27FC236}">
              <a16:creationId xmlns:a16="http://schemas.microsoft.com/office/drawing/2014/main" xmlns="" id="{D9ED3E3D-8B13-4A5F-8FA0-124A2D5FCFCE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901" name="Text Box 2592">
          <a:extLst>
            <a:ext uri="{FF2B5EF4-FFF2-40B4-BE49-F238E27FC236}">
              <a16:creationId xmlns:a16="http://schemas.microsoft.com/office/drawing/2014/main" xmlns="" id="{70E3EA58-2565-45AC-BC73-9D3AE25AB59D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902" name="Text Box 2593">
          <a:extLst>
            <a:ext uri="{FF2B5EF4-FFF2-40B4-BE49-F238E27FC236}">
              <a16:creationId xmlns:a16="http://schemas.microsoft.com/office/drawing/2014/main" xmlns="" id="{F6038388-7DFD-427A-BFA5-09CABFB7E782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903" name="Text Box 2594">
          <a:extLst>
            <a:ext uri="{FF2B5EF4-FFF2-40B4-BE49-F238E27FC236}">
              <a16:creationId xmlns:a16="http://schemas.microsoft.com/office/drawing/2014/main" xmlns="" id="{44569B3C-1E63-440B-83C5-E47F4B95DD16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904" name="Text Box 2595">
          <a:extLst>
            <a:ext uri="{FF2B5EF4-FFF2-40B4-BE49-F238E27FC236}">
              <a16:creationId xmlns:a16="http://schemas.microsoft.com/office/drawing/2014/main" xmlns="" id="{CFCB0CA4-541A-4333-A800-B7B870299DAE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905" name="Text Box 2596">
          <a:extLst>
            <a:ext uri="{FF2B5EF4-FFF2-40B4-BE49-F238E27FC236}">
              <a16:creationId xmlns:a16="http://schemas.microsoft.com/office/drawing/2014/main" xmlns="" id="{85879870-3CEF-4278-ABB7-2B165C1FCBFB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906" name="Text Box 2597">
          <a:extLst>
            <a:ext uri="{FF2B5EF4-FFF2-40B4-BE49-F238E27FC236}">
              <a16:creationId xmlns:a16="http://schemas.microsoft.com/office/drawing/2014/main" xmlns="" id="{E5FEA182-B45A-4FA3-A458-36A77FE91D0B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907" name="Text Box 2598">
          <a:extLst>
            <a:ext uri="{FF2B5EF4-FFF2-40B4-BE49-F238E27FC236}">
              <a16:creationId xmlns:a16="http://schemas.microsoft.com/office/drawing/2014/main" xmlns="" id="{8AAB4FE5-B144-483E-80BC-D67BA636D20A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908" name="Text Box 2599">
          <a:extLst>
            <a:ext uri="{FF2B5EF4-FFF2-40B4-BE49-F238E27FC236}">
              <a16:creationId xmlns:a16="http://schemas.microsoft.com/office/drawing/2014/main" xmlns="" id="{E9C07757-9996-4AF1-9859-D60EDDA38D36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909" name="Text Box 2600">
          <a:extLst>
            <a:ext uri="{FF2B5EF4-FFF2-40B4-BE49-F238E27FC236}">
              <a16:creationId xmlns:a16="http://schemas.microsoft.com/office/drawing/2014/main" xmlns="" id="{F7C1D0F3-FB9C-4C37-BE44-275E8526A67B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910" name="Text Box 2601">
          <a:extLst>
            <a:ext uri="{FF2B5EF4-FFF2-40B4-BE49-F238E27FC236}">
              <a16:creationId xmlns:a16="http://schemas.microsoft.com/office/drawing/2014/main" xmlns="" id="{5F2B1EF6-F607-4212-9371-0A950E64D155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911" name="Text Box 2602">
          <a:extLst>
            <a:ext uri="{FF2B5EF4-FFF2-40B4-BE49-F238E27FC236}">
              <a16:creationId xmlns:a16="http://schemas.microsoft.com/office/drawing/2014/main" xmlns="" id="{CAEA2857-E14D-4BCD-BF6C-2C2473B42DF2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912" name="Text Box 2603">
          <a:extLst>
            <a:ext uri="{FF2B5EF4-FFF2-40B4-BE49-F238E27FC236}">
              <a16:creationId xmlns:a16="http://schemas.microsoft.com/office/drawing/2014/main" xmlns="" id="{61DE333A-34C9-4CC0-9CE9-9D5E7023DA3B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913" name="Text Box 2604">
          <a:extLst>
            <a:ext uri="{FF2B5EF4-FFF2-40B4-BE49-F238E27FC236}">
              <a16:creationId xmlns:a16="http://schemas.microsoft.com/office/drawing/2014/main" xmlns="" id="{882ADCF6-3725-4DFD-8DE1-993AFED4A937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914" name="Text Box 2605">
          <a:extLst>
            <a:ext uri="{FF2B5EF4-FFF2-40B4-BE49-F238E27FC236}">
              <a16:creationId xmlns:a16="http://schemas.microsoft.com/office/drawing/2014/main" xmlns="" id="{AC5FF8AE-8038-44B7-9B87-0AF1CBA079F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915" name="Text Box 2606">
          <a:extLst>
            <a:ext uri="{FF2B5EF4-FFF2-40B4-BE49-F238E27FC236}">
              <a16:creationId xmlns:a16="http://schemas.microsoft.com/office/drawing/2014/main" xmlns="" id="{731AC8E4-7F76-4FFD-861D-7B673AE5936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916" name="Text Box 2607">
          <a:extLst>
            <a:ext uri="{FF2B5EF4-FFF2-40B4-BE49-F238E27FC236}">
              <a16:creationId xmlns:a16="http://schemas.microsoft.com/office/drawing/2014/main" xmlns="" id="{A5EF888F-4BA8-4EE8-8DCF-4CB5C6EECC2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917" name="Text Box 2608">
          <a:extLst>
            <a:ext uri="{FF2B5EF4-FFF2-40B4-BE49-F238E27FC236}">
              <a16:creationId xmlns:a16="http://schemas.microsoft.com/office/drawing/2014/main" xmlns="" id="{641F87E6-04EA-4F1F-9E3F-6CE2DEF19C3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918" name="Text Box 2609">
          <a:extLst>
            <a:ext uri="{FF2B5EF4-FFF2-40B4-BE49-F238E27FC236}">
              <a16:creationId xmlns:a16="http://schemas.microsoft.com/office/drawing/2014/main" xmlns="" id="{570BDD92-A2F2-4C23-9335-CA1337BCC9D5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919" name="Text Box 2610">
          <a:extLst>
            <a:ext uri="{FF2B5EF4-FFF2-40B4-BE49-F238E27FC236}">
              <a16:creationId xmlns:a16="http://schemas.microsoft.com/office/drawing/2014/main" xmlns="" id="{49EA1727-F911-411E-ABB5-DDCB99C91D40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920" name="Text Box 2611">
          <a:extLst>
            <a:ext uri="{FF2B5EF4-FFF2-40B4-BE49-F238E27FC236}">
              <a16:creationId xmlns:a16="http://schemas.microsoft.com/office/drawing/2014/main" xmlns="" id="{893693F8-1E53-48B6-8378-0AF0E462C8F5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921" name="Text Box 2612">
          <a:extLst>
            <a:ext uri="{FF2B5EF4-FFF2-40B4-BE49-F238E27FC236}">
              <a16:creationId xmlns:a16="http://schemas.microsoft.com/office/drawing/2014/main" xmlns="" id="{7F9AFA82-D72C-495E-84B5-969E40E19837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922" name="Text Box 2613">
          <a:extLst>
            <a:ext uri="{FF2B5EF4-FFF2-40B4-BE49-F238E27FC236}">
              <a16:creationId xmlns:a16="http://schemas.microsoft.com/office/drawing/2014/main" xmlns="" id="{B6A14430-30AA-4950-82CE-1AD5889D8BAA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923" name="Text Box 2614">
          <a:extLst>
            <a:ext uri="{FF2B5EF4-FFF2-40B4-BE49-F238E27FC236}">
              <a16:creationId xmlns:a16="http://schemas.microsoft.com/office/drawing/2014/main" xmlns="" id="{5A29B93E-9010-4B37-B945-84979C78EFB2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924" name="Text Box 2615">
          <a:extLst>
            <a:ext uri="{FF2B5EF4-FFF2-40B4-BE49-F238E27FC236}">
              <a16:creationId xmlns:a16="http://schemas.microsoft.com/office/drawing/2014/main" xmlns="" id="{55A448A0-E013-43FB-87A7-E40FA56C2DED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925" name="Text Box 2616">
          <a:extLst>
            <a:ext uri="{FF2B5EF4-FFF2-40B4-BE49-F238E27FC236}">
              <a16:creationId xmlns:a16="http://schemas.microsoft.com/office/drawing/2014/main" xmlns="" id="{19305F83-B5AC-495F-ADD4-656095477607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926" name="Text Box 2617">
          <a:extLst>
            <a:ext uri="{FF2B5EF4-FFF2-40B4-BE49-F238E27FC236}">
              <a16:creationId xmlns:a16="http://schemas.microsoft.com/office/drawing/2014/main" xmlns="" id="{38E0BB54-DEAD-4115-8FE1-376D24C8E092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927" name="Text Box 2618">
          <a:extLst>
            <a:ext uri="{FF2B5EF4-FFF2-40B4-BE49-F238E27FC236}">
              <a16:creationId xmlns:a16="http://schemas.microsoft.com/office/drawing/2014/main" xmlns="" id="{C9C4C61E-0C39-46D4-A4D1-1708170B68EF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928" name="Text Box 2619">
          <a:extLst>
            <a:ext uri="{FF2B5EF4-FFF2-40B4-BE49-F238E27FC236}">
              <a16:creationId xmlns:a16="http://schemas.microsoft.com/office/drawing/2014/main" xmlns="" id="{980D7531-E7CF-4307-88B6-15CE6C11BB84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929" name="Text Box 2620">
          <a:extLst>
            <a:ext uri="{FF2B5EF4-FFF2-40B4-BE49-F238E27FC236}">
              <a16:creationId xmlns:a16="http://schemas.microsoft.com/office/drawing/2014/main" xmlns="" id="{94AD5286-AD34-4F33-9F06-D30E9721D674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930" name="Text Box 2621">
          <a:extLst>
            <a:ext uri="{FF2B5EF4-FFF2-40B4-BE49-F238E27FC236}">
              <a16:creationId xmlns:a16="http://schemas.microsoft.com/office/drawing/2014/main" xmlns="" id="{126D000E-F8F1-4DFA-9097-F2461886812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931" name="Text Box 2622">
          <a:extLst>
            <a:ext uri="{FF2B5EF4-FFF2-40B4-BE49-F238E27FC236}">
              <a16:creationId xmlns:a16="http://schemas.microsoft.com/office/drawing/2014/main" xmlns="" id="{B6CF9216-D6A6-4184-B631-28C1F6FA62C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932" name="Text Box 2623">
          <a:extLst>
            <a:ext uri="{FF2B5EF4-FFF2-40B4-BE49-F238E27FC236}">
              <a16:creationId xmlns:a16="http://schemas.microsoft.com/office/drawing/2014/main" xmlns="" id="{EF4C93B5-C882-49BF-90EA-1138237845D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933" name="Text Box 2624">
          <a:extLst>
            <a:ext uri="{FF2B5EF4-FFF2-40B4-BE49-F238E27FC236}">
              <a16:creationId xmlns:a16="http://schemas.microsoft.com/office/drawing/2014/main" xmlns="" id="{BEA80526-B5B5-4CE8-A04D-6B5224A366E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934" name="Text Box 2625">
          <a:extLst>
            <a:ext uri="{FF2B5EF4-FFF2-40B4-BE49-F238E27FC236}">
              <a16:creationId xmlns:a16="http://schemas.microsoft.com/office/drawing/2014/main" xmlns="" id="{A3B9BFFA-8AAF-4554-930D-DD05022CB9C0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935" name="Text Box 2626">
          <a:extLst>
            <a:ext uri="{FF2B5EF4-FFF2-40B4-BE49-F238E27FC236}">
              <a16:creationId xmlns:a16="http://schemas.microsoft.com/office/drawing/2014/main" xmlns="" id="{F58B475C-FC7A-4E0A-9511-B7835F9DB1FF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936" name="Text Box 2627">
          <a:extLst>
            <a:ext uri="{FF2B5EF4-FFF2-40B4-BE49-F238E27FC236}">
              <a16:creationId xmlns:a16="http://schemas.microsoft.com/office/drawing/2014/main" xmlns="" id="{5049204F-F3B1-4631-B698-1B2B88B4C95F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937" name="Text Box 2628">
          <a:extLst>
            <a:ext uri="{FF2B5EF4-FFF2-40B4-BE49-F238E27FC236}">
              <a16:creationId xmlns:a16="http://schemas.microsoft.com/office/drawing/2014/main" xmlns="" id="{E44DA543-3307-46A1-AEB1-BC4EA01624A0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938" name="Text Box 2629">
          <a:extLst>
            <a:ext uri="{FF2B5EF4-FFF2-40B4-BE49-F238E27FC236}">
              <a16:creationId xmlns:a16="http://schemas.microsoft.com/office/drawing/2014/main" xmlns="" id="{ED061306-AC32-44CA-8911-1E8577D11DBC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939" name="Text Box 2630">
          <a:extLst>
            <a:ext uri="{FF2B5EF4-FFF2-40B4-BE49-F238E27FC236}">
              <a16:creationId xmlns:a16="http://schemas.microsoft.com/office/drawing/2014/main" xmlns="" id="{E189E0FB-59EB-4615-B5E0-40596674764C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940" name="Text Box 2631">
          <a:extLst>
            <a:ext uri="{FF2B5EF4-FFF2-40B4-BE49-F238E27FC236}">
              <a16:creationId xmlns:a16="http://schemas.microsoft.com/office/drawing/2014/main" xmlns="" id="{F8154885-1067-488D-A428-102AF4FCB44A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941" name="Text Box 2632">
          <a:extLst>
            <a:ext uri="{FF2B5EF4-FFF2-40B4-BE49-F238E27FC236}">
              <a16:creationId xmlns:a16="http://schemas.microsoft.com/office/drawing/2014/main" xmlns="" id="{AAB1794A-3B45-465B-A3FA-A95FBE41B737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942" name="Text Box 2633">
          <a:extLst>
            <a:ext uri="{FF2B5EF4-FFF2-40B4-BE49-F238E27FC236}">
              <a16:creationId xmlns:a16="http://schemas.microsoft.com/office/drawing/2014/main" xmlns="" id="{CD46E631-9796-4867-9A91-BEAA5AA43224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943" name="Text Box 2634">
          <a:extLst>
            <a:ext uri="{FF2B5EF4-FFF2-40B4-BE49-F238E27FC236}">
              <a16:creationId xmlns:a16="http://schemas.microsoft.com/office/drawing/2014/main" xmlns="" id="{C988FB17-E92A-4469-9127-B49C00B5A8E5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944" name="Text Box 2635">
          <a:extLst>
            <a:ext uri="{FF2B5EF4-FFF2-40B4-BE49-F238E27FC236}">
              <a16:creationId xmlns:a16="http://schemas.microsoft.com/office/drawing/2014/main" xmlns="" id="{C1CE0ADB-2A01-4321-8E44-68F8899BBC42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945" name="Text Box 2636">
          <a:extLst>
            <a:ext uri="{FF2B5EF4-FFF2-40B4-BE49-F238E27FC236}">
              <a16:creationId xmlns:a16="http://schemas.microsoft.com/office/drawing/2014/main" xmlns="" id="{BE78552F-70A8-412E-B917-3C9A65A65CA4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946" name="Text Box 2637">
          <a:extLst>
            <a:ext uri="{FF2B5EF4-FFF2-40B4-BE49-F238E27FC236}">
              <a16:creationId xmlns:a16="http://schemas.microsoft.com/office/drawing/2014/main" xmlns="" id="{72E8FB09-54DC-4D85-BC0D-74F11AFA239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947" name="Text Box 2638">
          <a:extLst>
            <a:ext uri="{FF2B5EF4-FFF2-40B4-BE49-F238E27FC236}">
              <a16:creationId xmlns:a16="http://schemas.microsoft.com/office/drawing/2014/main" xmlns="" id="{6E1C28F7-2691-4BF0-BF39-DCD560A60C1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948" name="Text Box 2639">
          <a:extLst>
            <a:ext uri="{FF2B5EF4-FFF2-40B4-BE49-F238E27FC236}">
              <a16:creationId xmlns:a16="http://schemas.microsoft.com/office/drawing/2014/main" xmlns="" id="{12B2823E-EE0F-4EA9-BADB-02FA4B0F18A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949" name="Text Box 2640">
          <a:extLst>
            <a:ext uri="{FF2B5EF4-FFF2-40B4-BE49-F238E27FC236}">
              <a16:creationId xmlns:a16="http://schemas.microsoft.com/office/drawing/2014/main" xmlns="" id="{09BEEF68-DAEB-4DA7-B3A5-11669CD48B41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950" name="Text Box 2641">
          <a:extLst>
            <a:ext uri="{FF2B5EF4-FFF2-40B4-BE49-F238E27FC236}">
              <a16:creationId xmlns:a16="http://schemas.microsoft.com/office/drawing/2014/main" xmlns="" id="{9755F753-8C34-4CC9-8606-D11B9C723293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951" name="Text Box 2642">
          <a:extLst>
            <a:ext uri="{FF2B5EF4-FFF2-40B4-BE49-F238E27FC236}">
              <a16:creationId xmlns:a16="http://schemas.microsoft.com/office/drawing/2014/main" xmlns="" id="{CC4BCE5E-E885-4222-9C57-99329FED801A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952" name="Text Box 2643">
          <a:extLst>
            <a:ext uri="{FF2B5EF4-FFF2-40B4-BE49-F238E27FC236}">
              <a16:creationId xmlns:a16="http://schemas.microsoft.com/office/drawing/2014/main" xmlns="" id="{D0FE0CA1-BDB5-48B8-B863-D6E56CF291A4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953" name="Text Box 2644">
          <a:extLst>
            <a:ext uri="{FF2B5EF4-FFF2-40B4-BE49-F238E27FC236}">
              <a16:creationId xmlns:a16="http://schemas.microsoft.com/office/drawing/2014/main" xmlns="" id="{FCA99D6E-BE9B-4803-B323-93C0D26C1948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954" name="Text Box 2645">
          <a:extLst>
            <a:ext uri="{FF2B5EF4-FFF2-40B4-BE49-F238E27FC236}">
              <a16:creationId xmlns:a16="http://schemas.microsoft.com/office/drawing/2014/main" xmlns="" id="{E3759839-B782-4534-8734-32A1FF543CB9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955" name="Text Box 2646">
          <a:extLst>
            <a:ext uri="{FF2B5EF4-FFF2-40B4-BE49-F238E27FC236}">
              <a16:creationId xmlns:a16="http://schemas.microsoft.com/office/drawing/2014/main" xmlns="" id="{FDCD0E0F-0D4A-4F6F-8313-AD7726A200E5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956" name="Text Box 2647">
          <a:extLst>
            <a:ext uri="{FF2B5EF4-FFF2-40B4-BE49-F238E27FC236}">
              <a16:creationId xmlns:a16="http://schemas.microsoft.com/office/drawing/2014/main" xmlns="" id="{2749BAFA-CC08-47C7-8C79-A47B9D7957B0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957" name="Text Box 2648">
          <a:extLst>
            <a:ext uri="{FF2B5EF4-FFF2-40B4-BE49-F238E27FC236}">
              <a16:creationId xmlns:a16="http://schemas.microsoft.com/office/drawing/2014/main" xmlns="" id="{F2FD0CAE-6793-460F-B5DA-E1038E3927E6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958" name="Text Box 2649">
          <a:extLst>
            <a:ext uri="{FF2B5EF4-FFF2-40B4-BE49-F238E27FC236}">
              <a16:creationId xmlns:a16="http://schemas.microsoft.com/office/drawing/2014/main" xmlns="" id="{51183F2E-59CA-4917-845C-A7ADFEC0B481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959" name="Text Box 2650">
          <a:extLst>
            <a:ext uri="{FF2B5EF4-FFF2-40B4-BE49-F238E27FC236}">
              <a16:creationId xmlns:a16="http://schemas.microsoft.com/office/drawing/2014/main" xmlns="" id="{3174D828-9A55-4784-B1DA-FF2E764BC5A3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960" name="Text Box 2651">
          <a:extLst>
            <a:ext uri="{FF2B5EF4-FFF2-40B4-BE49-F238E27FC236}">
              <a16:creationId xmlns:a16="http://schemas.microsoft.com/office/drawing/2014/main" xmlns="" id="{F01BE3E0-0BCB-44FD-95A5-CA406DA4D48E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961" name="Text Box 2652">
          <a:extLst>
            <a:ext uri="{FF2B5EF4-FFF2-40B4-BE49-F238E27FC236}">
              <a16:creationId xmlns:a16="http://schemas.microsoft.com/office/drawing/2014/main" xmlns="" id="{05D70FD8-AE5D-4716-8031-77683F122D3F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962" name="Text Box 2653">
          <a:extLst>
            <a:ext uri="{FF2B5EF4-FFF2-40B4-BE49-F238E27FC236}">
              <a16:creationId xmlns:a16="http://schemas.microsoft.com/office/drawing/2014/main" xmlns="" id="{B2310CE8-4F06-4AA6-A071-184A40E66538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963" name="Text Box 2654">
          <a:extLst>
            <a:ext uri="{FF2B5EF4-FFF2-40B4-BE49-F238E27FC236}">
              <a16:creationId xmlns:a16="http://schemas.microsoft.com/office/drawing/2014/main" xmlns="" id="{24C9ABF6-3282-4973-8BD0-A1858989E5F7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964" name="Text Box 2655">
          <a:extLst>
            <a:ext uri="{FF2B5EF4-FFF2-40B4-BE49-F238E27FC236}">
              <a16:creationId xmlns:a16="http://schemas.microsoft.com/office/drawing/2014/main" xmlns="" id="{F38EC31E-6157-425E-A33F-97AD3067F1D1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965" name="Text Box 2656">
          <a:extLst>
            <a:ext uri="{FF2B5EF4-FFF2-40B4-BE49-F238E27FC236}">
              <a16:creationId xmlns:a16="http://schemas.microsoft.com/office/drawing/2014/main" xmlns="" id="{6C78327F-41EB-40AA-A701-68BDB37F643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966" name="Text Box 2657">
          <a:extLst>
            <a:ext uri="{FF2B5EF4-FFF2-40B4-BE49-F238E27FC236}">
              <a16:creationId xmlns:a16="http://schemas.microsoft.com/office/drawing/2014/main" xmlns="" id="{1DA725A4-2CE0-48C8-87B2-AE2429FD051A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967" name="Text Box 2658">
          <a:extLst>
            <a:ext uri="{FF2B5EF4-FFF2-40B4-BE49-F238E27FC236}">
              <a16:creationId xmlns:a16="http://schemas.microsoft.com/office/drawing/2014/main" xmlns="" id="{54C4347D-970D-4E6B-8772-CC1A3EA64E94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968" name="Text Box 2659">
          <a:extLst>
            <a:ext uri="{FF2B5EF4-FFF2-40B4-BE49-F238E27FC236}">
              <a16:creationId xmlns:a16="http://schemas.microsoft.com/office/drawing/2014/main" xmlns="" id="{3DF4DF93-5D8D-4D04-945F-ED422108F75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969" name="Text Box 2660">
          <a:extLst>
            <a:ext uri="{FF2B5EF4-FFF2-40B4-BE49-F238E27FC236}">
              <a16:creationId xmlns:a16="http://schemas.microsoft.com/office/drawing/2014/main" xmlns="" id="{58D5743B-BCE6-48E4-BC08-3CC49A6516A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970" name="Text Box 2661">
          <a:extLst>
            <a:ext uri="{FF2B5EF4-FFF2-40B4-BE49-F238E27FC236}">
              <a16:creationId xmlns:a16="http://schemas.microsoft.com/office/drawing/2014/main" xmlns="" id="{63A62E32-09E6-43F9-B078-558F7391E758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971" name="Text Box 2662">
          <a:extLst>
            <a:ext uri="{FF2B5EF4-FFF2-40B4-BE49-F238E27FC236}">
              <a16:creationId xmlns:a16="http://schemas.microsoft.com/office/drawing/2014/main" xmlns="" id="{2AFB1986-B3A0-4956-8E65-D29373B7BE5B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972" name="Text Box 2663">
          <a:extLst>
            <a:ext uri="{FF2B5EF4-FFF2-40B4-BE49-F238E27FC236}">
              <a16:creationId xmlns:a16="http://schemas.microsoft.com/office/drawing/2014/main" xmlns="" id="{F6ADEE6B-FC1D-4AE0-B3BB-71B2241F9D3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973" name="Text Box 2664">
          <a:extLst>
            <a:ext uri="{FF2B5EF4-FFF2-40B4-BE49-F238E27FC236}">
              <a16:creationId xmlns:a16="http://schemas.microsoft.com/office/drawing/2014/main" xmlns="" id="{ED77EEA7-515D-4416-B23F-032A3433F01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974" name="Text Box 2665">
          <a:extLst>
            <a:ext uri="{FF2B5EF4-FFF2-40B4-BE49-F238E27FC236}">
              <a16:creationId xmlns:a16="http://schemas.microsoft.com/office/drawing/2014/main" xmlns="" id="{60B4F3D5-6C4A-4696-8F10-37C13D93C01F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975" name="Text Box 2666">
          <a:extLst>
            <a:ext uri="{FF2B5EF4-FFF2-40B4-BE49-F238E27FC236}">
              <a16:creationId xmlns:a16="http://schemas.microsoft.com/office/drawing/2014/main" xmlns="" id="{6D3B0793-933D-4D0B-B247-3568467DD415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976" name="Text Box 2667">
          <a:extLst>
            <a:ext uri="{FF2B5EF4-FFF2-40B4-BE49-F238E27FC236}">
              <a16:creationId xmlns:a16="http://schemas.microsoft.com/office/drawing/2014/main" xmlns="" id="{6FB5088A-AA92-4FA9-A421-73987E64920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977" name="Text Box 2668">
          <a:extLst>
            <a:ext uri="{FF2B5EF4-FFF2-40B4-BE49-F238E27FC236}">
              <a16:creationId xmlns:a16="http://schemas.microsoft.com/office/drawing/2014/main" xmlns="" id="{3B320EF0-1932-4540-9C3E-2D8279D9817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978" name="Text Box 2669">
          <a:extLst>
            <a:ext uri="{FF2B5EF4-FFF2-40B4-BE49-F238E27FC236}">
              <a16:creationId xmlns:a16="http://schemas.microsoft.com/office/drawing/2014/main" xmlns="" id="{83FA4983-5D17-4FB8-B71B-E4A61AF53F56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979" name="Text Box 2670">
          <a:extLst>
            <a:ext uri="{FF2B5EF4-FFF2-40B4-BE49-F238E27FC236}">
              <a16:creationId xmlns:a16="http://schemas.microsoft.com/office/drawing/2014/main" xmlns="" id="{1F739631-35AD-497D-89CB-8A06B47D2A61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980" name="Text Box 2671">
          <a:extLst>
            <a:ext uri="{FF2B5EF4-FFF2-40B4-BE49-F238E27FC236}">
              <a16:creationId xmlns:a16="http://schemas.microsoft.com/office/drawing/2014/main" xmlns="" id="{5C94E02F-EF69-45E7-89B6-DAAAE1278E5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3981" name="Text Box 2672">
          <a:extLst>
            <a:ext uri="{FF2B5EF4-FFF2-40B4-BE49-F238E27FC236}">
              <a16:creationId xmlns:a16="http://schemas.microsoft.com/office/drawing/2014/main" xmlns="" id="{19496E76-05C3-4779-93F7-77BAD34AFA6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982" name="Text Box 2673">
          <a:extLst>
            <a:ext uri="{FF2B5EF4-FFF2-40B4-BE49-F238E27FC236}">
              <a16:creationId xmlns:a16="http://schemas.microsoft.com/office/drawing/2014/main" xmlns="" id="{35761241-8E49-45CE-9BB6-1DB8FD4A9194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983" name="Text Box 2674">
          <a:extLst>
            <a:ext uri="{FF2B5EF4-FFF2-40B4-BE49-F238E27FC236}">
              <a16:creationId xmlns:a16="http://schemas.microsoft.com/office/drawing/2014/main" xmlns="" id="{6F3EF50C-69C5-49EE-ADAE-6AA3E3075A87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984" name="Text Box 2675">
          <a:extLst>
            <a:ext uri="{FF2B5EF4-FFF2-40B4-BE49-F238E27FC236}">
              <a16:creationId xmlns:a16="http://schemas.microsoft.com/office/drawing/2014/main" xmlns="" id="{0A159DBA-5326-40C7-A6B5-027D06B4FEB9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985" name="Text Box 2676">
          <a:extLst>
            <a:ext uri="{FF2B5EF4-FFF2-40B4-BE49-F238E27FC236}">
              <a16:creationId xmlns:a16="http://schemas.microsoft.com/office/drawing/2014/main" xmlns="" id="{18AE2588-BB4B-4D56-BA2D-DB661C5A2DDA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986" name="Text Box 2677">
          <a:extLst>
            <a:ext uri="{FF2B5EF4-FFF2-40B4-BE49-F238E27FC236}">
              <a16:creationId xmlns:a16="http://schemas.microsoft.com/office/drawing/2014/main" xmlns="" id="{90817D32-874C-4854-B2CE-B7E3AA1383DA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987" name="Text Box 2678">
          <a:extLst>
            <a:ext uri="{FF2B5EF4-FFF2-40B4-BE49-F238E27FC236}">
              <a16:creationId xmlns:a16="http://schemas.microsoft.com/office/drawing/2014/main" xmlns="" id="{D5128097-4B11-4AF1-B1D0-8BED26D6E8A8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988" name="Text Box 2679">
          <a:extLst>
            <a:ext uri="{FF2B5EF4-FFF2-40B4-BE49-F238E27FC236}">
              <a16:creationId xmlns:a16="http://schemas.microsoft.com/office/drawing/2014/main" xmlns="" id="{D07FC4B8-1D34-4555-9DC4-E8CD8BA4D074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989" name="Text Box 2680">
          <a:extLst>
            <a:ext uri="{FF2B5EF4-FFF2-40B4-BE49-F238E27FC236}">
              <a16:creationId xmlns:a16="http://schemas.microsoft.com/office/drawing/2014/main" xmlns="" id="{AEEE7D8F-1484-47C4-B18B-3DBD3DBFD42F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990" name="Text Box 2681">
          <a:extLst>
            <a:ext uri="{FF2B5EF4-FFF2-40B4-BE49-F238E27FC236}">
              <a16:creationId xmlns:a16="http://schemas.microsoft.com/office/drawing/2014/main" xmlns="" id="{AE628033-31BA-431A-85BB-9E484EA49E41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991" name="Text Box 2682">
          <a:extLst>
            <a:ext uri="{FF2B5EF4-FFF2-40B4-BE49-F238E27FC236}">
              <a16:creationId xmlns:a16="http://schemas.microsoft.com/office/drawing/2014/main" xmlns="" id="{EA03028D-795A-43F4-966E-FEE11EC517B9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992" name="Text Box 2683">
          <a:extLst>
            <a:ext uri="{FF2B5EF4-FFF2-40B4-BE49-F238E27FC236}">
              <a16:creationId xmlns:a16="http://schemas.microsoft.com/office/drawing/2014/main" xmlns="" id="{6EC6ECBB-626B-43EB-A58E-3052537F3FAB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993" name="Text Box 2684">
          <a:extLst>
            <a:ext uri="{FF2B5EF4-FFF2-40B4-BE49-F238E27FC236}">
              <a16:creationId xmlns:a16="http://schemas.microsoft.com/office/drawing/2014/main" xmlns="" id="{B267ED2A-37A8-4612-9678-6B6F84AF2B4C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994" name="Text Box 2685">
          <a:extLst>
            <a:ext uri="{FF2B5EF4-FFF2-40B4-BE49-F238E27FC236}">
              <a16:creationId xmlns:a16="http://schemas.microsoft.com/office/drawing/2014/main" xmlns="" id="{1B3811A0-6F1F-45AF-933E-4A42BE329403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995" name="Text Box 2686">
          <a:extLst>
            <a:ext uri="{FF2B5EF4-FFF2-40B4-BE49-F238E27FC236}">
              <a16:creationId xmlns:a16="http://schemas.microsoft.com/office/drawing/2014/main" xmlns="" id="{4977D374-93D8-48CC-99A1-A5453F5A45C1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996" name="Text Box 2687">
          <a:extLst>
            <a:ext uri="{FF2B5EF4-FFF2-40B4-BE49-F238E27FC236}">
              <a16:creationId xmlns:a16="http://schemas.microsoft.com/office/drawing/2014/main" xmlns="" id="{9CECA34C-45F3-4EF6-9E2B-E50AC2B5C664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997" name="Text Box 2688">
          <a:extLst>
            <a:ext uri="{FF2B5EF4-FFF2-40B4-BE49-F238E27FC236}">
              <a16:creationId xmlns:a16="http://schemas.microsoft.com/office/drawing/2014/main" xmlns="" id="{160A4C6B-2435-4D86-92E7-9ADC2A094F27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998" name="Text Box 2689">
          <a:extLst>
            <a:ext uri="{FF2B5EF4-FFF2-40B4-BE49-F238E27FC236}">
              <a16:creationId xmlns:a16="http://schemas.microsoft.com/office/drawing/2014/main" xmlns="" id="{A7C2B457-E2C4-44E8-9340-EE0FB587207D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3999" name="Text Box 2690">
          <a:extLst>
            <a:ext uri="{FF2B5EF4-FFF2-40B4-BE49-F238E27FC236}">
              <a16:creationId xmlns:a16="http://schemas.microsoft.com/office/drawing/2014/main" xmlns="" id="{472132FC-CDE0-40BF-8649-5BC49BC06085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000" name="Text Box 2691">
          <a:extLst>
            <a:ext uri="{FF2B5EF4-FFF2-40B4-BE49-F238E27FC236}">
              <a16:creationId xmlns:a16="http://schemas.microsoft.com/office/drawing/2014/main" xmlns="" id="{8CDF3C11-B619-422F-BFE8-5D4B7E73F056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001" name="Text Box 2692">
          <a:extLst>
            <a:ext uri="{FF2B5EF4-FFF2-40B4-BE49-F238E27FC236}">
              <a16:creationId xmlns:a16="http://schemas.microsoft.com/office/drawing/2014/main" xmlns="" id="{1F552F2E-2324-48F9-BC6F-C322FB805803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002" name="Text Box 2693">
          <a:extLst>
            <a:ext uri="{FF2B5EF4-FFF2-40B4-BE49-F238E27FC236}">
              <a16:creationId xmlns:a16="http://schemas.microsoft.com/office/drawing/2014/main" xmlns="" id="{83F2F577-2786-4ADD-A7FE-65C048AD27C7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003" name="Text Box 2694">
          <a:extLst>
            <a:ext uri="{FF2B5EF4-FFF2-40B4-BE49-F238E27FC236}">
              <a16:creationId xmlns:a16="http://schemas.microsoft.com/office/drawing/2014/main" xmlns="" id="{85B13F22-6A82-4111-AB23-065A48E25B28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004" name="Text Box 2695">
          <a:extLst>
            <a:ext uri="{FF2B5EF4-FFF2-40B4-BE49-F238E27FC236}">
              <a16:creationId xmlns:a16="http://schemas.microsoft.com/office/drawing/2014/main" xmlns="" id="{F7131ADD-F0E3-4E12-AD05-85D618DD8BC1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005" name="Text Box 2696">
          <a:extLst>
            <a:ext uri="{FF2B5EF4-FFF2-40B4-BE49-F238E27FC236}">
              <a16:creationId xmlns:a16="http://schemas.microsoft.com/office/drawing/2014/main" xmlns="" id="{C64B1520-3649-45EF-B5C2-2AC8BC088791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006" name="Text Box 2697">
          <a:extLst>
            <a:ext uri="{FF2B5EF4-FFF2-40B4-BE49-F238E27FC236}">
              <a16:creationId xmlns:a16="http://schemas.microsoft.com/office/drawing/2014/main" xmlns="" id="{1BF2A5AC-ABCF-434A-827E-0C9644A94791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007" name="Text Box 2698">
          <a:extLst>
            <a:ext uri="{FF2B5EF4-FFF2-40B4-BE49-F238E27FC236}">
              <a16:creationId xmlns:a16="http://schemas.microsoft.com/office/drawing/2014/main" xmlns="" id="{5D0A6B9F-8942-41C3-9FB4-4D5F0B52BF2E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008" name="Text Box 2699">
          <a:extLst>
            <a:ext uri="{FF2B5EF4-FFF2-40B4-BE49-F238E27FC236}">
              <a16:creationId xmlns:a16="http://schemas.microsoft.com/office/drawing/2014/main" xmlns="" id="{86655B1B-CDA0-4B2B-97D5-59BCF61EFD67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009" name="Text Box 2700">
          <a:extLst>
            <a:ext uri="{FF2B5EF4-FFF2-40B4-BE49-F238E27FC236}">
              <a16:creationId xmlns:a16="http://schemas.microsoft.com/office/drawing/2014/main" xmlns="" id="{1D65FFDE-386A-4B01-B507-3CA5F132F81B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010" name="Text Box 2701">
          <a:extLst>
            <a:ext uri="{FF2B5EF4-FFF2-40B4-BE49-F238E27FC236}">
              <a16:creationId xmlns:a16="http://schemas.microsoft.com/office/drawing/2014/main" xmlns="" id="{B993211C-0C0A-43DC-B247-541AD66C5CBF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011" name="Text Box 2702">
          <a:extLst>
            <a:ext uri="{FF2B5EF4-FFF2-40B4-BE49-F238E27FC236}">
              <a16:creationId xmlns:a16="http://schemas.microsoft.com/office/drawing/2014/main" xmlns="" id="{38696F7E-985F-4C3D-9DB6-5DDAC06E674F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012" name="Text Box 2703">
          <a:extLst>
            <a:ext uri="{FF2B5EF4-FFF2-40B4-BE49-F238E27FC236}">
              <a16:creationId xmlns:a16="http://schemas.microsoft.com/office/drawing/2014/main" xmlns="" id="{94DCBCED-BADF-43BC-9876-B000A582EBB6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013" name="Text Box 2704">
          <a:extLst>
            <a:ext uri="{FF2B5EF4-FFF2-40B4-BE49-F238E27FC236}">
              <a16:creationId xmlns:a16="http://schemas.microsoft.com/office/drawing/2014/main" xmlns="" id="{8EC1FD0D-AB3D-451E-AC00-C644586C6EC5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014" name="Text Box 2705">
          <a:extLst>
            <a:ext uri="{FF2B5EF4-FFF2-40B4-BE49-F238E27FC236}">
              <a16:creationId xmlns:a16="http://schemas.microsoft.com/office/drawing/2014/main" xmlns="" id="{06E77289-6D09-446F-AD71-7AEA3F103799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015" name="Text Box 2706">
          <a:extLst>
            <a:ext uri="{FF2B5EF4-FFF2-40B4-BE49-F238E27FC236}">
              <a16:creationId xmlns:a16="http://schemas.microsoft.com/office/drawing/2014/main" xmlns="" id="{8352E6B0-768E-4BEF-B44B-8C7109C169D9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016" name="Text Box 2707">
          <a:extLst>
            <a:ext uri="{FF2B5EF4-FFF2-40B4-BE49-F238E27FC236}">
              <a16:creationId xmlns:a16="http://schemas.microsoft.com/office/drawing/2014/main" xmlns="" id="{F9F374FB-5C23-4232-AAFC-9E4B62ED9B28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017" name="Text Box 2708">
          <a:extLst>
            <a:ext uri="{FF2B5EF4-FFF2-40B4-BE49-F238E27FC236}">
              <a16:creationId xmlns:a16="http://schemas.microsoft.com/office/drawing/2014/main" xmlns="" id="{ECB81634-5BD0-47D0-9FAE-13922A5AC377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018" name="Text Box 2709">
          <a:extLst>
            <a:ext uri="{FF2B5EF4-FFF2-40B4-BE49-F238E27FC236}">
              <a16:creationId xmlns:a16="http://schemas.microsoft.com/office/drawing/2014/main" xmlns="" id="{2F1B89D4-C67B-4302-845D-4E8E10092B94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019" name="Text Box 2710">
          <a:extLst>
            <a:ext uri="{FF2B5EF4-FFF2-40B4-BE49-F238E27FC236}">
              <a16:creationId xmlns:a16="http://schemas.microsoft.com/office/drawing/2014/main" xmlns="" id="{154D81C4-7241-45F9-9AA3-83A4AB44F528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020" name="Text Box 2711">
          <a:extLst>
            <a:ext uri="{FF2B5EF4-FFF2-40B4-BE49-F238E27FC236}">
              <a16:creationId xmlns:a16="http://schemas.microsoft.com/office/drawing/2014/main" xmlns="" id="{F697B70B-5AFB-4F1F-96DA-5D8BB0EC4247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021" name="Text Box 2712">
          <a:extLst>
            <a:ext uri="{FF2B5EF4-FFF2-40B4-BE49-F238E27FC236}">
              <a16:creationId xmlns:a16="http://schemas.microsoft.com/office/drawing/2014/main" xmlns="" id="{B0B40929-D555-4A6F-98A3-F4E5B8BA1DE3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022" name="Text Box 2713">
          <a:extLst>
            <a:ext uri="{FF2B5EF4-FFF2-40B4-BE49-F238E27FC236}">
              <a16:creationId xmlns:a16="http://schemas.microsoft.com/office/drawing/2014/main" xmlns="" id="{A79FA1B7-EECF-4CB3-A7C9-340BA6B652FB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023" name="Text Box 2714">
          <a:extLst>
            <a:ext uri="{FF2B5EF4-FFF2-40B4-BE49-F238E27FC236}">
              <a16:creationId xmlns:a16="http://schemas.microsoft.com/office/drawing/2014/main" xmlns="" id="{14AF8FCC-29BB-44A5-AD32-79E7807F64C5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024" name="Text Box 2715">
          <a:extLst>
            <a:ext uri="{FF2B5EF4-FFF2-40B4-BE49-F238E27FC236}">
              <a16:creationId xmlns:a16="http://schemas.microsoft.com/office/drawing/2014/main" xmlns="" id="{C30AFFEE-A19F-4E03-B2A1-FDC303113831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025" name="Text Box 2716">
          <a:extLst>
            <a:ext uri="{FF2B5EF4-FFF2-40B4-BE49-F238E27FC236}">
              <a16:creationId xmlns:a16="http://schemas.microsoft.com/office/drawing/2014/main" xmlns="" id="{24542316-5FE1-4D6C-9C8C-6598322B574E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026" name="Text Box 2717">
          <a:extLst>
            <a:ext uri="{FF2B5EF4-FFF2-40B4-BE49-F238E27FC236}">
              <a16:creationId xmlns:a16="http://schemas.microsoft.com/office/drawing/2014/main" xmlns="" id="{F8ED5027-5BD8-4F2E-981E-CC144A84C7DC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027" name="Text Box 2718">
          <a:extLst>
            <a:ext uri="{FF2B5EF4-FFF2-40B4-BE49-F238E27FC236}">
              <a16:creationId xmlns:a16="http://schemas.microsoft.com/office/drawing/2014/main" xmlns="" id="{E0C41591-02A9-43A4-9CB8-EB0E479ADCD0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4028" name="Text Box 2719">
          <a:extLst>
            <a:ext uri="{FF2B5EF4-FFF2-40B4-BE49-F238E27FC236}">
              <a16:creationId xmlns:a16="http://schemas.microsoft.com/office/drawing/2014/main" xmlns="" id="{80EEE0DB-76C7-4E72-8176-2F85512ABAA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4029" name="Text Box 2720">
          <a:extLst>
            <a:ext uri="{FF2B5EF4-FFF2-40B4-BE49-F238E27FC236}">
              <a16:creationId xmlns:a16="http://schemas.microsoft.com/office/drawing/2014/main" xmlns="" id="{B9E24065-4135-439C-867F-CFD8A1B4B04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4030" name="Text Box 2721">
          <a:extLst>
            <a:ext uri="{FF2B5EF4-FFF2-40B4-BE49-F238E27FC236}">
              <a16:creationId xmlns:a16="http://schemas.microsoft.com/office/drawing/2014/main" xmlns="" id="{E621DBEA-EB41-4E2B-B089-876BF967271A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031" name="Text Box 2722">
          <a:extLst>
            <a:ext uri="{FF2B5EF4-FFF2-40B4-BE49-F238E27FC236}">
              <a16:creationId xmlns:a16="http://schemas.microsoft.com/office/drawing/2014/main" xmlns="" id="{EB5DF9BE-8CDF-4FA8-9F28-716F0FE9B320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032" name="Text Box 2723">
          <a:extLst>
            <a:ext uri="{FF2B5EF4-FFF2-40B4-BE49-F238E27FC236}">
              <a16:creationId xmlns:a16="http://schemas.microsoft.com/office/drawing/2014/main" xmlns="" id="{6057E41C-B7FC-474B-99B6-012DE0E88B78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033" name="Text Box 2724">
          <a:extLst>
            <a:ext uri="{FF2B5EF4-FFF2-40B4-BE49-F238E27FC236}">
              <a16:creationId xmlns:a16="http://schemas.microsoft.com/office/drawing/2014/main" xmlns="" id="{23571EE8-1B04-485F-A34D-C1FFA65A9F47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034" name="Text Box 2725">
          <a:extLst>
            <a:ext uri="{FF2B5EF4-FFF2-40B4-BE49-F238E27FC236}">
              <a16:creationId xmlns:a16="http://schemas.microsoft.com/office/drawing/2014/main" xmlns="" id="{C0E791C4-5999-4223-BEBD-48E253B109C8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4035" name="Text Box 2726">
          <a:extLst>
            <a:ext uri="{FF2B5EF4-FFF2-40B4-BE49-F238E27FC236}">
              <a16:creationId xmlns:a16="http://schemas.microsoft.com/office/drawing/2014/main" xmlns="" id="{29F8CAA8-F4A4-4131-9770-972BBE71A33F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4036" name="Text Box 2727">
          <a:extLst>
            <a:ext uri="{FF2B5EF4-FFF2-40B4-BE49-F238E27FC236}">
              <a16:creationId xmlns:a16="http://schemas.microsoft.com/office/drawing/2014/main" xmlns="" id="{C20911DE-6C76-4AFB-ABAA-388C5DFFBB4B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4037" name="Text Box 2728">
          <a:extLst>
            <a:ext uri="{FF2B5EF4-FFF2-40B4-BE49-F238E27FC236}">
              <a16:creationId xmlns:a16="http://schemas.microsoft.com/office/drawing/2014/main" xmlns="" id="{E8954423-2749-478B-9D95-25FD35ABD18A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4038" name="Text Box 2729">
          <a:extLst>
            <a:ext uri="{FF2B5EF4-FFF2-40B4-BE49-F238E27FC236}">
              <a16:creationId xmlns:a16="http://schemas.microsoft.com/office/drawing/2014/main" xmlns="" id="{3B5930F9-0573-405F-B3ED-2786E844B6B2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4039" name="Text Box 2730">
          <a:extLst>
            <a:ext uri="{FF2B5EF4-FFF2-40B4-BE49-F238E27FC236}">
              <a16:creationId xmlns:a16="http://schemas.microsoft.com/office/drawing/2014/main" xmlns="" id="{2C7C74F7-241F-455D-9DBB-64C42784D692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4040" name="Text Box 2731">
          <a:extLst>
            <a:ext uri="{FF2B5EF4-FFF2-40B4-BE49-F238E27FC236}">
              <a16:creationId xmlns:a16="http://schemas.microsoft.com/office/drawing/2014/main" xmlns="" id="{941D6B75-BFB3-4817-8F38-58F02FD25B54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4041" name="Text Box 2732">
          <a:extLst>
            <a:ext uri="{FF2B5EF4-FFF2-40B4-BE49-F238E27FC236}">
              <a16:creationId xmlns:a16="http://schemas.microsoft.com/office/drawing/2014/main" xmlns="" id="{01A6B881-4490-4F3A-A20D-2B180F598E71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4042" name="Text Box 2733">
          <a:extLst>
            <a:ext uri="{FF2B5EF4-FFF2-40B4-BE49-F238E27FC236}">
              <a16:creationId xmlns:a16="http://schemas.microsoft.com/office/drawing/2014/main" xmlns="" id="{965583F2-64A7-4DFE-8438-550077637E95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4043" name="Text Box 2734">
          <a:extLst>
            <a:ext uri="{FF2B5EF4-FFF2-40B4-BE49-F238E27FC236}">
              <a16:creationId xmlns:a16="http://schemas.microsoft.com/office/drawing/2014/main" xmlns="" id="{476922FD-C647-42DD-83AD-C118DE02D7DD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4044" name="Text Box 2735">
          <a:extLst>
            <a:ext uri="{FF2B5EF4-FFF2-40B4-BE49-F238E27FC236}">
              <a16:creationId xmlns:a16="http://schemas.microsoft.com/office/drawing/2014/main" xmlns="" id="{554482E0-F20C-451E-9EA7-6381E8DA13DB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4045" name="Text Box 2736">
          <a:extLst>
            <a:ext uri="{FF2B5EF4-FFF2-40B4-BE49-F238E27FC236}">
              <a16:creationId xmlns:a16="http://schemas.microsoft.com/office/drawing/2014/main" xmlns="" id="{89269E35-0867-48AE-9DB0-0677B2CB1384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4046" name="Text Box 2737">
          <a:extLst>
            <a:ext uri="{FF2B5EF4-FFF2-40B4-BE49-F238E27FC236}">
              <a16:creationId xmlns:a16="http://schemas.microsoft.com/office/drawing/2014/main" xmlns="" id="{00A420B0-270F-49AF-8C31-0A3F3AE31917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4047" name="Text Box 2738">
          <a:extLst>
            <a:ext uri="{FF2B5EF4-FFF2-40B4-BE49-F238E27FC236}">
              <a16:creationId xmlns:a16="http://schemas.microsoft.com/office/drawing/2014/main" xmlns="" id="{8A614412-9823-4982-A617-B170EB8CA91A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4048" name="Text Box 2739">
          <a:extLst>
            <a:ext uri="{FF2B5EF4-FFF2-40B4-BE49-F238E27FC236}">
              <a16:creationId xmlns:a16="http://schemas.microsoft.com/office/drawing/2014/main" xmlns="" id="{FF99ED38-746F-4A21-9826-6413C1F3ECED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4049" name="Text Box 2740">
          <a:extLst>
            <a:ext uri="{FF2B5EF4-FFF2-40B4-BE49-F238E27FC236}">
              <a16:creationId xmlns:a16="http://schemas.microsoft.com/office/drawing/2014/main" xmlns="" id="{BB1E36D8-B2B1-43D8-BEEF-A139D8C7269C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4050" name="Text Box 2741">
          <a:extLst>
            <a:ext uri="{FF2B5EF4-FFF2-40B4-BE49-F238E27FC236}">
              <a16:creationId xmlns:a16="http://schemas.microsoft.com/office/drawing/2014/main" xmlns="" id="{491B9E93-4DBB-4989-BDA5-CAF7F144F5BE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4051" name="Text Box 2742">
          <a:extLst>
            <a:ext uri="{FF2B5EF4-FFF2-40B4-BE49-F238E27FC236}">
              <a16:creationId xmlns:a16="http://schemas.microsoft.com/office/drawing/2014/main" xmlns="" id="{488EC8C7-6A3F-4849-8CD5-BCDBD46E9DFB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4052" name="Text Box 2743">
          <a:extLst>
            <a:ext uri="{FF2B5EF4-FFF2-40B4-BE49-F238E27FC236}">
              <a16:creationId xmlns:a16="http://schemas.microsoft.com/office/drawing/2014/main" xmlns="" id="{8763876D-5D3B-4D95-8429-1138A6065604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4053" name="Text Box 2744">
          <a:extLst>
            <a:ext uri="{FF2B5EF4-FFF2-40B4-BE49-F238E27FC236}">
              <a16:creationId xmlns:a16="http://schemas.microsoft.com/office/drawing/2014/main" xmlns="" id="{5AB52A2C-3F4A-43D1-865C-CA549C9488C6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4054" name="Text Box 2745">
          <a:extLst>
            <a:ext uri="{FF2B5EF4-FFF2-40B4-BE49-F238E27FC236}">
              <a16:creationId xmlns:a16="http://schemas.microsoft.com/office/drawing/2014/main" xmlns="" id="{3D4CA20E-C403-47C1-8615-DBF51273067B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4055" name="Text Box 2746">
          <a:extLst>
            <a:ext uri="{FF2B5EF4-FFF2-40B4-BE49-F238E27FC236}">
              <a16:creationId xmlns:a16="http://schemas.microsoft.com/office/drawing/2014/main" xmlns="" id="{6758995B-7232-4856-8374-2B1B1643B39D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4056" name="Text Box 2747">
          <a:extLst>
            <a:ext uri="{FF2B5EF4-FFF2-40B4-BE49-F238E27FC236}">
              <a16:creationId xmlns:a16="http://schemas.microsoft.com/office/drawing/2014/main" xmlns="" id="{CECE1E6C-6399-4825-B942-3995C15BADD9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4057" name="Text Box 2748">
          <a:extLst>
            <a:ext uri="{FF2B5EF4-FFF2-40B4-BE49-F238E27FC236}">
              <a16:creationId xmlns:a16="http://schemas.microsoft.com/office/drawing/2014/main" xmlns="" id="{C8B04C74-0851-4F72-B519-B8BEA07A4A92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4058" name="Text Box 2749">
          <a:extLst>
            <a:ext uri="{FF2B5EF4-FFF2-40B4-BE49-F238E27FC236}">
              <a16:creationId xmlns:a16="http://schemas.microsoft.com/office/drawing/2014/main" xmlns="" id="{B5DE42F5-BC6B-49D9-B49D-84C262FAA660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4059" name="Text Box 2750">
          <a:extLst>
            <a:ext uri="{FF2B5EF4-FFF2-40B4-BE49-F238E27FC236}">
              <a16:creationId xmlns:a16="http://schemas.microsoft.com/office/drawing/2014/main" xmlns="" id="{7FF57425-C718-4CBE-9C35-E0A2CB3E7294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4060" name="Text Box 2751">
          <a:extLst>
            <a:ext uri="{FF2B5EF4-FFF2-40B4-BE49-F238E27FC236}">
              <a16:creationId xmlns:a16="http://schemas.microsoft.com/office/drawing/2014/main" xmlns="" id="{B61241CF-10FD-4AB3-9605-D7C6AEACF16D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4061" name="Text Box 2752">
          <a:extLst>
            <a:ext uri="{FF2B5EF4-FFF2-40B4-BE49-F238E27FC236}">
              <a16:creationId xmlns:a16="http://schemas.microsoft.com/office/drawing/2014/main" xmlns="" id="{19E0A419-E2B6-4D8C-A0B5-1D0E3162528E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4062" name="Text Box 2753">
          <a:extLst>
            <a:ext uri="{FF2B5EF4-FFF2-40B4-BE49-F238E27FC236}">
              <a16:creationId xmlns:a16="http://schemas.microsoft.com/office/drawing/2014/main" xmlns="" id="{C2A16D87-D9E5-48A3-BB62-6B29E0F73DAF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4063" name="Text Box 2754">
          <a:extLst>
            <a:ext uri="{FF2B5EF4-FFF2-40B4-BE49-F238E27FC236}">
              <a16:creationId xmlns:a16="http://schemas.microsoft.com/office/drawing/2014/main" xmlns="" id="{89069FD1-C297-4586-8FFE-E7C716B4D03C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4064" name="Text Box 2755">
          <a:extLst>
            <a:ext uri="{FF2B5EF4-FFF2-40B4-BE49-F238E27FC236}">
              <a16:creationId xmlns:a16="http://schemas.microsoft.com/office/drawing/2014/main" xmlns="" id="{E7281FCF-6CC6-413E-978D-F7C45862D7A9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4065" name="Text Box 2756">
          <a:extLst>
            <a:ext uri="{FF2B5EF4-FFF2-40B4-BE49-F238E27FC236}">
              <a16:creationId xmlns:a16="http://schemas.microsoft.com/office/drawing/2014/main" xmlns="" id="{26151345-D4B8-47E0-B519-1EE7CC1FF144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4066" name="Text Box 2757">
          <a:extLst>
            <a:ext uri="{FF2B5EF4-FFF2-40B4-BE49-F238E27FC236}">
              <a16:creationId xmlns:a16="http://schemas.microsoft.com/office/drawing/2014/main" xmlns="" id="{758AC850-C33B-4A3B-B9EA-48FF7D13CF64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4067" name="Text Box 2758">
          <a:extLst>
            <a:ext uri="{FF2B5EF4-FFF2-40B4-BE49-F238E27FC236}">
              <a16:creationId xmlns:a16="http://schemas.microsoft.com/office/drawing/2014/main" xmlns="" id="{FDFE36AB-6672-4C35-B26B-6096B8EC7FC7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4068" name="Text Box 2759">
          <a:extLst>
            <a:ext uri="{FF2B5EF4-FFF2-40B4-BE49-F238E27FC236}">
              <a16:creationId xmlns:a16="http://schemas.microsoft.com/office/drawing/2014/main" xmlns="" id="{1114346B-B666-4C3C-B968-603FB93EFAAA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4069" name="Text Box 2760">
          <a:extLst>
            <a:ext uri="{FF2B5EF4-FFF2-40B4-BE49-F238E27FC236}">
              <a16:creationId xmlns:a16="http://schemas.microsoft.com/office/drawing/2014/main" xmlns="" id="{75470256-3623-427C-8790-1A41B3121E11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4070" name="Text Box 2761">
          <a:extLst>
            <a:ext uri="{FF2B5EF4-FFF2-40B4-BE49-F238E27FC236}">
              <a16:creationId xmlns:a16="http://schemas.microsoft.com/office/drawing/2014/main" xmlns="" id="{2170B63A-BE7D-44DA-A660-A33E3CB738B2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4071" name="Text Box 2762">
          <a:extLst>
            <a:ext uri="{FF2B5EF4-FFF2-40B4-BE49-F238E27FC236}">
              <a16:creationId xmlns:a16="http://schemas.microsoft.com/office/drawing/2014/main" xmlns="" id="{D1BA788B-7FE4-4F6C-B0C1-DD03DA7D0490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4072" name="Text Box 2763">
          <a:extLst>
            <a:ext uri="{FF2B5EF4-FFF2-40B4-BE49-F238E27FC236}">
              <a16:creationId xmlns:a16="http://schemas.microsoft.com/office/drawing/2014/main" xmlns="" id="{296F215A-283B-484E-93E0-3FB8745E65F1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4073" name="Text Box 2764">
          <a:extLst>
            <a:ext uri="{FF2B5EF4-FFF2-40B4-BE49-F238E27FC236}">
              <a16:creationId xmlns:a16="http://schemas.microsoft.com/office/drawing/2014/main" xmlns="" id="{021A0926-2BB9-46E5-AFBD-03FF578FEA4D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4074" name="Text Box 2765">
          <a:extLst>
            <a:ext uri="{FF2B5EF4-FFF2-40B4-BE49-F238E27FC236}">
              <a16:creationId xmlns:a16="http://schemas.microsoft.com/office/drawing/2014/main" xmlns="" id="{655D00E4-944E-4E1A-B7E9-0BAE89FAEB53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4075" name="Text Box 2766">
          <a:extLst>
            <a:ext uri="{FF2B5EF4-FFF2-40B4-BE49-F238E27FC236}">
              <a16:creationId xmlns:a16="http://schemas.microsoft.com/office/drawing/2014/main" xmlns="" id="{22E6D6D3-BDC1-4387-8F47-CE6A7BBC31EB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4076" name="Text Box 2767">
          <a:extLst>
            <a:ext uri="{FF2B5EF4-FFF2-40B4-BE49-F238E27FC236}">
              <a16:creationId xmlns:a16="http://schemas.microsoft.com/office/drawing/2014/main" xmlns="" id="{1A41A527-C656-44F9-8A8A-86F466733A8D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4077" name="Text Box 2768">
          <a:extLst>
            <a:ext uri="{FF2B5EF4-FFF2-40B4-BE49-F238E27FC236}">
              <a16:creationId xmlns:a16="http://schemas.microsoft.com/office/drawing/2014/main" xmlns="" id="{AB524301-EFBB-4F19-A8DA-F05EB9AEBA1E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4078" name="Text Box 2769">
          <a:extLst>
            <a:ext uri="{FF2B5EF4-FFF2-40B4-BE49-F238E27FC236}">
              <a16:creationId xmlns:a16="http://schemas.microsoft.com/office/drawing/2014/main" xmlns="" id="{85FC19BF-D6E0-4F97-A319-431FF572E82A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4079" name="Text Box 2770">
          <a:extLst>
            <a:ext uri="{FF2B5EF4-FFF2-40B4-BE49-F238E27FC236}">
              <a16:creationId xmlns:a16="http://schemas.microsoft.com/office/drawing/2014/main" xmlns="" id="{8DBE9C49-230B-4367-9A61-5A0D4B5A3C71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4080" name="Text Box 2771">
          <a:extLst>
            <a:ext uri="{FF2B5EF4-FFF2-40B4-BE49-F238E27FC236}">
              <a16:creationId xmlns:a16="http://schemas.microsoft.com/office/drawing/2014/main" xmlns="" id="{CCFCB0CB-6757-47C8-9981-32549FA40C9B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4081" name="Text Box 2772">
          <a:extLst>
            <a:ext uri="{FF2B5EF4-FFF2-40B4-BE49-F238E27FC236}">
              <a16:creationId xmlns:a16="http://schemas.microsoft.com/office/drawing/2014/main" xmlns="" id="{7EF6119B-9F20-4B4A-BFEB-730DEA0EA7E6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4082" name="Text Box 2773">
          <a:extLst>
            <a:ext uri="{FF2B5EF4-FFF2-40B4-BE49-F238E27FC236}">
              <a16:creationId xmlns:a16="http://schemas.microsoft.com/office/drawing/2014/main" xmlns="" id="{08FEE146-486D-4BBC-A3A5-50DD534A34BD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4083" name="Text Box 2774">
          <a:extLst>
            <a:ext uri="{FF2B5EF4-FFF2-40B4-BE49-F238E27FC236}">
              <a16:creationId xmlns:a16="http://schemas.microsoft.com/office/drawing/2014/main" xmlns="" id="{B8D27884-675A-4292-8AC0-EF56E4469232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4084" name="Text Box 2775">
          <a:extLst>
            <a:ext uri="{FF2B5EF4-FFF2-40B4-BE49-F238E27FC236}">
              <a16:creationId xmlns:a16="http://schemas.microsoft.com/office/drawing/2014/main" xmlns="" id="{491C86F4-B665-47CA-B869-B93848B09997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4085" name="Text Box 2776">
          <a:extLst>
            <a:ext uri="{FF2B5EF4-FFF2-40B4-BE49-F238E27FC236}">
              <a16:creationId xmlns:a16="http://schemas.microsoft.com/office/drawing/2014/main" xmlns="" id="{A8A5CE85-A326-488F-9CA8-6E461D3888C7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4086" name="Text Box 2777">
          <a:extLst>
            <a:ext uri="{FF2B5EF4-FFF2-40B4-BE49-F238E27FC236}">
              <a16:creationId xmlns:a16="http://schemas.microsoft.com/office/drawing/2014/main" xmlns="" id="{CEC7794E-4C35-4B8D-A47D-73F4C4C9A659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4087" name="Text Box 2778">
          <a:extLst>
            <a:ext uri="{FF2B5EF4-FFF2-40B4-BE49-F238E27FC236}">
              <a16:creationId xmlns:a16="http://schemas.microsoft.com/office/drawing/2014/main" xmlns="" id="{AEF8E44B-AC2E-4DC3-BB51-3956D4A66D8E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4088" name="Text Box 2779">
          <a:extLst>
            <a:ext uri="{FF2B5EF4-FFF2-40B4-BE49-F238E27FC236}">
              <a16:creationId xmlns:a16="http://schemas.microsoft.com/office/drawing/2014/main" xmlns="" id="{72A76C30-492D-4B56-81C6-690F3EE11D94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4089" name="Text Box 2780">
          <a:extLst>
            <a:ext uri="{FF2B5EF4-FFF2-40B4-BE49-F238E27FC236}">
              <a16:creationId xmlns:a16="http://schemas.microsoft.com/office/drawing/2014/main" xmlns="" id="{71E4ACA3-F84D-4A5D-9E71-FBF02AE82D2D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4090" name="Text Box 2781">
          <a:extLst>
            <a:ext uri="{FF2B5EF4-FFF2-40B4-BE49-F238E27FC236}">
              <a16:creationId xmlns:a16="http://schemas.microsoft.com/office/drawing/2014/main" xmlns="" id="{BD343E1A-977F-4E8E-8F16-39003DFF19AE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4091" name="Text Box 2782">
          <a:extLst>
            <a:ext uri="{FF2B5EF4-FFF2-40B4-BE49-F238E27FC236}">
              <a16:creationId xmlns:a16="http://schemas.microsoft.com/office/drawing/2014/main" xmlns="" id="{5F0152F3-D054-4A11-B557-ADCE88E33794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4092" name="Text Box 2783">
          <a:extLst>
            <a:ext uri="{FF2B5EF4-FFF2-40B4-BE49-F238E27FC236}">
              <a16:creationId xmlns:a16="http://schemas.microsoft.com/office/drawing/2014/main" xmlns="" id="{FAE70225-4E94-42E2-B546-42FA14255676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4093" name="Text Box 2784">
          <a:extLst>
            <a:ext uri="{FF2B5EF4-FFF2-40B4-BE49-F238E27FC236}">
              <a16:creationId xmlns:a16="http://schemas.microsoft.com/office/drawing/2014/main" xmlns="" id="{B3EB0623-461C-4141-9FB0-96908FD58352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4094" name="Text Box 2785">
          <a:extLst>
            <a:ext uri="{FF2B5EF4-FFF2-40B4-BE49-F238E27FC236}">
              <a16:creationId xmlns:a16="http://schemas.microsoft.com/office/drawing/2014/main" xmlns="" id="{722D8370-EEBD-403F-87B0-B762B948762A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4095" name="Text Box 2786">
          <a:extLst>
            <a:ext uri="{FF2B5EF4-FFF2-40B4-BE49-F238E27FC236}">
              <a16:creationId xmlns:a16="http://schemas.microsoft.com/office/drawing/2014/main" xmlns="" id="{F6836130-5774-421B-AE49-4DBEDC39FCFB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4096" name="Text Box 2787">
          <a:extLst>
            <a:ext uri="{FF2B5EF4-FFF2-40B4-BE49-F238E27FC236}">
              <a16:creationId xmlns:a16="http://schemas.microsoft.com/office/drawing/2014/main" xmlns="" id="{6EA807A7-A127-4F6C-B7CB-48D4C4DC8194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4097" name="Text Box 2788">
          <a:extLst>
            <a:ext uri="{FF2B5EF4-FFF2-40B4-BE49-F238E27FC236}">
              <a16:creationId xmlns:a16="http://schemas.microsoft.com/office/drawing/2014/main" xmlns="" id="{BADB8117-FBA2-4E1E-BD0B-910F182F68FF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19050</xdr:rowOff>
    </xdr:to>
    <xdr:sp macro="" textlink="">
      <xdr:nvSpPr>
        <xdr:cNvPr id="4098" name="Text Box 2789">
          <a:extLst>
            <a:ext uri="{FF2B5EF4-FFF2-40B4-BE49-F238E27FC236}">
              <a16:creationId xmlns:a16="http://schemas.microsoft.com/office/drawing/2014/main" xmlns="" id="{20D5C948-F074-4910-9E56-235D6CE4A1C4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099" name="Text Box 2790">
          <a:extLst>
            <a:ext uri="{FF2B5EF4-FFF2-40B4-BE49-F238E27FC236}">
              <a16:creationId xmlns:a16="http://schemas.microsoft.com/office/drawing/2014/main" xmlns="" id="{E6C5EB28-43E8-4EEC-B7A4-38360CB13219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100" name="Text Box 2791">
          <a:extLst>
            <a:ext uri="{FF2B5EF4-FFF2-40B4-BE49-F238E27FC236}">
              <a16:creationId xmlns:a16="http://schemas.microsoft.com/office/drawing/2014/main" xmlns="" id="{78408F30-E9CE-4F23-8D61-06E46F4D2CB6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101" name="Text Box 2792">
          <a:extLst>
            <a:ext uri="{FF2B5EF4-FFF2-40B4-BE49-F238E27FC236}">
              <a16:creationId xmlns:a16="http://schemas.microsoft.com/office/drawing/2014/main" xmlns="" id="{9F1AFDE5-7DA3-430E-A0D5-CF37557433E1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102" name="Text Box 2793">
          <a:extLst>
            <a:ext uri="{FF2B5EF4-FFF2-40B4-BE49-F238E27FC236}">
              <a16:creationId xmlns:a16="http://schemas.microsoft.com/office/drawing/2014/main" xmlns="" id="{E4AB8DCF-2608-438D-A41F-CBCBFF4F11B4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103" name="Text Box 2794">
          <a:extLst>
            <a:ext uri="{FF2B5EF4-FFF2-40B4-BE49-F238E27FC236}">
              <a16:creationId xmlns:a16="http://schemas.microsoft.com/office/drawing/2014/main" xmlns="" id="{5027245E-3409-42D8-8D34-E3EE4FCB6D0C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104" name="Text Box 2795">
          <a:extLst>
            <a:ext uri="{FF2B5EF4-FFF2-40B4-BE49-F238E27FC236}">
              <a16:creationId xmlns:a16="http://schemas.microsoft.com/office/drawing/2014/main" xmlns="" id="{3889CB5D-EC51-4DDF-AE5C-93D6D18479F3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105" name="Text Box 2796">
          <a:extLst>
            <a:ext uri="{FF2B5EF4-FFF2-40B4-BE49-F238E27FC236}">
              <a16:creationId xmlns:a16="http://schemas.microsoft.com/office/drawing/2014/main" xmlns="" id="{625F2853-E9C4-4A5F-824F-412BC997BB0D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106" name="Text Box 2797">
          <a:extLst>
            <a:ext uri="{FF2B5EF4-FFF2-40B4-BE49-F238E27FC236}">
              <a16:creationId xmlns:a16="http://schemas.microsoft.com/office/drawing/2014/main" xmlns="" id="{3612CBAC-F52E-4A76-B448-D9C4E2A5831C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107" name="Text Box 2798">
          <a:extLst>
            <a:ext uri="{FF2B5EF4-FFF2-40B4-BE49-F238E27FC236}">
              <a16:creationId xmlns:a16="http://schemas.microsoft.com/office/drawing/2014/main" xmlns="" id="{42DAEAF3-98BE-42C7-9C8B-49159E3F2D99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108" name="Text Box 2799">
          <a:extLst>
            <a:ext uri="{FF2B5EF4-FFF2-40B4-BE49-F238E27FC236}">
              <a16:creationId xmlns:a16="http://schemas.microsoft.com/office/drawing/2014/main" xmlns="" id="{11D8E44F-35DE-4D29-B1EA-9706B84102ED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109" name="Text Box 2800">
          <a:extLst>
            <a:ext uri="{FF2B5EF4-FFF2-40B4-BE49-F238E27FC236}">
              <a16:creationId xmlns:a16="http://schemas.microsoft.com/office/drawing/2014/main" xmlns="" id="{C78066DB-19B5-4055-9785-2AF99273F5CB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110" name="Text Box 2801">
          <a:extLst>
            <a:ext uri="{FF2B5EF4-FFF2-40B4-BE49-F238E27FC236}">
              <a16:creationId xmlns:a16="http://schemas.microsoft.com/office/drawing/2014/main" xmlns="" id="{9DCE28FC-8F9D-4182-8416-E4EC1294C48E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111" name="Text Box 2802">
          <a:extLst>
            <a:ext uri="{FF2B5EF4-FFF2-40B4-BE49-F238E27FC236}">
              <a16:creationId xmlns:a16="http://schemas.microsoft.com/office/drawing/2014/main" xmlns="" id="{70EC695C-2884-4D4A-A80E-623DEF3E8ADC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112" name="Text Box 2803">
          <a:extLst>
            <a:ext uri="{FF2B5EF4-FFF2-40B4-BE49-F238E27FC236}">
              <a16:creationId xmlns:a16="http://schemas.microsoft.com/office/drawing/2014/main" xmlns="" id="{F0B8B631-9FB6-4894-AA2D-24D7FCC84229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113" name="Text Box 2804">
          <a:extLst>
            <a:ext uri="{FF2B5EF4-FFF2-40B4-BE49-F238E27FC236}">
              <a16:creationId xmlns:a16="http://schemas.microsoft.com/office/drawing/2014/main" xmlns="" id="{B6E12CDC-2AD7-4A61-92C5-1E91193E3C6A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114" name="Text Box 2805">
          <a:extLst>
            <a:ext uri="{FF2B5EF4-FFF2-40B4-BE49-F238E27FC236}">
              <a16:creationId xmlns:a16="http://schemas.microsoft.com/office/drawing/2014/main" xmlns="" id="{02C61EC2-1751-4BE8-9049-BD25F7FFC065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115" name="Text Box 2806">
          <a:extLst>
            <a:ext uri="{FF2B5EF4-FFF2-40B4-BE49-F238E27FC236}">
              <a16:creationId xmlns:a16="http://schemas.microsoft.com/office/drawing/2014/main" xmlns="" id="{89F000DD-A435-4385-8E59-6DA5006BF509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116" name="Text Box 2807">
          <a:extLst>
            <a:ext uri="{FF2B5EF4-FFF2-40B4-BE49-F238E27FC236}">
              <a16:creationId xmlns:a16="http://schemas.microsoft.com/office/drawing/2014/main" xmlns="" id="{329ECF4B-BBE0-4D53-B46E-88B566D0B57F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117" name="Text Box 2808">
          <a:extLst>
            <a:ext uri="{FF2B5EF4-FFF2-40B4-BE49-F238E27FC236}">
              <a16:creationId xmlns:a16="http://schemas.microsoft.com/office/drawing/2014/main" xmlns="" id="{090FBFCF-F2E0-4772-9854-2633102D095C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118" name="Text Box 2809">
          <a:extLst>
            <a:ext uri="{FF2B5EF4-FFF2-40B4-BE49-F238E27FC236}">
              <a16:creationId xmlns:a16="http://schemas.microsoft.com/office/drawing/2014/main" xmlns="" id="{770D5654-121A-4ADE-A37A-9A19D3D8179F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119" name="Text Box 2810">
          <a:extLst>
            <a:ext uri="{FF2B5EF4-FFF2-40B4-BE49-F238E27FC236}">
              <a16:creationId xmlns:a16="http://schemas.microsoft.com/office/drawing/2014/main" xmlns="" id="{B9224B9A-2A7C-4A33-94F9-366D2A7482BE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120" name="Text Box 2811">
          <a:extLst>
            <a:ext uri="{FF2B5EF4-FFF2-40B4-BE49-F238E27FC236}">
              <a16:creationId xmlns:a16="http://schemas.microsoft.com/office/drawing/2014/main" xmlns="" id="{A4D3637E-67F5-4159-A8E9-15C320BF1145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121" name="Text Box 2812">
          <a:extLst>
            <a:ext uri="{FF2B5EF4-FFF2-40B4-BE49-F238E27FC236}">
              <a16:creationId xmlns:a16="http://schemas.microsoft.com/office/drawing/2014/main" xmlns="" id="{B4DD87B5-0C58-4084-8503-E11D3318DF59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122" name="Text Box 2813">
          <a:extLst>
            <a:ext uri="{FF2B5EF4-FFF2-40B4-BE49-F238E27FC236}">
              <a16:creationId xmlns:a16="http://schemas.microsoft.com/office/drawing/2014/main" xmlns="" id="{DBBA7567-7E54-4A2B-BB44-007705D6767F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123" name="Text Box 2814">
          <a:extLst>
            <a:ext uri="{FF2B5EF4-FFF2-40B4-BE49-F238E27FC236}">
              <a16:creationId xmlns:a16="http://schemas.microsoft.com/office/drawing/2014/main" xmlns="" id="{61AE4627-632A-4591-A351-4C17DD29B331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124" name="Text Box 2815">
          <a:extLst>
            <a:ext uri="{FF2B5EF4-FFF2-40B4-BE49-F238E27FC236}">
              <a16:creationId xmlns:a16="http://schemas.microsoft.com/office/drawing/2014/main" xmlns="" id="{EED22B73-1059-48B9-8170-3B9216B34B30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125" name="Text Box 2816">
          <a:extLst>
            <a:ext uri="{FF2B5EF4-FFF2-40B4-BE49-F238E27FC236}">
              <a16:creationId xmlns:a16="http://schemas.microsoft.com/office/drawing/2014/main" xmlns="" id="{2AC5661D-456B-42C0-8FE5-64AE29AFF328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126" name="Text Box 2817">
          <a:extLst>
            <a:ext uri="{FF2B5EF4-FFF2-40B4-BE49-F238E27FC236}">
              <a16:creationId xmlns:a16="http://schemas.microsoft.com/office/drawing/2014/main" xmlns="" id="{2008FCAB-A680-42CB-BA60-E54B775A7727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127" name="Text Box 2818">
          <a:extLst>
            <a:ext uri="{FF2B5EF4-FFF2-40B4-BE49-F238E27FC236}">
              <a16:creationId xmlns:a16="http://schemas.microsoft.com/office/drawing/2014/main" xmlns="" id="{0BCE4631-51AF-4829-85A9-9092C22C6971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128" name="Text Box 2819">
          <a:extLst>
            <a:ext uri="{FF2B5EF4-FFF2-40B4-BE49-F238E27FC236}">
              <a16:creationId xmlns:a16="http://schemas.microsoft.com/office/drawing/2014/main" xmlns="" id="{54583731-95B7-44B2-86F0-0B0F01FB7154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129" name="Text Box 2820">
          <a:extLst>
            <a:ext uri="{FF2B5EF4-FFF2-40B4-BE49-F238E27FC236}">
              <a16:creationId xmlns:a16="http://schemas.microsoft.com/office/drawing/2014/main" xmlns="" id="{3F0999E6-F2D0-4607-A7F5-D7772EC6B9F0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130" name="Text Box 2821">
          <a:extLst>
            <a:ext uri="{FF2B5EF4-FFF2-40B4-BE49-F238E27FC236}">
              <a16:creationId xmlns:a16="http://schemas.microsoft.com/office/drawing/2014/main" xmlns="" id="{3CD0896C-E551-40A3-88CB-AD80E46A727A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131" name="Text Box 2822">
          <a:extLst>
            <a:ext uri="{FF2B5EF4-FFF2-40B4-BE49-F238E27FC236}">
              <a16:creationId xmlns:a16="http://schemas.microsoft.com/office/drawing/2014/main" xmlns="" id="{E454C3D5-7234-41BB-BE57-23BAE6AD98CD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132" name="Text Box 2823">
          <a:extLst>
            <a:ext uri="{FF2B5EF4-FFF2-40B4-BE49-F238E27FC236}">
              <a16:creationId xmlns:a16="http://schemas.microsoft.com/office/drawing/2014/main" xmlns="" id="{CFFFA024-1E7E-488F-9D2E-AC3135C8690B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133" name="Text Box 2824">
          <a:extLst>
            <a:ext uri="{FF2B5EF4-FFF2-40B4-BE49-F238E27FC236}">
              <a16:creationId xmlns:a16="http://schemas.microsoft.com/office/drawing/2014/main" xmlns="" id="{2BB8E1AA-5328-47AF-9AC0-F299112D64A5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134" name="Text Box 2825">
          <a:extLst>
            <a:ext uri="{FF2B5EF4-FFF2-40B4-BE49-F238E27FC236}">
              <a16:creationId xmlns:a16="http://schemas.microsoft.com/office/drawing/2014/main" xmlns="" id="{FE5E98BD-3A97-4BC3-A9DB-FE3C4E275EA4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135" name="Text Box 2826">
          <a:extLst>
            <a:ext uri="{FF2B5EF4-FFF2-40B4-BE49-F238E27FC236}">
              <a16:creationId xmlns:a16="http://schemas.microsoft.com/office/drawing/2014/main" xmlns="" id="{4DC779D9-1CD0-4EF1-875F-BB2E3409AF4B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136" name="Text Box 2827">
          <a:extLst>
            <a:ext uri="{FF2B5EF4-FFF2-40B4-BE49-F238E27FC236}">
              <a16:creationId xmlns:a16="http://schemas.microsoft.com/office/drawing/2014/main" xmlns="" id="{52F2BC32-587E-4A12-8C74-602968B80F12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137" name="Text Box 2828">
          <a:extLst>
            <a:ext uri="{FF2B5EF4-FFF2-40B4-BE49-F238E27FC236}">
              <a16:creationId xmlns:a16="http://schemas.microsoft.com/office/drawing/2014/main" xmlns="" id="{321B77F1-7D7B-4505-8610-EB38141F52D9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138" name="Text Box 2829">
          <a:extLst>
            <a:ext uri="{FF2B5EF4-FFF2-40B4-BE49-F238E27FC236}">
              <a16:creationId xmlns:a16="http://schemas.microsoft.com/office/drawing/2014/main" xmlns="" id="{5CE5DFD6-3D38-435C-AF9F-9D5BEE66578A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139" name="Text Box 2830">
          <a:extLst>
            <a:ext uri="{FF2B5EF4-FFF2-40B4-BE49-F238E27FC236}">
              <a16:creationId xmlns:a16="http://schemas.microsoft.com/office/drawing/2014/main" xmlns="" id="{B0C456D7-E434-4FAC-A8C0-66BC2287C2EC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140" name="Text Box 2831">
          <a:extLst>
            <a:ext uri="{FF2B5EF4-FFF2-40B4-BE49-F238E27FC236}">
              <a16:creationId xmlns:a16="http://schemas.microsoft.com/office/drawing/2014/main" xmlns="" id="{0F7B348D-1192-4494-A1C8-DAE457E1A03B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141" name="Text Box 2832">
          <a:extLst>
            <a:ext uri="{FF2B5EF4-FFF2-40B4-BE49-F238E27FC236}">
              <a16:creationId xmlns:a16="http://schemas.microsoft.com/office/drawing/2014/main" xmlns="" id="{3E99BA2C-F183-4B8D-ADB7-C02C7F0893BE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142" name="Text Box 2833">
          <a:extLst>
            <a:ext uri="{FF2B5EF4-FFF2-40B4-BE49-F238E27FC236}">
              <a16:creationId xmlns:a16="http://schemas.microsoft.com/office/drawing/2014/main" xmlns="" id="{8AAE86DD-709F-4CFA-8EB3-D7E178DCF62C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143" name="Text Box 2834">
          <a:extLst>
            <a:ext uri="{FF2B5EF4-FFF2-40B4-BE49-F238E27FC236}">
              <a16:creationId xmlns:a16="http://schemas.microsoft.com/office/drawing/2014/main" xmlns="" id="{474AE20A-A631-44AD-B33C-E7F4B2541EF4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144" name="Text Box 2835">
          <a:extLst>
            <a:ext uri="{FF2B5EF4-FFF2-40B4-BE49-F238E27FC236}">
              <a16:creationId xmlns:a16="http://schemas.microsoft.com/office/drawing/2014/main" xmlns="" id="{AFA09851-EC2D-40B7-9923-C1CA0B6A0D41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145" name="Text Box 2836">
          <a:extLst>
            <a:ext uri="{FF2B5EF4-FFF2-40B4-BE49-F238E27FC236}">
              <a16:creationId xmlns:a16="http://schemas.microsoft.com/office/drawing/2014/main" xmlns="" id="{2E8A5E94-3FF8-43E7-858E-D095099B3D4F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146" name="Text Box 2837">
          <a:extLst>
            <a:ext uri="{FF2B5EF4-FFF2-40B4-BE49-F238E27FC236}">
              <a16:creationId xmlns:a16="http://schemas.microsoft.com/office/drawing/2014/main" xmlns="" id="{286D6524-3EA9-490E-864F-62B8A83C670D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147" name="Text Box 2838">
          <a:extLst>
            <a:ext uri="{FF2B5EF4-FFF2-40B4-BE49-F238E27FC236}">
              <a16:creationId xmlns:a16="http://schemas.microsoft.com/office/drawing/2014/main" xmlns="" id="{E3234194-8955-43FC-8249-F4B2E6D40E54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148" name="Text Box 2839">
          <a:extLst>
            <a:ext uri="{FF2B5EF4-FFF2-40B4-BE49-F238E27FC236}">
              <a16:creationId xmlns:a16="http://schemas.microsoft.com/office/drawing/2014/main" xmlns="" id="{7330BA7C-F3F4-4E2C-81B5-99640E480AD3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149" name="Text Box 2840">
          <a:extLst>
            <a:ext uri="{FF2B5EF4-FFF2-40B4-BE49-F238E27FC236}">
              <a16:creationId xmlns:a16="http://schemas.microsoft.com/office/drawing/2014/main" xmlns="" id="{12C67184-BA27-4824-BF55-7B3B1594ABA8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150" name="Text Box 2841">
          <a:extLst>
            <a:ext uri="{FF2B5EF4-FFF2-40B4-BE49-F238E27FC236}">
              <a16:creationId xmlns:a16="http://schemas.microsoft.com/office/drawing/2014/main" xmlns="" id="{607327DE-44D9-4607-BF38-663FE809C8A0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151" name="Text Box 2842">
          <a:extLst>
            <a:ext uri="{FF2B5EF4-FFF2-40B4-BE49-F238E27FC236}">
              <a16:creationId xmlns:a16="http://schemas.microsoft.com/office/drawing/2014/main" xmlns="" id="{FA110BD5-4DE6-40D1-9018-6ABB10B298F2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152" name="Text Box 2843">
          <a:extLst>
            <a:ext uri="{FF2B5EF4-FFF2-40B4-BE49-F238E27FC236}">
              <a16:creationId xmlns:a16="http://schemas.microsoft.com/office/drawing/2014/main" xmlns="" id="{50FB5462-C1B3-412C-A9E2-42F7747EA5B0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153" name="Text Box 2844">
          <a:extLst>
            <a:ext uri="{FF2B5EF4-FFF2-40B4-BE49-F238E27FC236}">
              <a16:creationId xmlns:a16="http://schemas.microsoft.com/office/drawing/2014/main" xmlns="" id="{C984CEA4-A76A-483B-8A2C-10E648C4ECA7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154" name="Text Box 2845">
          <a:extLst>
            <a:ext uri="{FF2B5EF4-FFF2-40B4-BE49-F238E27FC236}">
              <a16:creationId xmlns:a16="http://schemas.microsoft.com/office/drawing/2014/main" xmlns="" id="{932002EF-6E53-4BAF-897F-DD5E34E7A297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155" name="Text Box 2846">
          <a:extLst>
            <a:ext uri="{FF2B5EF4-FFF2-40B4-BE49-F238E27FC236}">
              <a16:creationId xmlns:a16="http://schemas.microsoft.com/office/drawing/2014/main" xmlns="" id="{F43B0A6E-017C-43B3-BC7B-61C2E4BC0000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156" name="Text Box 2847">
          <a:extLst>
            <a:ext uri="{FF2B5EF4-FFF2-40B4-BE49-F238E27FC236}">
              <a16:creationId xmlns:a16="http://schemas.microsoft.com/office/drawing/2014/main" xmlns="" id="{0AB39FC7-F8D3-41DE-9B38-9CAF1F2697FD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157" name="Text Box 2848">
          <a:extLst>
            <a:ext uri="{FF2B5EF4-FFF2-40B4-BE49-F238E27FC236}">
              <a16:creationId xmlns:a16="http://schemas.microsoft.com/office/drawing/2014/main" xmlns="" id="{C1378A31-BC8C-484D-B127-126258EB75F0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158" name="Text Box 2849">
          <a:extLst>
            <a:ext uri="{FF2B5EF4-FFF2-40B4-BE49-F238E27FC236}">
              <a16:creationId xmlns:a16="http://schemas.microsoft.com/office/drawing/2014/main" xmlns="" id="{6AFA5473-C729-478B-B667-6B02E3F69664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159" name="Text Box 2850">
          <a:extLst>
            <a:ext uri="{FF2B5EF4-FFF2-40B4-BE49-F238E27FC236}">
              <a16:creationId xmlns:a16="http://schemas.microsoft.com/office/drawing/2014/main" xmlns="" id="{45869BC8-3D71-4B26-8E71-892DECDA9158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160" name="Text Box 2851">
          <a:extLst>
            <a:ext uri="{FF2B5EF4-FFF2-40B4-BE49-F238E27FC236}">
              <a16:creationId xmlns:a16="http://schemas.microsoft.com/office/drawing/2014/main" xmlns="" id="{CB877FCB-5CFA-4C19-A4AD-2FC308A80058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161" name="Text Box 2852">
          <a:extLst>
            <a:ext uri="{FF2B5EF4-FFF2-40B4-BE49-F238E27FC236}">
              <a16:creationId xmlns:a16="http://schemas.microsoft.com/office/drawing/2014/main" xmlns="" id="{F3431E0C-3B15-458E-8A59-B159F5232FA9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162" name="Text Box 2853">
          <a:extLst>
            <a:ext uri="{FF2B5EF4-FFF2-40B4-BE49-F238E27FC236}">
              <a16:creationId xmlns:a16="http://schemas.microsoft.com/office/drawing/2014/main" xmlns="" id="{F3852D7A-781C-45ED-A92B-2FFD2B67C5BD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163" name="Text Box 2854">
          <a:extLst>
            <a:ext uri="{FF2B5EF4-FFF2-40B4-BE49-F238E27FC236}">
              <a16:creationId xmlns:a16="http://schemas.microsoft.com/office/drawing/2014/main" xmlns="" id="{074DEE2A-52C1-47AF-87C2-240F2C8DF41A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164" name="Text Box 2855">
          <a:extLst>
            <a:ext uri="{FF2B5EF4-FFF2-40B4-BE49-F238E27FC236}">
              <a16:creationId xmlns:a16="http://schemas.microsoft.com/office/drawing/2014/main" xmlns="" id="{6EDC8EA1-E250-47B5-B160-1C9FD2B99427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165" name="Text Box 2856">
          <a:extLst>
            <a:ext uri="{FF2B5EF4-FFF2-40B4-BE49-F238E27FC236}">
              <a16:creationId xmlns:a16="http://schemas.microsoft.com/office/drawing/2014/main" xmlns="" id="{38AFE51D-6083-49F0-A055-3D2E8CA2933C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166" name="Text Box 2857">
          <a:extLst>
            <a:ext uri="{FF2B5EF4-FFF2-40B4-BE49-F238E27FC236}">
              <a16:creationId xmlns:a16="http://schemas.microsoft.com/office/drawing/2014/main" xmlns="" id="{61D51362-1101-463E-A386-E2BCAA1FBF51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167" name="Text Box 2858">
          <a:extLst>
            <a:ext uri="{FF2B5EF4-FFF2-40B4-BE49-F238E27FC236}">
              <a16:creationId xmlns:a16="http://schemas.microsoft.com/office/drawing/2014/main" xmlns="" id="{12A77F8A-C0E9-41D9-BABB-20BBD46D9AB5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168" name="Text Box 2859">
          <a:extLst>
            <a:ext uri="{FF2B5EF4-FFF2-40B4-BE49-F238E27FC236}">
              <a16:creationId xmlns:a16="http://schemas.microsoft.com/office/drawing/2014/main" xmlns="" id="{0F60D212-11EE-4ABE-8BC0-24FC7FCD3E3C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169" name="Text Box 2860">
          <a:extLst>
            <a:ext uri="{FF2B5EF4-FFF2-40B4-BE49-F238E27FC236}">
              <a16:creationId xmlns:a16="http://schemas.microsoft.com/office/drawing/2014/main" xmlns="" id="{52A7F366-6236-4873-91A4-CD21FC4441AD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170" name="Text Box 2861">
          <a:extLst>
            <a:ext uri="{FF2B5EF4-FFF2-40B4-BE49-F238E27FC236}">
              <a16:creationId xmlns:a16="http://schemas.microsoft.com/office/drawing/2014/main" xmlns="" id="{F6387856-0D5F-4517-BE59-241BCB652FF3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171" name="Text Box 2862">
          <a:extLst>
            <a:ext uri="{FF2B5EF4-FFF2-40B4-BE49-F238E27FC236}">
              <a16:creationId xmlns:a16="http://schemas.microsoft.com/office/drawing/2014/main" xmlns="" id="{3FC99F6F-6307-4FC4-B491-46B1F00C7969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172" name="Text Box 2863">
          <a:extLst>
            <a:ext uri="{FF2B5EF4-FFF2-40B4-BE49-F238E27FC236}">
              <a16:creationId xmlns:a16="http://schemas.microsoft.com/office/drawing/2014/main" xmlns="" id="{5A10490F-7BF2-42DD-B6EC-B44D7E72FA90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173" name="Text Box 2864">
          <a:extLst>
            <a:ext uri="{FF2B5EF4-FFF2-40B4-BE49-F238E27FC236}">
              <a16:creationId xmlns:a16="http://schemas.microsoft.com/office/drawing/2014/main" xmlns="" id="{69F168C7-4B89-4898-BE60-71F2E32ECA4A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174" name="Text Box 2865">
          <a:extLst>
            <a:ext uri="{FF2B5EF4-FFF2-40B4-BE49-F238E27FC236}">
              <a16:creationId xmlns:a16="http://schemas.microsoft.com/office/drawing/2014/main" xmlns="" id="{410EEC76-AB2A-40CB-B3F3-D86833A33D39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175" name="Text Box 2866">
          <a:extLst>
            <a:ext uri="{FF2B5EF4-FFF2-40B4-BE49-F238E27FC236}">
              <a16:creationId xmlns:a16="http://schemas.microsoft.com/office/drawing/2014/main" xmlns="" id="{D2B27AED-AE21-48D9-98AD-412E25D0207C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176" name="Text Box 2867">
          <a:extLst>
            <a:ext uri="{FF2B5EF4-FFF2-40B4-BE49-F238E27FC236}">
              <a16:creationId xmlns:a16="http://schemas.microsoft.com/office/drawing/2014/main" xmlns="" id="{5D8902A4-302E-47FB-A004-C7FFB92C5AB4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177" name="Text Box 2868">
          <a:extLst>
            <a:ext uri="{FF2B5EF4-FFF2-40B4-BE49-F238E27FC236}">
              <a16:creationId xmlns:a16="http://schemas.microsoft.com/office/drawing/2014/main" xmlns="" id="{852EE62C-19D4-4CF0-9FDC-A1AB1BB09BBC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178" name="Text Box 2869">
          <a:extLst>
            <a:ext uri="{FF2B5EF4-FFF2-40B4-BE49-F238E27FC236}">
              <a16:creationId xmlns:a16="http://schemas.microsoft.com/office/drawing/2014/main" xmlns="" id="{601E8BCC-D192-43A7-9905-4A9600A26516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179" name="Text Box 2870">
          <a:extLst>
            <a:ext uri="{FF2B5EF4-FFF2-40B4-BE49-F238E27FC236}">
              <a16:creationId xmlns:a16="http://schemas.microsoft.com/office/drawing/2014/main" xmlns="" id="{D7C0B2CB-25C6-42C9-8299-B7E72DED357A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180" name="Text Box 2871">
          <a:extLst>
            <a:ext uri="{FF2B5EF4-FFF2-40B4-BE49-F238E27FC236}">
              <a16:creationId xmlns:a16="http://schemas.microsoft.com/office/drawing/2014/main" xmlns="" id="{14165356-39C1-46D5-A4A6-DAAA085D108D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181" name="Text Box 2872">
          <a:extLst>
            <a:ext uri="{FF2B5EF4-FFF2-40B4-BE49-F238E27FC236}">
              <a16:creationId xmlns:a16="http://schemas.microsoft.com/office/drawing/2014/main" xmlns="" id="{3972CB8A-2023-45EF-B299-BC83113AE3FA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182" name="Text Box 2873">
          <a:extLst>
            <a:ext uri="{FF2B5EF4-FFF2-40B4-BE49-F238E27FC236}">
              <a16:creationId xmlns:a16="http://schemas.microsoft.com/office/drawing/2014/main" xmlns="" id="{B2ECE8E7-1942-4EC1-B12E-9DB901FA0DEA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183" name="Text Box 2874">
          <a:extLst>
            <a:ext uri="{FF2B5EF4-FFF2-40B4-BE49-F238E27FC236}">
              <a16:creationId xmlns:a16="http://schemas.microsoft.com/office/drawing/2014/main" xmlns="" id="{6C5CBD33-A53E-44AE-888B-F9A3FE6281C1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184" name="Text Box 2875">
          <a:extLst>
            <a:ext uri="{FF2B5EF4-FFF2-40B4-BE49-F238E27FC236}">
              <a16:creationId xmlns:a16="http://schemas.microsoft.com/office/drawing/2014/main" xmlns="" id="{7B891D1D-68CC-470F-820D-897FCD633DBB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185" name="Text Box 2876">
          <a:extLst>
            <a:ext uri="{FF2B5EF4-FFF2-40B4-BE49-F238E27FC236}">
              <a16:creationId xmlns:a16="http://schemas.microsoft.com/office/drawing/2014/main" xmlns="" id="{193517EC-BEF3-4AE7-8F8D-E365D01BAF14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186" name="Text Box 2877">
          <a:extLst>
            <a:ext uri="{FF2B5EF4-FFF2-40B4-BE49-F238E27FC236}">
              <a16:creationId xmlns:a16="http://schemas.microsoft.com/office/drawing/2014/main" xmlns="" id="{D35FE78F-24D2-485F-83E2-9176773F8691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187" name="Text Box 2878">
          <a:extLst>
            <a:ext uri="{FF2B5EF4-FFF2-40B4-BE49-F238E27FC236}">
              <a16:creationId xmlns:a16="http://schemas.microsoft.com/office/drawing/2014/main" xmlns="" id="{B82332AA-7869-41DA-9B47-E75EA2100E4A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188" name="Text Box 2879">
          <a:extLst>
            <a:ext uri="{FF2B5EF4-FFF2-40B4-BE49-F238E27FC236}">
              <a16:creationId xmlns:a16="http://schemas.microsoft.com/office/drawing/2014/main" xmlns="" id="{B65C7643-2A26-4684-B220-9F98AD6E84F2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189" name="Text Box 2880">
          <a:extLst>
            <a:ext uri="{FF2B5EF4-FFF2-40B4-BE49-F238E27FC236}">
              <a16:creationId xmlns:a16="http://schemas.microsoft.com/office/drawing/2014/main" xmlns="" id="{84ED2551-7227-41DF-A095-891B48DC24D4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190" name="Text Box 2881">
          <a:extLst>
            <a:ext uri="{FF2B5EF4-FFF2-40B4-BE49-F238E27FC236}">
              <a16:creationId xmlns:a16="http://schemas.microsoft.com/office/drawing/2014/main" xmlns="" id="{BE2551FD-DB3A-4DB2-B4CF-5B01D1FAA438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191" name="Text Box 2882">
          <a:extLst>
            <a:ext uri="{FF2B5EF4-FFF2-40B4-BE49-F238E27FC236}">
              <a16:creationId xmlns:a16="http://schemas.microsoft.com/office/drawing/2014/main" xmlns="" id="{C26E7E0F-66A7-44E0-9E1D-541574A30755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192" name="Text Box 2883">
          <a:extLst>
            <a:ext uri="{FF2B5EF4-FFF2-40B4-BE49-F238E27FC236}">
              <a16:creationId xmlns:a16="http://schemas.microsoft.com/office/drawing/2014/main" xmlns="" id="{7395E873-3E67-4EC6-AFDB-E7F15DAEEA28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193" name="Text Box 2884">
          <a:extLst>
            <a:ext uri="{FF2B5EF4-FFF2-40B4-BE49-F238E27FC236}">
              <a16:creationId xmlns:a16="http://schemas.microsoft.com/office/drawing/2014/main" xmlns="" id="{6827F6DA-CF99-473C-B55A-2F1DE2788737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194" name="Text Box 2885">
          <a:extLst>
            <a:ext uri="{FF2B5EF4-FFF2-40B4-BE49-F238E27FC236}">
              <a16:creationId xmlns:a16="http://schemas.microsoft.com/office/drawing/2014/main" xmlns="" id="{01EC283E-446D-4342-896A-4DE768C177F0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195" name="Text Box 2886">
          <a:extLst>
            <a:ext uri="{FF2B5EF4-FFF2-40B4-BE49-F238E27FC236}">
              <a16:creationId xmlns:a16="http://schemas.microsoft.com/office/drawing/2014/main" xmlns="" id="{144BE263-5E08-4C99-A151-C647A4C1A43F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196" name="Text Box 2887">
          <a:extLst>
            <a:ext uri="{FF2B5EF4-FFF2-40B4-BE49-F238E27FC236}">
              <a16:creationId xmlns:a16="http://schemas.microsoft.com/office/drawing/2014/main" xmlns="" id="{E4029A14-D7EF-4663-8FB4-E0C247A150B5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197" name="Text Box 2888">
          <a:extLst>
            <a:ext uri="{FF2B5EF4-FFF2-40B4-BE49-F238E27FC236}">
              <a16:creationId xmlns:a16="http://schemas.microsoft.com/office/drawing/2014/main" xmlns="" id="{82B66D9D-0162-4319-96D3-7E4CFA7F66B5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198" name="Text Box 2889">
          <a:extLst>
            <a:ext uri="{FF2B5EF4-FFF2-40B4-BE49-F238E27FC236}">
              <a16:creationId xmlns:a16="http://schemas.microsoft.com/office/drawing/2014/main" xmlns="" id="{01901943-9909-4AEA-815C-999BA087BDDC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4199" name="Text Box 2890">
          <a:extLst>
            <a:ext uri="{FF2B5EF4-FFF2-40B4-BE49-F238E27FC236}">
              <a16:creationId xmlns:a16="http://schemas.microsoft.com/office/drawing/2014/main" xmlns="" id="{5268E9D3-E2D2-463B-94A3-BF1D5150733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4200" name="Text Box 2891">
          <a:extLst>
            <a:ext uri="{FF2B5EF4-FFF2-40B4-BE49-F238E27FC236}">
              <a16:creationId xmlns:a16="http://schemas.microsoft.com/office/drawing/2014/main" xmlns="" id="{8F6E9D0F-657F-4263-A205-C2B2CFA23C0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4201" name="Text Box 2892">
          <a:extLst>
            <a:ext uri="{FF2B5EF4-FFF2-40B4-BE49-F238E27FC236}">
              <a16:creationId xmlns:a16="http://schemas.microsoft.com/office/drawing/2014/main" xmlns="" id="{3F8FCCE4-4A95-4E75-AE88-38B072FED22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4202" name="Text Box 2893">
          <a:extLst>
            <a:ext uri="{FF2B5EF4-FFF2-40B4-BE49-F238E27FC236}">
              <a16:creationId xmlns:a16="http://schemas.microsoft.com/office/drawing/2014/main" xmlns="" id="{89EC3E28-2350-47FA-B22E-330414466571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4203" name="Text Box 2894">
          <a:extLst>
            <a:ext uri="{FF2B5EF4-FFF2-40B4-BE49-F238E27FC236}">
              <a16:creationId xmlns:a16="http://schemas.microsoft.com/office/drawing/2014/main" xmlns="" id="{13BA0CB1-ACF4-4E9E-AA47-099D223C502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4204" name="Text Box 2895">
          <a:extLst>
            <a:ext uri="{FF2B5EF4-FFF2-40B4-BE49-F238E27FC236}">
              <a16:creationId xmlns:a16="http://schemas.microsoft.com/office/drawing/2014/main" xmlns="" id="{1DFC061D-8BD6-4EBD-BFCC-EA46EEC80CA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4205" name="Text Box 2896">
          <a:extLst>
            <a:ext uri="{FF2B5EF4-FFF2-40B4-BE49-F238E27FC236}">
              <a16:creationId xmlns:a16="http://schemas.microsoft.com/office/drawing/2014/main" xmlns="" id="{1F1DABE1-9E36-441B-ADD7-8027BAEDF49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4206" name="Text Box 2897">
          <a:extLst>
            <a:ext uri="{FF2B5EF4-FFF2-40B4-BE49-F238E27FC236}">
              <a16:creationId xmlns:a16="http://schemas.microsoft.com/office/drawing/2014/main" xmlns="" id="{C1793C0B-A772-4565-A7DC-82E62C9F6EC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4207" name="Text Box 2898">
          <a:extLst>
            <a:ext uri="{FF2B5EF4-FFF2-40B4-BE49-F238E27FC236}">
              <a16:creationId xmlns:a16="http://schemas.microsoft.com/office/drawing/2014/main" xmlns="" id="{664A52A6-6CB0-4E35-9E44-0D8E898210D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4208" name="Text Box 2899">
          <a:extLst>
            <a:ext uri="{FF2B5EF4-FFF2-40B4-BE49-F238E27FC236}">
              <a16:creationId xmlns:a16="http://schemas.microsoft.com/office/drawing/2014/main" xmlns="" id="{582D4D82-308F-43A7-BA46-90266FF0DD4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4209" name="Text Box 2900">
          <a:extLst>
            <a:ext uri="{FF2B5EF4-FFF2-40B4-BE49-F238E27FC236}">
              <a16:creationId xmlns:a16="http://schemas.microsoft.com/office/drawing/2014/main" xmlns="" id="{5DB0F52C-3D04-41C7-B335-03D7B3E33F4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4210" name="Text Box 2901">
          <a:extLst>
            <a:ext uri="{FF2B5EF4-FFF2-40B4-BE49-F238E27FC236}">
              <a16:creationId xmlns:a16="http://schemas.microsoft.com/office/drawing/2014/main" xmlns="" id="{0135970C-59BA-46A9-9CB0-76670FFA929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4211" name="Text Box 2902">
          <a:extLst>
            <a:ext uri="{FF2B5EF4-FFF2-40B4-BE49-F238E27FC236}">
              <a16:creationId xmlns:a16="http://schemas.microsoft.com/office/drawing/2014/main" xmlns="" id="{8CDCE74F-2B2A-4282-B8F2-702321F4C5B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4212" name="Text Box 2903">
          <a:extLst>
            <a:ext uri="{FF2B5EF4-FFF2-40B4-BE49-F238E27FC236}">
              <a16:creationId xmlns:a16="http://schemas.microsoft.com/office/drawing/2014/main" xmlns="" id="{EB939B6A-0201-4C00-8754-2E5851E8177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4213" name="Text Box 2904">
          <a:extLst>
            <a:ext uri="{FF2B5EF4-FFF2-40B4-BE49-F238E27FC236}">
              <a16:creationId xmlns:a16="http://schemas.microsoft.com/office/drawing/2014/main" xmlns="" id="{ADC676B3-CC5C-48AD-8FCB-68B05842F17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4214" name="Text Box 2905">
          <a:extLst>
            <a:ext uri="{FF2B5EF4-FFF2-40B4-BE49-F238E27FC236}">
              <a16:creationId xmlns:a16="http://schemas.microsoft.com/office/drawing/2014/main" xmlns="" id="{415E5FDF-A5D1-4D25-B068-3B5569068C3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4215" name="Text Box 2906">
          <a:extLst>
            <a:ext uri="{FF2B5EF4-FFF2-40B4-BE49-F238E27FC236}">
              <a16:creationId xmlns:a16="http://schemas.microsoft.com/office/drawing/2014/main" xmlns="" id="{3993C94D-009E-4F40-B79F-F0A8AD18403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4216" name="Text Box 2907">
          <a:extLst>
            <a:ext uri="{FF2B5EF4-FFF2-40B4-BE49-F238E27FC236}">
              <a16:creationId xmlns:a16="http://schemas.microsoft.com/office/drawing/2014/main" xmlns="" id="{E8A25211-25BB-40F4-8AEA-F5AD3363735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4217" name="Text Box 2908">
          <a:extLst>
            <a:ext uri="{FF2B5EF4-FFF2-40B4-BE49-F238E27FC236}">
              <a16:creationId xmlns:a16="http://schemas.microsoft.com/office/drawing/2014/main" xmlns="" id="{059FC5EC-49BA-4316-8ADD-06B8A6206F5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4218" name="Text Box 2909">
          <a:extLst>
            <a:ext uri="{FF2B5EF4-FFF2-40B4-BE49-F238E27FC236}">
              <a16:creationId xmlns:a16="http://schemas.microsoft.com/office/drawing/2014/main" xmlns="" id="{8A3B134F-B112-44EE-A1AD-FE3B95B04CC1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4219" name="Text Box 2910">
          <a:extLst>
            <a:ext uri="{FF2B5EF4-FFF2-40B4-BE49-F238E27FC236}">
              <a16:creationId xmlns:a16="http://schemas.microsoft.com/office/drawing/2014/main" xmlns="" id="{E4559651-59F3-4FC8-8EC6-82CC3F05BA2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4220" name="Text Box 2911">
          <a:extLst>
            <a:ext uri="{FF2B5EF4-FFF2-40B4-BE49-F238E27FC236}">
              <a16:creationId xmlns:a16="http://schemas.microsoft.com/office/drawing/2014/main" xmlns="" id="{9E076E9F-140F-4ECE-9C08-35E4262F194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4221" name="Text Box 2912">
          <a:extLst>
            <a:ext uri="{FF2B5EF4-FFF2-40B4-BE49-F238E27FC236}">
              <a16:creationId xmlns:a16="http://schemas.microsoft.com/office/drawing/2014/main" xmlns="" id="{0D34FEA8-FEE7-4DC2-9A27-3434872A757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4222" name="Text Box 2913">
          <a:extLst>
            <a:ext uri="{FF2B5EF4-FFF2-40B4-BE49-F238E27FC236}">
              <a16:creationId xmlns:a16="http://schemas.microsoft.com/office/drawing/2014/main" xmlns="" id="{75987804-14A9-48E3-8FBD-FA56D78B724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4223" name="Text Box 2914">
          <a:extLst>
            <a:ext uri="{FF2B5EF4-FFF2-40B4-BE49-F238E27FC236}">
              <a16:creationId xmlns:a16="http://schemas.microsoft.com/office/drawing/2014/main" xmlns="" id="{597194C6-9D98-45FD-93EB-CB458FBB8C9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4224" name="Text Box 2915">
          <a:extLst>
            <a:ext uri="{FF2B5EF4-FFF2-40B4-BE49-F238E27FC236}">
              <a16:creationId xmlns:a16="http://schemas.microsoft.com/office/drawing/2014/main" xmlns="" id="{5BA01C72-9384-4EA5-AA42-3A194D5257D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4225" name="Text Box 2916">
          <a:extLst>
            <a:ext uri="{FF2B5EF4-FFF2-40B4-BE49-F238E27FC236}">
              <a16:creationId xmlns:a16="http://schemas.microsoft.com/office/drawing/2014/main" xmlns="" id="{0D6C426F-F182-4D96-B140-1BCB8C08532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4226" name="Text Box 2917">
          <a:extLst>
            <a:ext uri="{FF2B5EF4-FFF2-40B4-BE49-F238E27FC236}">
              <a16:creationId xmlns:a16="http://schemas.microsoft.com/office/drawing/2014/main" xmlns="" id="{A6ADCDBA-F48F-49D3-A891-0AE6DE1D056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4227" name="Text Box 2918">
          <a:extLst>
            <a:ext uri="{FF2B5EF4-FFF2-40B4-BE49-F238E27FC236}">
              <a16:creationId xmlns:a16="http://schemas.microsoft.com/office/drawing/2014/main" xmlns="" id="{C651621F-DE09-4AD1-9F8C-A98486C8773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4228" name="Text Box 2919">
          <a:extLst>
            <a:ext uri="{FF2B5EF4-FFF2-40B4-BE49-F238E27FC236}">
              <a16:creationId xmlns:a16="http://schemas.microsoft.com/office/drawing/2014/main" xmlns="" id="{5B46BBA1-8855-411F-982C-B79F9E57B52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4229" name="Text Box 2920">
          <a:extLst>
            <a:ext uri="{FF2B5EF4-FFF2-40B4-BE49-F238E27FC236}">
              <a16:creationId xmlns:a16="http://schemas.microsoft.com/office/drawing/2014/main" xmlns="" id="{D3345940-48AE-4674-9F80-74031DF7CB4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4230" name="Text Box 2921">
          <a:extLst>
            <a:ext uri="{FF2B5EF4-FFF2-40B4-BE49-F238E27FC236}">
              <a16:creationId xmlns:a16="http://schemas.microsoft.com/office/drawing/2014/main" xmlns="" id="{7C8B91FB-87ED-413B-8653-54CBDEA96B5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4231" name="Text Box 2922">
          <a:extLst>
            <a:ext uri="{FF2B5EF4-FFF2-40B4-BE49-F238E27FC236}">
              <a16:creationId xmlns:a16="http://schemas.microsoft.com/office/drawing/2014/main" xmlns="" id="{D0456B77-5218-4166-83A9-BBF69C72427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4232" name="Text Box 2923">
          <a:extLst>
            <a:ext uri="{FF2B5EF4-FFF2-40B4-BE49-F238E27FC236}">
              <a16:creationId xmlns:a16="http://schemas.microsoft.com/office/drawing/2014/main" xmlns="" id="{35788877-EF33-40C8-991A-4F9D15B13D2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4233" name="Text Box 2924">
          <a:extLst>
            <a:ext uri="{FF2B5EF4-FFF2-40B4-BE49-F238E27FC236}">
              <a16:creationId xmlns:a16="http://schemas.microsoft.com/office/drawing/2014/main" xmlns="" id="{ED945B19-4719-4A4D-836C-E5F91448156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4234" name="Text Box 2925">
          <a:extLst>
            <a:ext uri="{FF2B5EF4-FFF2-40B4-BE49-F238E27FC236}">
              <a16:creationId xmlns:a16="http://schemas.microsoft.com/office/drawing/2014/main" xmlns="" id="{69214852-D165-444E-ADAD-9DE87CAFD5E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4235" name="Text Box 2926">
          <a:extLst>
            <a:ext uri="{FF2B5EF4-FFF2-40B4-BE49-F238E27FC236}">
              <a16:creationId xmlns:a16="http://schemas.microsoft.com/office/drawing/2014/main" xmlns="" id="{9775C363-46F2-4FD6-A4FB-7288A312797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4236" name="Text Box 2927">
          <a:extLst>
            <a:ext uri="{FF2B5EF4-FFF2-40B4-BE49-F238E27FC236}">
              <a16:creationId xmlns:a16="http://schemas.microsoft.com/office/drawing/2014/main" xmlns="" id="{81CFAEB8-9E76-43E7-8EB5-59E0390ED1F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4237" name="Text Box 2928">
          <a:extLst>
            <a:ext uri="{FF2B5EF4-FFF2-40B4-BE49-F238E27FC236}">
              <a16:creationId xmlns:a16="http://schemas.microsoft.com/office/drawing/2014/main" xmlns="" id="{1BDA5806-A8CD-46A8-8DCB-247DD27D3B0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4238" name="Text Box 2929">
          <a:extLst>
            <a:ext uri="{FF2B5EF4-FFF2-40B4-BE49-F238E27FC236}">
              <a16:creationId xmlns:a16="http://schemas.microsoft.com/office/drawing/2014/main" xmlns="" id="{14B5FE22-9922-47C3-A649-6530F621907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4239" name="Text Box 2930">
          <a:extLst>
            <a:ext uri="{FF2B5EF4-FFF2-40B4-BE49-F238E27FC236}">
              <a16:creationId xmlns:a16="http://schemas.microsoft.com/office/drawing/2014/main" xmlns="" id="{0BEABDAA-05D3-410E-9E46-5CAAE408E49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4240" name="Text Box 2931">
          <a:extLst>
            <a:ext uri="{FF2B5EF4-FFF2-40B4-BE49-F238E27FC236}">
              <a16:creationId xmlns:a16="http://schemas.microsoft.com/office/drawing/2014/main" xmlns="" id="{9C48C783-7F2C-4EFC-9A4C-DCF066153F5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4241" name="Text Box 2932">
          <a:extLst>
            <a:ext uri="{FF2B5EF4-FFF2-40B4-BE49-F238E27FC236}">
              <a16:creationId xmlns:a16="http://schemas.microsoft.com/office/drawing/2014/main" xmlns="" id="{3919674F-C2F6-46FB-91BA-42FEBBA94D7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4242" name="Text Box 2933">
          <a:extLst>
            <a:ext uri="{FF2B5EF4-FFF2-40B4-BE49-F238E27FC236}">
              <a16:creationId xmlns:a16="http://schemas.microsoft.com/office/drawing/2014/main" xmlns="" id="{3D711DEE-77B4-4A8B-8EC4-2A735AF30AB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4243" name="Text Box 2934">
          <a:extLst>
            <a:ext uri="{FF2B5EF4-FFF2-40B4-BE49-F238E27FC236}">
              <a16:creationId xmlns:a16="http://schemas.microsoft.com/office/drawing/2014/main" xmlns="" id="{F13B02B8-0006-4520-900C-372E75ADBE5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4244" name="Text Box 2935">
          <a:extLst>
            <a:ext uri="{FF2B5EF4-FFF2-40B4-BE49-F238E27FC236}">
              <a16:creationId xmlns:a16="http://schemas.microsoft.com/office/drawing/2014/main" xmlns="" id="{2F54E2E3-93CE-431B-BFA0-8B2F4CB6A69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4245" name="Text Box 2936">
          <a:extLst>
            <a:ext uri="{FF2B5EF4-FFF2-40B4-BE49-F238E27FC236}">
              <a16:creationId xmlns:a16="http://schemas.microsoft.com/office/drawing/2014/main" xmlns="" id="{3AED97EA-0DB8-489A-8BF3-707A1BBE6D7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4246" name="Text Box 2937">
          <a:extLst>
            <a:ext uri="{FF2B5EF4-FFF2-40B4-BE49-F238E27FC236}">
              <a16:creationId xmlns:a16="http://schemas.microsoft.com/office/drawing/2014/main" xmlns="" id="{F20D0CB2-9EC3-42E3-9B34-71926CEC201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4247" name="Text Box 2938">
          <a:extLst>
            <a:ext uri="{FF2B5EF4-FFF2-40B4-BE49-F238E27FC236}">
              <a16:creationId xmlns:a16="http://schemas.microsoft.com/office/drawing/2014/main" xmlns="" id="{D5DE3700-0D65-4697-93F4-B9DDE03F58A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4248" name="Text Box 2939">
          <a:extLst>
            <a:ext uri="{FF2B5EF4-FFF2-40B4-BE49-F238E27FC236}">
              <a16:creationId xmlns:a16="http://schemas.microsoft.com/office/drawing/2014/main" xmlns="" id="{AB652D42-0CE2-4375-9B81-A6C0275463D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249" name="Text Box 2940">
          <a:extLst>
            <a:ext uri="{FF2B5EF4-FFF2-40B4-BE49-F238E27FC236}">
              <a16:creationId xmlns:a16="http://schemas.microsoft.com/office/drawing/2014/main" xmlns="" id="{3844E359-BFF6-454B-B17C-1EBAF2AF6B4B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250" name="Text Box 2941">
          <a:extLst>
            <a:ext uri="{FF2B5EF4-FFF2-40B4-BE49-F238E27FC236}">
              <a16:creationId xmlns:a16="http://schemas.microsoft.com/office/drawing/2014/main" xmlns="" id="{66338AB5-D554-4B90-88FA-A3021134E0AB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251" name="Text Box 2942">
          <a:extLst>
            <a:ext uri="{FF2B5EF4-FFF2-40B4-BE49-F238E27FC236}">
              <a16:creationId xmlns:a16="http://schemas.microsoft.com/office/drawing/2014/main" xmlns="" id="{4452F5F5-EBB2-4A7D-A4C3-15CD1584288E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252" name="Text Box 2943">
          <a:extLst>
            <a:ext uri="{FF2B5EF4-FFF2-40B4-BE49-F238E27FC236}">
              <a16:creationId xmlns:a16="http://schemas.microsoft.com/office/drawing/2014/main" xmlns="" id="{E55D97DB-6DFC-46E2-A67A-40233056FAC3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253" name="Text Box 2944">
          <a:extLst>
            <a:ext uri="{FF2B5EF4-FFF2-40B4-BE49-F238E27FC236}">
              <a16:creationId xmlns:a16="http://schemas.microsoft.com/office/drawing/2014/main" xmlns="" id="{3A7835DF-4582-41B7-BD86-E58A5B375827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254" name="Text Box 2945">
          <a:extLst>
            <a:ext uri="{FF2B5EF4-FFF2-40B4-BE49-F238E27FC236}">
              <a16:creationId xmlns:a16="http://schemas.microsoft.com/office/drawing/2014/main" xmlns="" id="{7D33CC30-7AE7-44DB-BDDD-72860707E116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255" name="Text Box 2946">
          <a:extLst>
            <a:ext uri="{FF2B5EF4-FFF2-40B4-BE49-F238E27FC236}">
              <a16:creationId xmlns:a16="http://schemas.microsoft.com/office/drawing/2014/main" xmlns="" id="{5AC19CE1-7C29-4844-9355-767556E05512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256" name="Text Box 2947">
          <a:extLst>
            <a:ext uri="{FF2B5EF4-FFF2-40B4-BE49-F238E27FC236}">
              <a16:creationId xmlns:a16="http://schemas.microsoft.com/office/drawing/2014/main" xmlns="" id="{EE5963B9-74BC-4EC6-943F-0D2E46473584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257" name="Text Box 2948">
          <a:extLst>
            <a:ext uri="{FF2B5EF4-FFF2-40B4-BE49-F238E27FC236}">
              <a16:creationId xmlns:a16="http://schemas.microsoft.com/office/drawing/2014/main" xmlns="" id="{D883F04B-FB4E-4B4E-97F3-7B8FBC8D3F23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258" name="Text Box 2949">
          <a:extLst>
            <a:ext uri="{FF2B5EF4-FFF2-40B4-BE49-F238E27FC236}">
              <a16:creationId xmlns:a16="http://schemas.microsoft.com/office/drawing/2014/main" xmlns="" id="{77169CA2-B213-478A-AC4A-550150622AAA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259" name="Text Box 2950">
          <a:extLst>
            <a:ext uri="{FF2B5EF4-FFF2-40B4-BE49-F238E27FC236}">
              <a16:creationId xmlns:a16="http://schemas.microsoft.com/office/drawing/2014/main" xmlns="" id="{177AA60C-35F6-4F0C-A0FF-78D79D96273E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260" name="Text Box 2951">
          <a:extLst>
            <a:ext uri="{FF2B5EF4-FFF2-40B4-BE49-F238E27FC236}">
              <a16:creationId xmlns:a16="http://schemas.microsoft.com/office/drawing/2014/main" xmlns="" id="{92045F15-8F07-40BD-B1DE-0A9FA62FD17E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261" name="Text Box 2952">
          <a:extLst>
            <a:ext uri="{FF2B5EF4-FFF2-40B4-BE49-F238E27FC236}">
              <a16:creationId xmlns:a16="http://schemas.microsoft.com/office/drawing/2014/main" xmlns="" id="{0C3B3091-9362-4358-8465-4562438FB869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262" name="Text Box 2953">
          <a:extLst>
            <a:ext uri="{FF2B5EF4-FFF2-40B4-BE49-F238E27FC236}">
              <a16:creationId xmlns:a16="http://schemas.microsoft.com/office/drawing/2014/main" xmlns="" id="{8848235B-5C65-48D1-B196-D68300125645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263" name="Text Box 2954">
          <a:extLst>
            <a:ext uri="{FF2B5EF4-FFF2-40B4-BE49-F238E27FC236}">
              <a16:creationId xmlns:a16="http://schemas.microsoft.com/office/drawing/2014/main" xmlns="" id="{F058C9D1-03E0-45EC-8F61-94A56E4F2942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264" name="Text Box 2955">
          <a:extLst>
            <a:ext uri="{FF2B5EF4-FFF2-40B4-BE49-F238E27FC236}">
              <a16:creationId xmlns:a16="http://schemas.microsoft.com/office/drawing/2014/main" xmlns="" id="{C0922B95-1A8F-452D-8927-E731F4EC1008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265" name="Text Box 2956">
          <a:extLst>
            <a:ext uri="{FF2B5EF4-FFF2-40B4-BE49-F238E27FC236}">
              <a16:creationId xmlns:a16="http://schemas.microsoft.com/office/drawing/2014/main" xmlns="" id="{33C78A21-9B90-4A6A-9C7A-BF1012EFC1AF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266" name="Text Box 2957">
          <a:extLst>
            <a:ext uri="{FF2B5EF4-FFF2-40B4-BE49-F238E27FC236}">
              <a16:creationId xmlns:a16="http://schemas.microsoft.com/office/drawing/2014/main" xmlns="" id="{92143FC2-F90F-4B7D-BCA8-BC32BF1D10B7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267" name="Text Box 2958">
          <a:extLst>
            <a:ext uri="{FF2B5EF4-FFF2-40B4-BE49-F238E27FC236}">
              <a16:creationId xmlns:a16="http://schemas.microsoft.com/office/drawing/2014/main" xmlns="" id="{41A3DF33-438C-4276-9E66-51C6AAB0EC6D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268" name="Text Box 2959">
          <a:extLst>
            <a:ext uri="{FF2B5EF4-FFF2-40B4-BE49-F238E27FC236}">
              <a16:creationId xmlns:a16="http://schemas.microsoft.com/office/drawing/2014/main" xmlns="" id="{589CA2FE-9299-41C2-873E-9EDA44E319E7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269" name="Text Box 2960">
          <a:extLst>
            <a:ext uri="{FF2B5EF4-FFF2-40B4-BE49-F238E27FC236}">
              <a16:creationId xmlns:a16="http://schemas.microsoft.com/office/drawing/2014/main" xmlns="" id="{518E1629-819E-46DB-8EEA-4B6E32B38F34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270" name="Text Box 2961">
          <a:extLst>
            <a:ext uri="{FF2B5EF4-FFF2-40B4-BE49-F238E27FC236}">
              <a16:creationId xmlns:a16="http://schemas.microsoft.com/office/drawing/2014/main" xmlns="" id="{97C9C08A-AFB8-4F8D-A502-7255C79450BD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271" name="Text Box 2962">
          <a:extLst>
            <a:ext uri="{FF2B5EF4-FFF2-40B4-BE49-F238E27FC236}">
              <a16:creationId xmlns:a16="http://schemas.microsoft.com/office/drawing/2014/main" xmlns="" id="{8644E7AB-E8F1-4B98-B25A-3A7D6E4D4C58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272" name="Text Box 2963">
          <a:extLst>
            <a:ext uri="{FF2B5EF4-FFF2-40B4-BE49-F238E27FC236}">
              <a16:creationId xmlns:a16="http://schemas.microsoft.com/office/drawing/2014/main" xmlns="" id="{62EFEE7E-5DDA-4145-87E2-9C5D86B3BFD1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273" name="Text Box 2964">
          <a:extLst>
            <a:ext uri="{FF2B5EF4-FFF2-40B4-BE49-F238E27FC236}">
              <a16:creationId xmlns:a16="http://schemas.microsoft.com/office/drawing/2014/main" xmlns="" id="{EA4A8B80-DB71-4DF0-8F0B-79DF8A665FB4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274" name="Text Box 2965">
          <a:extLst>
            <a:ext uri="{FF2B5EF4-FFF2-40B4-BE49-F238E27FC236}">
              <a16:creationId xmlns:a16="http://schemas.microsoft.com/office/drawing/2014/main" xmlns="" id="{2E623ABC-72B2-4CC8-B4B6-D19CA82A453D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275" name="Text Box 2966">
          <a:extLst>
            <a:ext uri="{FF2B5EF4-FFF2-40B4-BE49-F238E27FC236}">
              <a16:creationId xmlns:a16="http://schemas.microsoft.com/office/drawing/2014/main" xmlns="" id="{B89A6753-5658-4743-8764-EB6879FC7221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276" name="Text Box 2967">
          <a:extLst>
            <a:ext uri="{FF2B5EF4-FFF2-40B4-BE49-F238E27FC236}">
              <a16:creationId xmlns:a16="http://schemas.microsoft.com/office/drawing/2014/main" xmlns="" id="{2935189D-C225-4813-A0F0-5F7AB22CC84D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277" name="Text Box 2968">
          <a:extLst>
            <a:ext uri="{FF2B5EF4-FFF2-40B4-BE49-F238E27FC236}">
              <a16:creationId xmlns:a16="http://schemas.microsoft.com/office/drawing/2014/main" xmlns="" id="{13AD98BD-DFEE-43DA-8A67-94C889F6DDA9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278" name="Text Box 2969">
          <a:extLst>
            <a:ext uri="{FF2B5EF4-FFF2-40B4-BE49-F238E27FC236}">
              <a16:creationId xmlns:a16="http://schemas.microsoft.com/office/drawing/2014/main" xmlns="" id="{AD2B3E07-5BC2-4C48-BD1A-55C1B5FA6D55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279" name="Text Box 2970">
          <a:extLst>
            <a:ext uri="{FF2B5EF4-FFF2-40B4-BE49-F238E27FC236}">
              <a16:creationId xmlns:a16="http://schemas.microsoft.com/office/drawing/2014/main" xmlns="" id="{AAD48708-0324-4C98-AFAF-1226DA6F1D28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280" name="Text Box 2971">
          <a:extLst>
            <a:ext uri="{FF2B5EF4-FFF2-40B4-BE49-F238E27FC236}">
              <a16:creationId xmlns:a16="http://schemas.microsoft.com/office/drawing/2014/main" xmlns="" id="{7DF8B035-60AB-4E42-A0AF-EBFD65DEC87A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281" name="Text Box 2972">
          <a:extLst>
            <a:ext uri="{FF2B5EF4-FFF2-40B4-BE49-F238E27FC236}">
              <a16:creationId xmlns:a16="http://schemas.microsoft.com/office/drawing/2014/main" xmlns="" id="{DCA9340E-79E7-47D5-94EF-5FBC5371CD3F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282" name="Text Box 2973">
          <a:extLst>
            <a:ext uri="{FF2B5EF4-FFF2-40B4-BE49-F238E27FC236}">
              <a16:creationId xmlns:a16="http://schemas.microsoft.com/office/drawing/2014/main" xmlns="" id="{15ECD541-E51B-4BBA-AF80-44ECAEA79F45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283" name="Text Box 2974">
          <a:extLst>
            <a:ext uri="{FF2B5EF4-FFF2-40B4-BE49-F238E27FC236}">
              <a16:creationId xmlns:a16="http://schemas.microsoft.com/office/drawing/2014/main" xmlns="" id="{A34A3BCA-1B23-40FF-BC91-47F3AC8110AC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284" name="Text Box 2975">
          <a:extLst>
            <a:ext uri="{FF2B5EF4-FFF2-40B4-BE49-F238E27FC236}">
              <a16:creationId xmlns:a16="http://schemas.microsoft.com/office/drawing/2014/main" xmlns="" id="{F6795EE3-FD65-4568-A316-F4D38AA9EA2C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285" name="Text Box 2976">
          <a:extLst>
            <a:ext uri="{FF2B5EF4-FFF2-40B4-BE49-F238E27FC236}">
              <a16:creationId xmlns:a16="http://schemas.microsoft.com/office/drawing/2014/main" xmlns="" id="{0C6C54BD-1DFB-4961-982C-A608826C7B37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286" name="Text Box 2977">
          <a:extLst>
            <a:ext uri="{FF2B5EF4-FFF2-40B4-BE49-F238E27FC236}">
              <a16:creationId xmlns:a16="http://schemas.microsoft.com/office/drawing/2014/main" xmlns="" id="{F368AD71-30AD-4943-9048-161CC26E4567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287" name="Text Box 2978">
          <a:extLst>
            <a:ext uri="{FF2B5EF4-FFF2-40B4-BE49-F238E27FC236}">
              <a16:creationId xmlns:a16="http://schemas.microsoft.com/office/drawing/2014/main" xmlns="" id="{D894767C-4260-4DBC-8C2A-511EBB8A3C4A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288" name="Text Box 2979">
          <a:extLst>
            <a:ext uri="{FF2B5EF4-FFF2-40B4-BE49-F238E27FC236}">
              <a16:creationId xmlns:a16="http://schemas.microsoft.com/office/drawing/2014/main" xmlns="" id="{81EC354F-8DE0-4858-8C3D-28EDDA4BC5A3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289" name="Text Box 2980">
          <a:extLst>
            <a:ext uri="{FF2B5EF4-FFF2-40B4-BE49-F238E27FC236}">
              <a16:creationId xmlns:a16="http://schemas.microsoft.com/office/drawing/2014/main" xmlns="" id="{AF69D43D-EF73-4317-91F7-4FCA69CFA7FC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290" name="Text Box 2981">
          <a:extLst>
            <a:ext uri="{FF2B5EF4-FFF2-40B4-BE49-F238E27FC236}">
              <a16:creationId xmlns:a16="http://schemas.microsoft.com/office/drawing/2014/main" xmlns="" id="{A25E0360-FEA4-49D5-B2D7-53E3A58A497D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291" name="Text Box 2982">
          <a:extLst>
            <a:ext uri="{FF2B5EF4-FFF2-40B4-BE49-F238E27FC236}">
              <a16:creationId xmlns:a16="http://schemas.microsoft.com/office/drawing/2014/main" xmlns="" id="{89F1379F-BC9B-4DEF-B468-A0BAA6C4B163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292" name="Text Box 2983">
          <a:extLst>
            <a:ext uri="{FF2B5EF4-FFF2-40B4-BE49-F238E27FC236}">
              <a16:creationId xmlns:a16="http://schemas.microsoft.com/office/drawing/2014/main" xmlns="" id="{162241C7-DE2B-408C-8DEF-4F205B69F10F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293" name="Text Box 2984">
          <a:extLst>
            <a:ext uri="{FF2B5EF4-FFF2-40B4-BE49-F238E27FC236}">
              <a16:creationId xmlns:a16="http://schemas.microsoft.com/office/drawing/2014/main" xmlns="" id="{4FBC00CD-EBD4-4777-9E10-730970CB6D1A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294" name="Text Box 2985">
          <a:extLst>
            <a:ext uri="{FF2B5EF4-FFF2-40B4-BE49-F238E27FC236}">
              <a16:creationId xmlns:a16="http://schemas.microsoft.com/office/drawing/2014/main" xmlns="" id="{DFB91009-B554-41E4-B7C1-3508E7C62E55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295" name="Text Box 2986">
          <a:extLst>
            <a:ext uri="{FF2B5EF4-FFF2-40B4-BE49-F238E27FC236}">
              <a16:creationId xmlns:a16="http://schemas.microsoft.com/office/drawing/2014/main" xmlns="" id="{18E2DDCA-F2AF-4FDB-B2D6-0E6FF4778C97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296" name="Text Box 2987">
          <a:extLst>
            <a:ext uri="{FF2B5EF4-FFF2-40B4-BE49-F238E27FC236}">
              <a16:creationId xmlns:a16="http://schemas.microsoft.com/office/drawing/2014/main" xmlns="" id="{FFEF466B-AD04-42F0-A9A8-1D97E1F45C1B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297" name="Text Box 2988">
          <a:extLst>
            <a:ext uri="{FF2B5EF4-FFF2-40B4-BE49-F238E27FC236}">
              <a16:creationId xmlns:a16="http://schemas.microsoft.com/office/drawing/2014/main" xmlns="" id="{617D6B9F-CEC4-4F46-9FD2-E34A9E15F9E3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298" name="Text Box 2989">
          <a:extLst>
            <a:ext uri="{FF2B5EF4-FFF2-40B4-BE49-F238E27FC236}">
              <a16:creationId xmlns:a16="http://schemas.microsoft.com/office/drawing/2014/main" xmlns="" id="{5D1E8A9E-C418-41DD-9BE8-A54D98C0C8DB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4299" name="Text Box 2990">
          <a:extLst>
            <a:ext uri="{FF2B5EF4-FFF2-40B4-BE49-F238E27FC236}">
              <a16:creationId xmlns:a16="http://schemas.microsoft.com/office/drawing/2014/main" xmlns="" id="{B471C33C-C6C0-427C-99DB-16B14C2EB7B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4300" name="Text Box 2991">
          <a:extLst>
            <a:ext uri="{FF2B5EF4-FFF2-40B4-BE49-F238E27FC236}">
              <a16:creationId xmlns:a16="http://schemas.microsoft.com/office/drawing/2014/main" xmlns="" id="{CE363FEA-4214-49D4-9E35-08734D5CD0D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4301" name="Text Box 2992">
          <a:extLst>
            <a:ext uri="{FF2B5EF4-FFF2-40B4-BE49-F238E27FC236}">
              <a16:creationId xmlns:a16="http://schemas.microsoft.com/office/drawing/2014/main" xmlns="" id="{88C39E20-E97B-4014-BFF6-0C72CE21E19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4302" name="Text Box 2993">
          <a:extLst>
            <a:ext uri="{FF2B5EF4-FFF2-40B4-BE49-F238E27FC236}">
              <a16:creationId xmlns:a16="http://schemas.microsoft.com/office/drawing/2014/main" xmlns="" id="{1CA8B593-AED7-42C0-9618-2D68FF3F7C0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4303" name="Text Box 2994">
          <a:extLst>
            <a:ext uri="{FF2B5EF4-FFF2-40B4-BE49-F238E27FC236}">
              <a16:creationId xmlns:a16="http://schemas.microsoft.com/office/drawing/2014/main" xmlns="" id="{7391FF8D-C5C1-4CE9-9185-BD99AA880C9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4304" name="Text Box 2995">
          <a:extLst>
            <a:ext uri="{FF2B5EF4-FFF2-40B4-BE49-F238E27FC236}">
              <a16:creationId xmlns:a16="http://schemas.microsoft.com/office/drawing/2014/main" xmlns="" id="{51D95FF9-AFBA-4AD9-A3C9-4AA7D2B56F6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4305" name="Text Box 2996">
          <a:extLst>
            <a:ext uri="{FF2B5EF4-FFF2-40B4-BE49-F238E27FC236}">
              <a16:creationId xmlns:a16="http://schemas.microsoft.com/office/drawing/2014/main" xmlns="" id="{1540DB52-0806-47A9-8433-8F6B3F70E9A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4306" name="Text Box 2997">
          <a:extLst>
            <a:ext uri="{FF2B5EF4-FFF2-40B4-BE49-F238E27FC236}">
              <a16:creationId xmlns:a16="http://schemas.microsoft.com/office/drawing/2014/main" xmlns="" id="{9528F912-3F7A-4A68-8A88-2A299F96DCE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4307" name="Text Box 2998">
          <a:extLst>
            <a:ext uri="{FF2B5EF4-FFF2-40B4-BE49-F238E27FC236}">
              <a16:creationId xmlns:a16="http://schemas.microsoft.com/office/drawing/2014/main" xmlns="" id="{6EC94F30-0BC3-4FFC-A0AD-4D66811DF2D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4308" name="Text Box 2999">
          <a:extLst>
            <a:ext uri="{FF2B5EF4-FFF2-40B4-BE49-F238E27FC236}">
              <a16:creationId xmlns:a16="http://schemas.microsoft.com/office/drawing/2014/main" xmlns="" id="{EE68613D-3CF3-4275-8E8D-D59368EE670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4309" name="Text Box 3000">
          <a:extLst>
            <a:ext uri="{FF2B5EF4-FFF2-40B4-BE49-F238E27FC236}">
              <a16:creationId xmlns:a16="http://schemas.microsoft.com/office/drawing/2014/main" xmlns="" id="{8A56BA8F-FBF1-4C4E-ABEE-F2175D082C9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4310" name="Text Box 3001">
          <a:extLst>
            <a:ext uri="{FF2B5EF4-FFF2-40B4-BE49-F238E27FC236}">
              <a16:creationId xmlns:a16="http://schemas.microsoft.com/office/drawing/2014/main" xmlns="" id="{6DF40009-0CCF-429B-B573-10DBDE002AA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4311" name="Text Box 3002">
          <a:extLst>
            <a:ext uri="{FF2B5EF4-FFF2-40B4-BE49-F238E27FC236}">
              <a16:creationId xmlns:a16="http://schemas.microsoft.com/office/drawing/2014/main" xmlns="" id="{DAA9E3EA-5D2A-4791-936A-2A86DE4F103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4312" name="Text Box 3003">
          <a:extLst>
            <a:ext uri="{FF2B5EF4-FFF2-40B4-BE49-F238E27FC236}">
              <a16:creationId xmlns:a16="http://schemas.microsoft.com/office/drawing/2014/main" xmlns="" id="{E3DF88A8-9BE3-43B8-A594-4AEFDB07F30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4313" name="Text Box 3004">
          <a:extLst>
            <a:ext uri="{FF2B5EF4-FFF2-40B4-BE49-F238E27FC236}">
              <a16:creationId xmlns:a16="http://schemas.microsoft.com/office/drawing/2014/main" xmlns="" id="{3FA10CAA-0511-42B2-AD9A-C523444C032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4314" name="Text Box 3005">
          <a:extLst>
            <a:ext uri="{FF2B5EF4-FFF2-40B4-BE49-F238E27FC236}">
              <a16:creationId xmlns:a16="http://schemas.microsoft.com/office/drawing/2014/main" xmlns="" id="{F4C7B66E-4F9E-4A48-9DDA-01D14D72C86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4315" name="Text Box 3006">
          <a:extLst>
            <a:ext uri="{FF2B5EF4-FFF2-40B4-BE49-F238E27FC236}">
              <a16:creationId xmlns:a16="http://schemas.microsoft.com/office/drawing/2014/main" xmlns="" id="{6A7889BE-3B48-4C52-8176-D0F9786D3E6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4316" name="Text Box 3007">
          <a:extLst>
            <a:ext uri="{FF2B5EF4-FFF2-40B4-BE49-F238E27FC236}">
              <a16:creationId xmlns:a16="http://schemas.microsoft.com/office/drawing/2014/main" xmlns="" id="{87B2C107-81D5-46B1-B1EB-35797904FCE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4317" name="Text Box 3008">
          <a:extLst>
            <a:ext uri="{FF2B5EF4-FFF2-40B4-BE49-F238E27FC236}">
              <a16:creationId xmlns:a16="http://schemas.microsoft.com/office/drawing/2014/main" xmlns="" id="{FA889A4E-9756-446D-A63C-1C1EE0E3DE5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4318" name="Text Box 3009">
          <a:extLst>
            <a:ext uri="{FF2B5EF4-FFF2-40B4-BE49-F238E27FC236}">
              <a16:creationId xmlns:a16="http://schemas.microsoft.com/office/drawing/2014/main" xmlns="" id="{9B817DAE-B09B-4C9F-A169-C5BD4EA8AE4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4319" name="Text Box 3010">
          <a:extLst>
            <a:ext uri="{FF2B5EF4-FFF2-40B4-BE49-F238E27FC236}">
              <a16:creationId xmlns:a16="http://schemas.microsoft.com/office/drawing/2014/main" xmlns="" id="{E07105EB-3225-4834-A7DF-5E58C6821035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4320" name="Text Box 3011">
          <a:extLst>
            <a:ext uri="{FF2B5EF4-FFF2-40B4-BE49-F238E27FC236}">
              <a16:creationId xmlns:a16="http://schemas.microsoft.com/office/drawing/2014/main" xmlns="" id="{FFAC435F-4AC4-4BCD-A40E-46EF97A5DAF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4321" name="Text Box 3012">
          <a:extLst>
            <a:ext uri="{FF2B5EF4-FFF2-40B4-BE49-F238E27FC236}">
              <a16:creationId xmlns:a16="http://schemas.microsoft.com/office/drawing/2014/main" xmlns="" id="{C8DD94B1-7C5C-4D22-9E0B-DE0DE15C4C1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4322" name="Text Box 3013">
          <a:extLst>
            <a:ext uri="{FF2B5EF4-FFF2-40B4-BE49-F238E27FC236}">
              <a16:creationId xmlns:a16="http://schemas.microsoft.com/office/drawing/2014/main" xmlns="" id="{A5FC2756-1C80-4ACE-9070-FF14C96DCC0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4323" name="Text Box 3014">
          <a:extLst>
            <a:ext uri="{FF2B5EF4-FFF2-40B4-BE49-F238E27FC236}">
              <a16:creationId xmlns:a16="http://schemas.microsoft.com/office/drawing/2014/main" xmlns="" id="{0A1FD1F1-1D7E-4F49-8007-D7561FA30DE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4324" name="Text Box 3015">
          <a:extLst>
            <a:ext uri="{FF2B5EF4-FFF2-40B4-BE49-F238E27FC236}">
              <a16:creationId xmlns:a16="http://schemas.microsoft.com/office/drawing/2014/main" xmlns="" id="{0076F5E6-5666-473A-BB47-5072EAE0344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4325" name="Text Box 3016">
          <a:extLst>
            <a:ext uri="{FF2B5EF4-FFF2-40B4-BE49-F238E27FC236}">
              <a16:creationId xmlns:a16="http://schemas.microsoft.com/office/drawing/2014/main" xmlns="" id="{9B597470-3705-4C53-9333-E03F61389B8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4326" name="Text Box 3017">
          <a:extLst>
            <a:ext uri="{FF2B5EF4-FFF2-40B4-BE49-F238E27FC236}">
              <a16:creationId xmlns:a16="http://schemas.microsoft.com/office/drawing/2014/main" xmlns="" id="{3122DB9E-B7C1-44F3-868C-7C56DBFC8D2A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4327" name="Text Box 3018">
          <a:extLst>
            <a:ext uri="{FF2B5EF4-FFF2-40B4-BE49-F238E27FC236}">
              <a16:creationId xmlns:a16="http://schemas.microsoft.com/office/drawing/2014/main" xmlns="" id="{3B3893F9-4BDF-4B3E-A3D6-707F587245A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4328" name="Text Box 3019">
          <a:extLst>
            <a:ext uri="{FF2B5EF4-FFF2-40B4-BE49-F238E27FC236}">
              <a16:creationId xmlns:a16="http://schemas.microsoft.com/office/drawing/2014/main" xmlns="" id="{3A6CECFB-601A-44EC-89AF-E240352F37D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4329" name="Text Box 3020">
          <a:extLst>
            <a:ext uri="{FF2B5EF4-FFF2-40B4-BE49-F238E27FC236}">
              <a16:creationId xmlns:a16="http://schemas.microsoft.com/office/drawing/2014/main" xmlns="" id="{2ED67408-BAB9-4775-B7C3-6B82410761CF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4330" name="Text Box 3021">
          <a:extLst>
            <a:ext uri="{FF2B5EF4-FFF2-40B4-BE49-F238E27FC236}">
              <a16:creationId xmlns:a16="http://schemas.microsoft.com/office/drawing/2014/main" xmlns="" id="{24954374-C465-4CD2-B7C5-EA81C59D2CC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4331" name="Text Box 3022">
          <a:extLst>
            <a:ext uri="{FF2B5EF4-FFF2-40B4-BE49-F238E27FC236}">
              <a16:creationId xmlns:a16="http://schemas.microsoft.com/office/drawing/2014/main" xmlns="" id="{20B33E05-8961-4359-BC2E-5459DB6D4013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4332" name="Text Box 3023">
          <a:extLst>
            <a:ext uri="{FF2B5EF4-FFF2-40B4-BE49-F238E27FC236}">
              <a16:creationId xmlns:a16="http://schemas.microsoft.com/office/drawing/2014/main" xmlns="" id="{2CAB0EE0-3CE0-4705-911E-5CDF5C06F37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4333" name="Text Box 3024">
          <a:extLst>
            <a:ext uri="{FF2B5EF4-FFF2-40B4-BE49-F238E27FC236}">
              <a16:creationId xmlns:a16="http://schemas.microsoft.com/office/drawing/2014/main" xmlns="" id="{902D2649-7D56-4A9B-84CB-6271FF8D1F1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4334" name="Text Box 3025">
          <a:extLst>
            <a:ext uri="{FF2B5EF4-FFF2-40B4-BE49-F238E27FC236}">
              <a16:creationId xmlns:a16="http://schemas.microsoft.com/office/drawing/2014/main" xmlns="" id="{C1360D42-EBCD-4B40-A77E-01F191A3BC6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4335" name="Text Box 3026">
          <a:extLst>
            <a:ext uri="{FF2B5EF4-FFF2-40B4-BE49-F238E27FC236}">
              <a16:creationId xmlns:a16="http://schemas.microsoft.com/office/drawing/2014/main" xmlns="" id="{4B82BF74-39C0-425E-88CB-7DD6D8F2D741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4336" name="Text Box 3027">
          <a:extLst>
            <a:ext uri="{FF2B5EF4-FFF2-40B4-BE49-F238E27FC236}">
              <a16:creationId xmlns:a16="http://schemas.microsoft.com/office/drawing/2014/main" xmlns="" id="{B33645C3-88F2-46C4-B948-AA581BDF6BC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4337" name="Text Box 3028">
          <a:extLst>
            <a:ext uri="{FF2B5EF4-FFF2-40B4-BE49-F238E27FC236}">
              <a16:creationId xmlns:a16="http://schemas.microsoft.com/office/drawing/2014/main" xmlns="" id="{95749CDE-619E-484C-840F-9E1B564A41A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4338" name="Text Box 3029">
          <a:extLst>
            <a:ext uri="{FF2B5EF4-FFF2-40B4-BE49-F238E27FC236}">
              <a16:creationId xmlns:a16="http://schemas.microsoft.com/office/drawing/2014/main" xmlns="" id="{29545BE3-8E6E-4E19-9B7F-AF7BA745BD8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4339" name="Text Box 3030">
          <a:extLst>
            <a:ext uri="{FF2B5EF4-FFF2-40B4-BE49-F238E27FC236}">
              <a16:creationId xmlns:a16="http://schemas.microsoft.com/office/drawing/2014/main" xmlns="" id="{8F80A78B-F748-455B-8013-0B083C20FB2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4340" name="Text Box 3031">
          <a:extLst>
            <a:ext uri="{FF2B5EF4-FFF2-40B4-BE49-F238E27FC236}">
              <a16:creationId xmlns:a16="http://schemas.microsoft.com/office/drawing/2014/main" xmlns="" id="{8108EBE6-242E-4865-B2EA-F37A130A89A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4341" name="Text Box 3032">
          <a:extLst>
            <a:ext uri="{FF2B5EF4-FFF2-40B4-BE49-F238E27FC236}">
              <a16:creationId xmlns:a16="http://schemas.microsoft.com/office/drawing/2014/main" xmlns="" id="{1567189C-F155-4129-80D4-1B67F85E2B1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4342" name="Text Box 3033">
          <a:extLst>
            <a:ext uri="{FF2B5EF4-FFF2-40B4-BE49-F238E27FC236}">
              <a16:creationId xmlns:a16="http://schemas.microsoft.com/office/drawing/2014/main" xmlns="" id="{2728C851-ACB5-439B-9562-BDB4C4211FE7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4343" name="Text Box 3034">
          <a:extLst>
            <a:ext uri="{FF2B5EF4-FFF2-40B4-BE49-F238E27FC236}">
              <a16:creationId xmlns:a16="http://schemas.microsoft.com/office/drawing/2014/main" xmlns="" id="{808A58AB-F68A-48F8-B991-417432DE070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4344" name="Text Box 3035">
          <a:extLst>
            <a:ext uri="{FF2B5EF4-FFF2-40B4-BE49-F238E27FC236}">
              <a16:creationId xmlns:a16="http://schemas.microsoft.com/office/drawing/2014/main" xmlns="" id="{99A18A80-636F-427E-B4D4-E9276E393A42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4345" name="Text Box 3036">
          <a:extLst>
            <a:ext uri="{FF2B5EF4-FFF2-40B4-BE49-F238E27FC236}">
              <a16:creationId xmlns:a16="http://schemas.microsoft.com/office/drawing/2014/main" xmlns="" id="{C716C774-21B4-4927-ADDA-6771B03E97F1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4346" name="Text Box 3037">
          <a:extLst>
            <a:ext uri="{FF2B5EF4-FFF2-40B4-BE49-F238E27FC236}">
              <a16:creationId xmlns:a16="http://schemas.microsoft.com/office/drawing/2014/main" xmlns="" id="{5795597C-BDF3-479F-9634-DEC28A7F61B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4347" name="Text Box 3038">
          <a:extLst>
            <a:ext uri="{FF2B5EF4-FFF2-40B4-BE49-F238E27FC236}">
              <a16:creationId xmlns:a16="http://schemas.microsoft.com/office/drawing/2014/main" xmlns="" id="{4AEBD40C-7072-4DF1-8D22-BC1F6A7DF0D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4348" name="Text Box 3039">
          <a:extLst>
            <a:ext uri="{FF2B5EF4-FFF2-40B4-BE49-F238E27FC236}">
              <a16:creationId xmlns:a16="http://schemas.microsoft.com/office/drawing/2014/main" xmlns="" id="{15402FA3-065C-4A11-A5C3-BE7BD9BD1D3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4349" name="Text Box 3040">
          <a:extLst>
            <a:ext uri="{FF2B5EF4-FFF2-40B4-BE49-F238E27FC236}">
              <a16:creationId xmlns:a16="http://schemas.microsoft.com/office/drawing/2014/main" xmlns="" id="{7CF35DCB-70F6-4281-ADAB-8FDAE56168B1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4350" name="Text Box 3041">
          <a:extLst>
            <a:ext uri="{FF2B5EF4-FFF2-40B4-BE49-F238E27FC236}">
              <a16:creationId xmlns:a16="http://schemas.microsoft.com/office/drawing/2014/main" xmlns="" id="{2E3DA7A1-7516-47F4-8CAF-6ED05F7DAB5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4351" name="Text Box 3042">
          <a:extLst>
            <a:ext uri="{FF2B5EF4-FFF2-40B4-BE49-F238E27FC236}">
              <a16:creationId xmlns:a16="http://schemas.microsoft.com/office/drawing/2014/main" xmlns="" id="{16F6849B-E970-462E-A234-89BB8D28A260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352" name="Text Box 3043">
          <a:extLst>
            <a:ext uri="{FF2B5EF4-FFF2-40B4-BE49-F238E27FC236}">
              <a16:creationId xmlns:a16="http://schemas.microsoft.com/office/drawing/2014/main" xmlns="" id="{FCBB2862-8E47-4F33-AA3D-41262DB710F4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353" name="Text Box 3044">
          <a:extLst>
            <a:ext uri="{FF2B5EF4-FFF2-40B4-BE49-F238E27FC236}">
              <a16:creationId xmlns:a16="http://schemas.microsoft.com/office/drawing/2014/main" xmlns="" id="{A0798EA9-1013-4583-80C3-CAC6E6B3E49F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354" name="Text Box 3045">
          <a:extLst>
            <a:ext uri="{FF2B5EF4-FFF2-40B4-BE49-F238E27FC236}">
              <a16:creationId xmlns:a16="http://schemas.microsoft.com/office/drawing/2014/main" xmlns="" id="{CF36DC30-17CD-4244-8F55-347900329B5F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355" name="Text Box 3046">
          <a:extLst>
            <a:ext uri="{FF2B5EF4-FFF2-40B4-BE49-F238E27FC236}">
              <a16:creationId xmlns:a16="http://schemas.microsoft.com/office/drawing/2014/main" xmlns="" id="{96DE8F00-3434-4C37-A2E8-BE3D561F655B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356" name="Text Box 3047">
          <a:extLst>
            <a:ext uri="{FF2B5EF4-FFF2-40B4-BE49-F238E27FC236}">
              <a16:creationId xmlns:a16="http://schemas.microsoft.com/office/drawing/2014/main" xmlns="" id="{D5986A87-31D9-46CD-A870-2F0DD7491101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357" name="Text Box 3048">
          <a:extLst>
            <a:ext uri="{FF2B5EF4-FFF2-40B4-BE49-F238E27FC236}">
              <a16:creationId xmlns:a16="http://schemas.microsoft.com/office/drawing/2014/main" xmlns="" id="{4BB97613-E504-40F0-80FE-891FFAA6FE9B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358" name="Text Box 3049">
          <a:extLst>
            <a:ext uri="{FF2B5EF4-FFF2-40B4-BE49-F238E27FC236}">
              <a16:creationId xmlns:a16="http://schemas.microsoft.com/office/drawing/2014/main" xmlns="" id="{6EC478C0-25D3-470E-A1CE-BCE13D0459CD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359" name="Text Box 3050">
          <a:extLst>
            <a:ext uri="{FF2B5EF4-FFF2-40B4-BE49-F238E27FC236}">
              <a16:creationId xmlns:a16="http://schemas.microsoft.com/office/drawing/2014/main" xmlns="" id="{2C64AB5B-D71E-40E9-80C3-820098C38715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360" name="Text Box 3051">
          <a:extLst>
            <a:ext uri="{FF2B5EF4-FFF2-40B4-BE49-F238E27FC236}">
              <a16:creationId xmlns:a16="http://schemas.microsoft.com/office/drawing/2014/main" xmlns="" id="{67D12297-2EDF-48E8-938B-615330DAFCE7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361" name="Text Box 3052">
          <a:extLst>
            <a:ext uri="{FF2B5EF4-FFF2-40B4-BE49-F238E27FC236}">
              <a16:creationId xmlns:a16="http://schemas.microsoft.com/office/drawing/2014/main" xmlns="" id="{2185BC73-7F48-47B7-A2B2-BC8A2FA73EF2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362" name="Text Box 3053">
          <a:extLst>
            <a:ext uri="{FF2B5EF4-FFF2-40B4-BE49-F238E27FC236}">
              <a16:creationId xmlns:a16="http://schemas.microsoft.com/office/drawing/2014/main" xmlns="" id="{B114568F-CE41-4F91-A523-E840BEAB79D2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363" name="Text Box 3054">
          <a:extLst>
            <a:ext uri="{FF2B5EF4-FFF2-40B4-BE49-F238E27FC236}">
              <a16:creationId xmlns:a16="http://schemas.microsoft.com/office/drawing/2014/main" xmlns="" id="{E663C4C1-E8D5-43F7-992A-5DFDE22722F2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364" name="Text Box 3055">
          <a:extLst>
            <a:ext uri="{FF2B5EF4-FFF2-40B4-BE49-F238E27FC236}">
              <a16:creationId xmlns:a16="http://schemas.microsoft.com/office/drawing/2014/main" xmlns="" id="{7A062C0C-6538-4263-8C69-1213BC7560D6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365" name="Text Box 3056">
          <a:extLst>
            <a:ext uri="{FF2B5EF4-FFF2-40B4-BE49-F238E27FC236}">
              <a16:creationId xmlns:a16="http://schemas.microsoft.com/office/drawing/2014/main" xmlns="" id="{FFEE8687-4FFB-4953-A3EF-B555627D83B4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4366" name="Text Box 3057">
          <a:extLst>
            <a:ext uri="{FF2B5EF4-FFF2-40B4-BE49-F238E27FC236}">
              <a16:creationId xmlns:a16="http://schemas.microsoft.com/office/drawing/2014/main" xmlns="" id="{D1DE9C0E-2514-47C5-ACB4-0CCDFC9539A9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4367" name="Text Box 3058">
          <a:extLst>
            <a:ext uri="{FF2B5EF4-FFF2-40B4-BE49-F238E27FC236}">
              <a16:creationId xmlns:a16="http://schemas.microsoft.com/office/drawing/2014/main" xmlns="" id="{90313AFA-DFA2-4A57-94B6-9671D2A4C35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4368" name="Text Box 3059">
          <a:extLst>
            <a:ext uri="{FF2B5EF4-FFF2-40B4-BE49-F238E27FC236}">
              <a16:creationId xmlns:a16="http://schemas.microsoft.com/office/drawing/2014/main" xmlns="" id="{97EC42E2-7672-4A8D-A4CC-E1A51B4CF058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4369" name="Text Box 3060">
          <a:extLst>
            <a:ext uri="{FF2B5EF4-FFF2-40B4-BE49-F238E27FC236}">
              <a16:creationId xmlns:a16="http://schemas.microsoft.com/office/drawing/2014/main" xmlns="" id="{E14D05DD-E424-43AC-B533-077EBC2836DE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370" name="Text Box 3061">
          <a:extLst>
            <a:ext uri="{FF2B5EF4-FFF2-40B4-BE49-F238E27FC236}">
              <a16:creationId xmlns:a16="http://schemas.microsoft.com/office/drawing/2014/main" xmlns="" id="{71B50F62-285C-4F55-8518-68E92A330E49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371" name="Text Box 3062">
          <a:extLst>
            <a:ext uri="{FF2B5EF4-FFF2-40B4-BE49-F238E27FC236}">
              <a16:creationId xmlns:a16="http://schemas.microsoft.com/office/drawing/2014/main" xmlns="" id="{401C2AC4-39EE-4D89-92B0-BBBB9B97862F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372" name="Text Box 3063">
          <a:extLst>
            <a:ext uri="{FF2B5EF4-FFF2-40B4-BE49-F238E27FC236}">
              <a16:creationId xmlns:a16="http://schemas.microsoft.com/office/drawing/2014/main" xmlns="" id="{06B61F75-4F54-4E78-BA02-F746F21992F7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373" name="Text Box 3064">
          <a:extLst>
            <a:ext uri="{FF2B5EF4-FFF2-40B4-BE49-F238E27FC236}">
              <a16:creationId xmlns:a16="http://schemas.microsoft.com/office/drawing/2014/main" xmlns="" id="{6A47B500-EEEA-4524-8D81-45F04B5DF59A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374" name="Text Box 3065">
          <a:extLst>
            <a:ext uri="{FF2B5EF4-FFF2-40B4-BE49-F238E27FC236}">
              <a16:creationId xmlns:a16="http://schemas.microsoft.com/office/drawing/2014/main" xmlns="" id="{1254A93C-548C-476B-AB7E-6B714D186C62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375" name="Text Box 3066">
          <a:extLst>
            <a:ext uri="{FF2B5EF4-FFF2-40B4-BE49-F238E27FC236}">
              <a16:creationId xmlns:a16="http://schemas.microsoft.com/office/drawing/2014/main" xmlns="" id="{E28394F7-20B2-4151-AFC9-6BAAA09BB491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376" name="Text Box 3067">
          <a:extLst>
            <a:ext uri="{FF2B5EF4-FFF2-40B4-BE49-F238E27FC236}">
              <a16:creationId xmlns:a16="http://schemas.microsoft.com/office/drawing/2014/main" xmlns="" id="{8F6CB9AA-FCC9-45E0-BC0E-B330B1B3ED4E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377" name="Text Box 3068">
          <a:extLst>
            <a:ext uri="{FF2B5EF4-FFF2-40B4-BE49-F238E27FC236}">
              <a16:creationId xmlns:a16="http://schemas.microsoft.com/office/drawing/2014/main" xmlns="" id="{23223403-403C-4548-B86B-EB08F21EAF19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378" name="Text Box 3069">
          <a:extLst>
            <a:ext uri="{FF2B5EF4-FFF2-40B4-BE49-F238E27FC236}">
              <a16:creationId xmlns:a16="http://schemas.microsoft.com/office/drawing/2014/main" xmlns="" id="{06523BD5-22E5-4ACC-A056-BFD30AADCA98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379" name="Text Box 3070">
          <a:extLst>
            <a:ext uri="{FF2B5EF4-FFF2-40B4-BE49-F238E27FC236}">
              <a16:creationId xmlns:a16="http://schemas.microsoft.com/office/drawing/2014/main" xmlns="" id="{C1CCA7DD-03CC-443C-B8C2-E2E29C0639C2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380" name="Text Box 3071">
          <a:extLst>
            <a:ext uri="{FF2B5EF4-FFF2-40B4-BE49-F238E27FC236}">
              <a16:creationId xmlns:a16="http://schemas.microsoft.com/office/drawing/2014/main" xmlns="" id="{CA5D9F04-AD18-47B3-A03C-B6FD1ADDA636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381" name="Text Box 3072">
          <a:extLst>
            <a:ext uri="{FF2B5EF4-FFF2-40B4-BE49-F238E27FC236}">
              <a16:creationId xmlns:a16="http://schemas.microsoft.com/office/drawing/2014/main" xmlns="" id="{D3794223-32B1-42C9-9ACB-D059C5CDA4ED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4382" name="Text Box 3073">
          <a:extLst>
            <a:ext uri="{FF2B5EF4-FFF2-40B4-BE49-F238E27FC236}">
              <a16:creationId xmlns:a16="http://schemas.microsoft.com/office/drawing/2014/main" xmlns="" id="{14AA61FB-AD64-4ADB-A93E-D2C29A5B6B7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4383" name="Text Box 3074">
          <a:extLst>
            <a:ext uri="{FF2B5EF4-FFF2-40B4-BE49-F238E27FC236}">
              <a16:creationId xmlns:a16="http://schemas.microsoft.com/office/drawing/2014/main" xmlns="" id="{AE4810D8-4D14-4F76-A6CA-AB044186B63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4384" name="Text Box 3075">
          <a:extLst>
            <a:ext uri="{FF2B5EF4-FFF2-40B4-BE49-F238E27FC236}">
              <a16:creationId xmlns:a16="http://schemas.microsoft.com/office/drawing/2014/main" xmlns="" id="{0AE3B9C3-0CFF-4D25-8552-72AD7EDAAAE6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4385" name="Text Box 3076">
          <a:extLst>
            <a:ext uri="{FF2B5EF4-FFF2-40B4-BE49-F238E27FC236}">
              <a16:creationId xmlns:a16="http://schemas.microsoft.com/office/drawing/2014/main" xmlns="" id="{E300047D-AB5B-4DAC-AC95-90F7C577165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386" name="Text Box 3077">
          <a:extLst>
            <a:ext uri="{FF2B5EF4-FFF2-40B4-BE49-F238E27FC236}">
              <a16:creationId xmlns:a16="http://schemas.microsoft.com/office/drawing/2014/main" xmlns="" id="{513A6D70-D827-4C17-81F6-A4EA0552CAA5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387" name="Text Box 3078">
          <a:extLst>
            <a:ext uri="{FF2B5EF4-FFF2-40B4-BE49-F238E27FC236}">
              <a16:creationId xmlns:a16="http://schemas.microsoft.com/office/drawing/2014/main" xmlns="" id="{48F4B935-54D9-481D-A331-719EA25785B1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388" name="Text Box 3079">
          <a:extLst>
            <a:ext uri="{FF2B5EF4-FFF2-40B4-BE49-F238E27FC236}">
              <a16:creationId xmlns:a16="http://schemas.microsoft.com/office/drawing/2014/main" xmlns="" id="{52C3BC7D-3362-464E-9112-7B790B670E10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389" name="Text Box 3080">
          <a:extLst>
            <a:ext uri="{FF2B5EF4-FFF2-40B4-BE49-F238E27FC236}">
              <a16:creationId xmlns:a16="http://schemas.microsoft.com/office/drawing/2014/main" xmlns="" id="{8C171B6A-8992-4A48-AF5B-3CFCFD6E6BA6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390" name="Text Box 3081">
          <a:extLst>
            <a:ext uri="{FF2B5EF4-FFF2-40B4-BE49-F238E27FC236}">
              <a16:creationId xmlns:a16="http://schemas.microsoft.com/office/drawing/2014/main" xmlns="" id="{108B6D07-1825-4C78-AB68-5CA8F17C16FA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391" name="Text Box 3082">
          <a:extLst>
            <a:ext uri="{FF2B5EF4-FFF2-40B4-BE49-F238E27FC236}">
              <a16:creationId xmlns:a16="http://schemas.microsoft.com/office/drawing/2014/main" xmlns="" id="{5C4CB332-F543-4417-AC7D-6339972F6E62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392" name="Text Box 3083">
          <a:extLst>
            <a:ext uri="{FF2B5EF4-FFF2-40B4-BE49-F238E27FC236}">
              <a16:creationId xmlns:a16="http://schemas.microsoft.com/office/drawing/2014/main" xmlns="" id="{5BBECEF5-3D03-4511-8D49-5D31958D114A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393" name="Text Box 3084">
          <a:extLst>
            <a:ext uri="{FF2B5EF4-FFF2-40B4-BE49-F238E27FC236}">
              <a16:creationId xmlns:a16="http://schemas.microsoft.com/office/drawing/2014/main" xmlns="" id="{E096FF62-93E7-49AC-AC20-C203F95D1EC6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394" name="Text Box 3085">
          <a:extLst>
            <a:ext uri="{FF2B5EF4-FFF2-40B4-BE49-F238E27FC236}">
              <a16:creationId xmlns:a16="http://schemas.microsoft.com/office/drawing/2014/main" xmlns="" id="{E1B0605C-0F5C-427D-86A1-A34C49DA8E40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395" name="Text Box 3086">
          <a:extLst>
            <a:ext uri="{FF2B5EF4-FFF2-40B4-BE49-F238E27FC236}">
              <a16:creationId xmlns:a16="http://schemas.microsoft.com/office/drawing/2014/main" xmlns="" id="{014BB50F-46C4-4D99-839A-5D46328FA3C6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396" name="Text Box 3087">
          <a:extLst>
            <a:ext uri="{FF2B5EF4-FFF2-40B4-BE49-F238E27FC236}">
              <a16:creationId xmlns:a16="http://schemas.microsoft.com/office/drawing/2014/main" xmlns="" id="{E7437468-569D-44F5-90EC-09FF262E2374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397" name="Text Box 3088">
          <a:extLst>
            <a:ext uri="{FF2B5EF4-FFF2-40B4-BE49-F238E27FC236}">
              <a16:creationId xmlns:a16="http://schemas.microsoft.com/office/drawing/2014/main" xmlns="" id="{882B5674-66A4-4F0F-8653-DEAC4819B7EC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4398" name="Text Box 3089">
          <a:extLst>
            <a:ext uri="{FF2B5EF4-FFF2-40B4-BE49-F238E27FC236}">
              <a16:creationId xmlns:a16="http://schemas.microsoft.com/office/drawing/2014/main" xmlns="" id="{F741A140-2FB6-44DA-B264-8D9FFCC8E53C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4399" name="Text Box 3090">
          <a:extLst>
            <a:ext uri="{FF2B5EF4-FFF2-40B4-BE49-F238E27FC236}">
              <a16:creationId xmlns:a16="http://schemas.microsoft.com/office/drawing/2014/main" xmlns="" id="{102E7FE1-1166-439C-8A71-DF8838D7ADBD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4400" name="Text Box 3091">
          <a:extLst>
            <a:ext uri="{FF2B5EF4-FFF2-40B4-BE49-F238E27FC236}">
              <a16:creationId xmlns:a16="http://schemas.microsoft.com/office/drawing/2014/main" xmlns="" id="{5D084F30-E852-45C3-ACA3-0FD604BAD1EB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76200</xdr:colOff>
      <xdr:row>600</xdr:row>
      <xdr:rowOff>228600</xdr:rowOff>
    </xdr:to>
    <xdr:sp macro="" textlink="">
      <xdr:nvSpPr>
        <xdr:cNvPr id="4401" name="Text Box 3092">
          <a:extLst>
            <a:ext uri="{FF2B5EF4-FFF2-40B4-BE49-F238E27FC236}">
              <a16:creationId xmlns:a16="http://schemas.microsoft.com/office/drawing/2014/main" xmlns="" id="{194F8B04-5705-4F57-A75E-584221C133A4}"/>
            </a:ext>
          </a:extLst>
        </xdr:cNvPr>
        <xdr:cNvSpPr txBox="1">
          <a:spLocks noChangeArrowheads="1"/>
        </xdr:cNvSpPr>
      </xdr:nvSpPr>
      <xdr:spPr>
        <a:xfrm>
          <a:off x="0" y="12021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402" name="Text Box 3093">
          <a:extLst>
            <a:ext uri="{FF2B5EF4-FFF2-40B4-BE49-F238E27FC236}">
              <a16:creationId xmlns:a16="http://schemas.microsoft.com/office/drawing/2014/main" xmlns="" id="{61E8FFA7-8765-4864-8A5D-4790D22F7E78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403" name="Text Box 3094">
          <a:extLst>
            <a:ext uri="{FF2B5EF4-FFF2-40B4-BE49-F238E27FC236}">
              <a16:creationId xmlns:a16="http://schemas.microsoft.com/office/drawing/2014/main" xmlns="" id="{0481E65D-ACCC-4351-A37F-CD63793E4723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404" name="Text Box 3095">
          <a:extLst>
            <a:ext uri="{FF2B5EF4-FFF2-40B4-BE49-F238E27FC236}">
              <a16:creationId xmlns:a16="http://schemas.microsoft.com/office/drawing/2014/main" xmlns="" id="{F930A878-9049-4C0B-903E-278D2C65E43A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405" name="Text Box 3096">
          <a:extLst>
            <a:ext uri="{FF2B5EF4-FFF2-40B4-BE49-F238E27FC236}">
              <a16:creationId xmlns:a16="http://schemas.microsoft.com/office/drawing/2014/main" xmlns="" id="{99098A1B-0A60-4F90-9F0D-916C356CA24A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406" name="Text Box 3097">
          <a:extLst>
            <a:ext uri="{FF2B5EF4-FFF2-40B4-BE49-F238E27FC236}">
              <a16:creationId xmlns:a16="http://schemas.microsoft.com/office/drawing/2014/main" xmlns="" id="{7904574A-A934-4233-B9F3-9C354D5E7C33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407" name="Text Box 3098">
          <a:extLst>
            <a:ext uri="{FF2B5EF4-FFF2-40B4-BE49-F238E27FC236}">
              <a16:creationId xmlns:a16="http://schemas.microsoft.com/office/drawing/2014/main" xmlns="" id="{27D2961E-9552-4BDA-A958-9654198B0001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408" name="Text Box 3099">
          <a:extLst>
            <a:ext uri="{FF2B5EF4-FFF2-40B4-BE49-F238E27FC236}">
              <a16:creationId xmlns:a16="http://schemas.microsoft.com/office/drawing/2014/main" xmlns="" id="{F1504DDD-BCB2-442F-9896-5E0FFA130502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409" name="Text Box 3100">
          <a:extLst>
            <a:ext uri="{FF2B5EF4-FFF2-40B4-BE49-F238E27FC236}">
              <a16:creationId xmlns:a16="http://schemas.microsoft.com/office/drawing/2014/main" xmlns="" id="{2F4324BE-0A6C-4998-99CD-D38A9F7C4244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410" name="Text Box 3101">
          <a:extLst>
            <a:ext uri="{FF2B5EF4-FFF2-40B4-BE49-F238E27FC236}">
              <a16:creationId xmlns:a16="http://schemas.microsoft.com/office/drawing/2014/main" xmlns="" id="{02E037EE-74F3-4963-9DF5-B3CDBEB457D1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411" name="Text Box 3102">
          <a:extLst>
            <a:ext uri="{FF2B5EF4-FFF2-40B4-BE49-F238E27FC236}">
              <a16:creationId xmlns:a16="http://schemas.microsoft.com/office/drawing/2014/main" xmlns="" id="{26828FCE-95F3-45B9-B462-1468D7FFA405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412" name="Text Box 3103">
          <a:extLst>
            <a:ext uri="{FF2B5EF4-FFF2-40B4-BE49-F238E27FC236}">
              <a16:creationId xmlns:a16="http://schemas.microsoft.com/office/drawing/2014/main" xmlns="" id="{1EFB8A1D-549C-4CCC-9D2C-ADB5F43A04DE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76200</xdr:colOff>
      <xdr:row>606</xdr:row>
      <xdr:rowOff>0</xdr:rowOff>
    </xdr:to>
    <xdr:sp macro="" textlink="">
      <xdr:nvSpPr>
        <xdr:cNvPr id="4413" name="Text Box 3104">
          <a:extLst>
            <a:ext uri="{FF2B5EF4-FFF2-40B4-BE49-F238E27FC236}">
              <a16:creationId xmlns:a16="http://schemas.microsoft.com/office/drawing/2014/main" xmlns="" id="{AE857E1C-6184-4E2D-8380-71361FA12C31}"/>
            </a:ext>
          </a:extLst>
        </xdr:cNvPr>
        <xdr:cNvSpPr txBox="1">
          <a:spLocks noChangeArrowheads="1"/>
        </xdr:cNvSpPr>
      </xdr:nvSpPr>
      <xdr:spPr>
        <a:xfrm>
          <a:off x="0" y="121215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414" name="Text Box 1">
          <a:extLst>
            <a:ext uri="{FF2B5EF4-FFF2-40B4-BE49-F238E27FC236}">
              <a16:creationId xmlns:a16="http://schemas.microsoft.com/office/drawing/2014/main" xmlns="" id="{EFD460AA-39AD-44E4-B201-56E358D74F6F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415" name="Text Box 1">
          <a:extLst>
            <a:ext uri="{FF2B5EF4-FFF2-40B4-BE49-F238E27FC236}">
              <a16:creationId xmlns:a16="http://schemas.microsoft.com/office/drawing/2014/main" xmlns="" id="{3658887A-B25F-46BD-87E5-990192AC0D56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416" name="Text Box 1">
          <a:extLst>
            <a:ext uri="{FF2B5EF4-FFF2-40B4-BE49-F238E27FC236}">
              <a16:creationId xmlns:a16="http://schemas.microsoft.com/office/drawing/2014/main" xmlns="" id="{A50267A1-152E-4809-8309-929D0FDF582F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417" name="Text Box 1">
          <a:extLst>
            <a:ext uri="{FF2B5EF4-FFF2-40B4-BE49-F238E27FC236}">
              <a16:creationId xmlns:a16="http://schemas.microsoft.com/office/drawing/2014/main" xmlns="" id="{A77B10CD-0E87-42BE-9B51-836390C5498B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418" name="Text Box 1">
          <a:extLst>
            <a:ext uri="{FF2B5EF4-FFF2-40B4-BE49-F238E27FC236}">
              <a16:creationId xmlns:a16="http://schemas.microsoft.com/office/drawing/2014/main" xmlns="" id="{EF1AC91A-238B-4826-9442-8E06578BF245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419" name="Text Box 1">
          <a:extLst>
            <a:ext uri="{FF2B5EF4-FFF2-40B4-BE49-F238E27FC236}">
              <a16:creationId xmlns:a16="http://schemas.microsoft.com/office/drawing/2014/main" xmlns="" id="{D3384914-526B-4FC1-96EC-B8AC065EA4CA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420" name="Text Box 1">
          <a:extLst>
            <a:ext uri="{FF2B5EF4-FFF2-40B4-BE49-F238E27FC236}">
              <a16:creationId xmlns:a16="http://schemas.microsoft.com/office/drawing/2014/main" xmlns="" id="{54BAFE66-0758-4A42-AEA6-C5B407C31C52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421" name="Text Box 1">
          <a:extLst>
            <a:ext uri="{FF2B5EF4-FFF2-40B4-BE49-F238E27FC236}">
              <a16:creationId xmlns:a16="http://schemas.microsoft.com/office/drawing/2014/main" xmlns="" id="{B534B967-9397-48F3-BBCD-9B2BE24B366D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422" name="Text Box 1">
          <a:extLst>
            <a:ext uri="{FF2B5EF4-FFF2-40B4-BE49-F238E27FC236}">
              <a16:creationId xmlns:a16="http://schemas.microsoft.com/office/drawing/2014/main" xmlns="" id="{B079235E-54A9-4744-B0A6-96571605990D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423" name="Text Box 1">
          <a:extLst>
            <a:ext uri="{FF2B5EF4-FFF2-40B4-BE49-F238E27FC236}">
              <a16:creationId xmlns:a16="http://schemas.microsoft.com/office/drawing/2014/main" xmlns="" id="{40C88C44-3CAF-4AB6-987F-7ECD84FBC48D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424" name="Text Box 1">
          <a:extLst>
            <a:ext uri="{FF2B5EF4-FFF2-40B4-BE49-F238E27FC236}">
              <a16:creationId xmlns:a16="http://schemas.microsoft.com/office/drawing/2014/main" xmlns="" id="{DF7ED093-82DF-40D1-A4D5-313550ECBD18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425" name="Text Box 1">
          <a:extLst>
            <a:ext uri="{FF2B5EF4-FFF2-40B4-BE49-F238E27FC236}">
              <a16:creationId xmlns:a16="http://schemas.microsoft.com/office/drawing/2014/main" xmlns="" id="{B07B3866-66A9-48A5-8221-51543EF39468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426" name="Text Box 1">
          <a:extLst>
            <a:ext uri="{FF2B5EF4-FFF2-40B4-BE49-F238E27FC236}">
              <a16:creationId xmlns:a16="http://schemas.microsoft.com/office/drawing/2014/main" xmlns="" id="{F6FE24E7-E440-4FAE-8161-C0728773BD31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427" name="Text Box 1">
          <a:extLst>
            <a:ext uri="{FF2B5EF4-FFF2-40B4-BE49-F238E27FC236}">
              <a16:creationId xmlns:a16="http://schemas.microsoft.com/office/drawing/2014/main" xmlns="" id="{7EBE95C1-3412-45A0-9BAA-3E1C2983DBCF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428" name="Text Box 1">
          <a:extLst>
            <a:ext uri="{FF2B5EF4-FFF2-40B4-BE49-F238E27FC236}">
              <a16:creationId xmlns:a16="http://schemas.microsoft.com/office/drawing/2014/main" xmlns="" id="{5CBABC43-47FA-4950-B1CA-41129C8705D4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429" name="Text Box 1">
          <a:extLst>
            <a:ext uri="{FF2B5EF4-FFF2-40B4-BE49-F238E27FC236}">
              <a16:creationId xmlns:a16="http://schemas.microsoft.com/office/drawing/2014/main" xmlns="" id="{26B5F0FA-BB41-41E2-B31C-7E0AC5548AD1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430" name="Text Box 1">
          <a:extLst>
            <a:ext uri="{FF2B5EF4-FFF2-40B4-BE49-F238E27FC236}">
              <a16:creationId xmlns:a16="http://schemas.microsoft.com/office/drawing/2014/main" xmlns="" id="{886E1A6E-894D-4A99-892A-473B25C440FD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431" name="Text Box 1">
          <a:extLst>
            <a:ext uri="{FF2B5EF4-FFF2-40B4-BE49-F238E27FC236}">
              <a16:creationId xmlns:a16="http://schemas.microsoft.com/office/drawing/2014/main" xmlns="" id="{F26DB52A-094E-4913-996F-1B64F329866E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432" name="Text Box 1">
          <a:extLst>
            <a:ext uri="{FF2B5EF4-FFF2-40B4-BE49-F238E27FC236}">
              <a16:creationId xmlns:a16="http://schemas.microsoft.com/office/drawing/2014/main" xmlns="" id="{B2BDB671-0FCB-4134-9B45-36FC745EBB2C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433" name="Text Box 1">
          <a:extLst>
            <a:ext uri="{FF2B5EF4-FFF2-40B4-BE49-F238E27FC236}">
              <a16:creationId xmlns:a16="http://schemas.microsoft.com/office/drawing/2014/main" xmlns="" id="{39BEF6DB-3328-43C9-820C-AD5AFBB34376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434" name="Text Box 1">
          <a:extLst>
            <a:ext uri="{FF2B5EF4-FFF2-40B4-BE49-F238E27FC236}">
              <a16:creationId xmlns:a16="http://schemas.microsoft.com/office/drawing/2014/main" xmlns="" id="{96CEBE59-2300-46D0-8339-F0D4A6D87B8E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435" name="Text Box 1">
          <a:extLst>
            <a:ext uri="{FF2B5EF4-FFF2-40B4-BE49-F238E27FC236}">
              <a16:creationId xmlns:a16="http://schemas.microsoft.com/office/drawing/2014/main" xmlns="" id="{E51D4072-8658-4AA6-9198-35AB42DE4898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436" name="Text Box 1">
          <a:extLst>
            <a:ext uri="{FF2B5EF4-FFF2-40B4-BE49-F238E27FC236}">
              <a16:creationId xmlns:a16="http://schemas.microsoft.com/office/drawing/2014/main" xmlns="" id="{AE3F591E-E3B6-4247-9E92-72049B2AAF47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437" name="Text Box 1">
          <a:extLst>
            <a:ext uri="{FF2B5EF4-FFF2-40B4-BE49-F238E27FC236}">
              <a16:creationId xmlns:a16="http://schemas.microsoft.com/office/drawing/2014/main" xmlns="" id="{FE5D9953-F3FB-47A9-8040-021EAE7CD120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438" name="Text Box 1">
          <a:extLst>
            <a:ext uri="{FF2B5EF4-FFF2-40B4-BE49-F238E27FC236}">
              <a16:creationId xmlns:a16="http://schemas.microsoft.com/office/drawing/2014/main" xmlns="" id="{DF0AE4E6-B702-4554-9DBE-B66D7D9F14C0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439" name="Text Box 1">
          <a:extLst>
            <a:ext uri="{FF2B5EF4-FFF2-40B4-BE49-F238E27FC236}">
              <a16:creationId xmlns:a16="http://schemas.microsoft.com/office/drawing/2014/main" xmlns="" id="{A3CC60A6-3F3C-4A56-B956-668A79C3A144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440" name="Text Box 1">
          <a:extLst>
            <a:ext uri="{FF2B5EF4-FFF2-40B4-BE49-F238E27FC236}">
              <a16:creationId xmlns:a16="http://schemas.microsoft.com/office/drawing/2014/main" xmlns="" id="{39243152-49D7-432D-AD59-5E4A65FD5886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441" name="Text Box 1">
          <a:extLst>
            <a:ext uri="{FF2B5EF4-FFF2-40B4-BE49-F238E27FC236}">
              <a16:creationId xmlns:a16="http://schemas.microsoft.com/office/drawing/2014/main" xmlns="" id="{CEB3B31D-0725-4E68-B0AC-E2206B934746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442" name="Text Box 1">
          <a:extLst>
            <a:ext uri="{FF2B5EF4-FFF2-40B4-BE49-F238E27FC236}">
              <a16:creationId xmlns:a16="http://schemas.microsoft.com/office/drawing/2014/main" xmlns="" id="{19155839-48F1-4EAA-A6C6-F160E9D916BF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443" name="Text Box 1">
          <a:extLst>
            <a:ext uri="{FF2B5EF4-FFF2-40B4-BE49-F238E27FC236}">
              <a16:creationId xmlns:a16="http://schemas.microsoft.com/office/drawing/2014/main" xmlns="" id="{F5E730CC-FCF8-4CB0-BA9A-10B65FDE39F8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444" name="Text Box 1">
          <a:extLst>
            <a:ext uri="{FF2B5EF4-FFF2-40B4-BE49-F238E27FC236}">
              <a16:creationId xmlns:a16="http://schemas.microsoft.com/office/drawing/2014/main" xmlns="" id="{D1C365A0-F8B3-4478-9A4E-E19B02595766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445" name="Text Box 1">
          <a:extLst>
            <a:ext uri="{FF2B5EF4-FFF2-40B4-BE49-F238E27FC236}">
              <a16:creationId xmlns:a16="http://schemas.microsoft.com/office/drawing/2014/main" xmlns="" id="{B03DB4A8-A997-4681-BAA6-3251EF954626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446" name="Text Box 1">
          <a:extLst>
            <a:ext uri="{FF2B5EF4-FFF2-40B4-BE49-F238E27FC236}">
              <a16:creationId xmlns:a16="http://schemas.microsoft.com/office/drawing/2014/main" xmlns="" id="{17CDAF8E-182D-4D53-BEE9-B9A98BAC47E1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447" name="Text Box 1">
          <a:extLst>
            <a:ext uri="{FF2B5EF4-FFF2-40B4-BE49-F238E27FC236}">
              <a16:creationId xmlns:a16="http://schemas.microsoft.com/office/drawing/2014/main" xmlns="" id="{FBB60A2B-BEB0-46DF-944B-A56D25DDE614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448" name="Text Box 1">
          <a:extLst>
            <a:ext uri="{FF2B5EF4-FFF2-40B4-BE49-F238E27FC236}">
              <a16:creationId xmlns:a16="http://schemas.microsoft.com/office/drawing/2014/main" xmlns="" id="{2136BD1F-1C29-4675-95A5-F62B36FEF8CB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449" name="Text Box 1">
          <a:extLst>
            <a:ext uri="{FF2B5EF4-FFF2-40B4-BE49-F238E27FC236}">
              <a16:creationId xmlns:a16="http://schemas.microsoft.com/office/drawing/2014/main" xmlns="" id="{A79E14CF-84DA-42AC-8E19-14AA317A10D1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450" name="Text Box 1">
          <a:extLst>
            <a:ext uri="{FF2B5EF4-FFF2-40B4-BE49-F238E27FC236}">
              <a16:creationId xmlns:a16="http://schemas.microsoft.com/office/drawing/2014/main" xmlns="" id="{98AA2124-8641-4D0A-9E02-853DC7E2A15D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451" name="Text Box 1">
          <a:extLst>
            <a:ext uri="{FF2B5EF4-FFF2-40B4-BE49-F238E27FC236}">
              <a16:creationId xmlns:a16="http://schemas.microsoft.com/office/drawing/2014/main" xmlns="" id="{4CF9847C-D5D0-4A74-9443-A6CCC62EBFFA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452" name="Text Box 1">
          <a:extLst>
            <a:ext uri="{FF2B5EF4-FFF2-40B4-BE49-F238E27FC236}">
              <a16:creationId xmlns:a16="http://schemas.microsoft.com/office/drawing/2014/main" xmlns="" id="{4A1A855E-329E-4469-8AE6-7B43B946095E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453" name="Text Box 1">
          <a:extLst>
            <a:ext uri="{FF2B5EF4-FFF2-40B4-BE49-F238E27FC236}">
              <a16:creationId xmlns:a16="http://schemas.microsoft.com/office/drawing/2014/main" xmlns="" id="{AC51C119-52CA-4A68-A5FE-E26E793D773F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454" name="Text Box 1">
          <a:extLst>
            <a:ext uri="{FF2B5EF4-FFF2-40B4-BE49-F238E27FC236}">
              <a16:creationId xmlns:a16="http://schemas.microsoft.com/office/drawing/2014/main" xmlns="" id="{4E984BEC-381B-4CAF-A064-3A21A8543C1F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455" name="Text Box 1">
          <a:extLst>
            <a:ext uri="{FF2B5EF4-FFF2-40B4-BE49-F238E27FC236}">
              <a16:creationId xmlns:a16="http://schemas.microsoft.com/office/drawing/2014/main" xmlns="" id="{3165799A-AE3A-4AF5-A611-83F55FE4A77E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456" name="Text Box 1">
          <a:extLst>
            <a:ext uri="{FF2B5EF4-FFF2-40B4-BE49-F238E27FC236}">
              <a16:creationId xmlns:a16="http://schemas.microsoft.com/office/drawing/2014/main" xmlns="" id="{21DC4161-8353-435E-B40F-6D7026EED0DB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457" name="Text Box 1">
          <a:extLst>
            <a:ext uri="{FF2B5EF4-FFF2-40B4-BE49-F238E27FC236}">
              <a16:creationId xmlns:a16="http://schemas.microsoft.com/office/drawing/2014/main" xmlns="" id="{86D12B20-0B5E-4061-9FEB-21CC40AB20E2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458" name="Text Box 1">
          <a:extLst>
            <a:ext uri="{FF2B5EF4-FFF2-40B4-BE49-F238E27FC236}">
              <a16:creationId xmlns:a16="http://schemas.microsoft.com/office/drawing/2014/main" xmlns="" id="{249A06AC-2D5C-470F-9D94-FBE42303768B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459" name="Text Box 1">
          <a:extLst>
            <a:ext uri="{FF2B5EF4-FFF2-40B4-BE49-F238E27FC236}">
              <a16:creationId xmlns:a16="http://schemas.microsoft.com/office/drawing/2014/main" xmlns="" id="{C321369F-C942-47D1-8118-0D28E0D2DE71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460" name="Text Box 1">
          <a:extLst>
            <a:ext uri="{FF2B5EF4-FFF2-40B4-BE49-F238E27FC236}">
              <a16:creationId xmlns:a16="http://schemas.microsoft.com/office/drawing/2014/main" xmlns="" id="{2D72B338-3620-4062-AE49-3AD83D7B51A4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461" name="Text Box 1">
          <a:extLst>
            <a:ext uri="{FF2B5EF4-FFF2-40B4-BE49-F238E27FC236}">
              <a16:creationId xmlns:a16="http://schemas.microsoft.com/office/drawing/2014/main" xmlns="" id="{41B34673-1B21-4D61-90FC-BB7BB15F9CA2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462" name="Text Box 1">
          <a:extLst>
            <a:ext uri="{FF2B5EF4-FFF2-40B4-BE49-F238E27FC236}">
              <a16:creationId xmlns:a16="http://schemas.microsoft.com/office/drawing/2014/main" xmlns="" id="{9E94C1B9-06D6-49A8-8B4F-E84C0CF086DA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463" name="Text Box 1">
          <a:extLst>
            <a:ext uri="{FF2B5EF4-FFF2-40B4-BE49-F238E27FC236}">
              <a16:creationId xmlns:a16="http://schemas.microsoft.com/office/drawing/2014/main" xmlns="" id="{9330E880-DAEE-4E5D-8DB5-C9CCC9F1F771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464" name="Text Box 1">
          <a:extLst>
            <a:ext uri="{FF2B5EF4-FFF2-40B4-BE49-F238E27FC236}">
              <a16:creationId xmlns:a16="http://schemas.microsoft.com/office/drawing/2014/main" xmlns="" id="{C451E24D-C9D2-43D4-AA8D-AF023D5E50BC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465" name="Text Box 1">
          <a:extLst>
            <a:ext uri="{FF2B5EF4-FFF2-40B4-BE49-F238E27FC236}">
              <a16:creationId xmlns:a16="http://schemas.microsoft.com/office/drawing/2014/main" xmlns="" id="{05B55670-0812-4449-8340-3E6865D92EF0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466" name="Text Box 1">
          <a:extLst>
            <a:ext uri="{FF2B5EF4-FFF2-40B4-BE49-F238E27FC236}">
              <a16:creationId xmlns:a16="http://schemas.microsoft.com/office/drawing/2014/main" xmlns="" id="{FCE08648-42A1-4A9B-8FE7-EB90D4386F2E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467" name="Text Box 1">
          <a:extLst>
            <a:ext uri="{FF2B5EF4-FFF2-40B4-BE49-F238E27FC236}">
              <a16:creationId xmlns:a16="http://schemas.microsoft.com/office/drawing/2014/main" xmlns="" id="{6540B1BD-5171-4258-9A12-1A50AB6FC4BF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468" name="Text Box 1">
          <a:extLst>
            <a:ext uri="{FF2B5EF4-FFF2-40B4-BE49-F238E27FC236}">
              <a16:creationId xmlns:a16="http://schemas.microsoft.com/office/drawing/2014/main" xmlns="" id="{B3D9DF4A-DD55-44F9-9662-1C2EC9119DFA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469" name="Text Box 1">
          <a:extLst>
            <a:ext uri="{FF2B5EF4-FFF2-40B4-BE49-F238E27FC236}">
              <a16:creationId xmlns:a16="http://schemas.microsoft.com/office/drawing/2014/main" xmlns="" id="{5950590C-F146-4010-A6EF-5E1E4084201A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470" name="Text Box 1">
          <a:extLst>
            <a:ext uri="{FF2B5EF4-FFF2-40B4-BE49-F238E27FC236}">
              <a16:creationId xmlns:a16="http://schemas.microsoft.com/office/drawing/2014/main" xmlns="" id="{F5068CC0-5A58-44AB-8B96-B437C3F7F4B1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471" name="Text Box 1">
          <a:extLst>
            <a:ext uri="{FF2B5EF4-FFF2-40B4-BE49-F238E27FC236}">
              <a16:creationId xmlns:a16="http://schemas.microsoft.com/office/drawing/2014/main" xmlns="" id="{B09E0A3A-3433-4312-8F4D-B63024B02A5C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472" name="Text Box 1">
          <a:extLst>
            <a:ext uri="{FF2B5EF4-FFF2-40B4-BE49-F238E27FC236}">
              <a16:creationId xmlns:a16="http://schemas.microsoft.com/office/drawing/2014/main" xmlns="" id="{E8BE30CC-FFA4-41AF-9AE8-BF742C5A9B52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473" name="Text Box 1">
          <a:extLst>
            <a:ext uri="{FF2B5EF4-FFF2-40B4-BE49-F238E27FC236}">
              <a16:creationId xmlns:a16="http://schemas.microsoft.com/office/drawing/2014/main" xmlns="" id="{62BF3315-2E40-4520-9232-B9628FA8D483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474" name="Text Box 1">
          <a:extLst>
            <a:ext uri="{FF2B5EF4-FFF2-40B4-BE49-F238E27FC236}">
              <a16:creationId xmlns:a16="http://schemas.microsoft.com/office/drawing/2014/main" xmlns="" id="{C855B68E-02B5-45F1-BE57-EE4241A99F00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475" name="Text Box 1">
          <a:extLst>
            <a:ext uri="{FF2B5EF4-FFF2-40B4-BE49-F238E27FC236}">
              <a16:creationId xmlns:a16="http://schemas.microsoft.com/office/drawing/2014/main" xmlns="" id="{E91C8EFA-C1DD-481D-8A81-50A8DC1B06FE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476" name="Text Box 1">
          <a:extLst>
            <a:ext uri="{FF2B5EF4-FFF2-40B4-BE49-F238E27FC236}">
              <a16:creationId xmlns:a16="http://schemas.microsoft.com/office/drawing/2014/main" xmlns="" id="{A5A6031E-4014-4EAB-B856-38F6DA0B073C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477" name="Text Box 1">
          <a:extLst>
            <a:ext uri="{FF2B5EF4-FFF2-40B4-BE49-F238E27FC236}">
              <a16:creationId xmlns:a16="http://schemas.microsoft.com/office/drawing/2014/main" xmlns="" id="{F7B52FCE-A2FD-48C7-9D77-8454CCF50EA4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478" name="Text Box 1">
          <a:extLst>
            <a:ext uri="{FF2B5EF4-FFF2-40B4-BE49-F238E27FC236}">
              <a16:creationId xmlns:a16="http://schemas.microsoft.com/office/drawing/2014/main" xmlns="" id="{028B6356-05A7-4FD5-AF6A-6CC5E869951A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479" name="Text Box 1">
          <a:extLst>
            <a:ext uri="{FF2B5EF4-FFF2-40B4-BE49-F238E27FC236}">
              <a16:creationId xmlns:a16="http://schemas.microsoft.com/office/drawing/2014/main" xmlns="" id="{4A0BF6FF-2390-4E40-A4CC-30A4E94902DB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480" name="Text Box 1">
          <a:extLst>
            <a:ext uri="{FF2B5EF4-FFF2-40B4-BE49-F238E27FC236}">
              <a16:creationId xmlns:a16="http://schemas.microsoft.com/office/drawing/2014/main" xmlns="" id="{C522D001-EF93-42ED-9199-BD2B0A5604FC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481" name="Text Box 1">
          <a:extLst>
            <a:ext uri="{FF2B5EF4-FFF2-40B4-BE49-F238E27FC236}">
              <a16:creationId xmlns:a16="http://schemas.microsoft.com/office/drawing/2014/main" xmlns="" id="{F40B395C-024F-495A-9A95-595FA6E63D60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482" name="Text Box 1">
          <a:extLst>
            <a:ext uri="{FF2B5EF4-FFF2-40B4-BE49-F238E27FC236}">
              <a16:creationId xmlns:a16="http://schemas.microsoft.com/office/drawing/2014/main" xmlns="" id="{9F265CD6-51BC-4704-B9DB-709E14B72BFB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483" name="Text Box 1">
          <a:extLst>
            <a:ext uri="{FF2B5EF4-FFF2-40B4-BE49-F238E27FC236}">
              <a16:creationId xmlns:a16="http://schemas.microsoft.com/office/drawing/2014/main" xmlns="" id="{BDE2FA5F-B8C3-485B-959B-E93B3B28A2A2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484" name="Text Box 1">
          <a:extLst>
            <a:ext uri="{FF2B5EF4-FFF2-40B4-BE49-F238E27FC236}">
              <a16:creationId xmlns:a16="http://schemas.microsoft.com/office/drawing/2014/main" xmlns="" id="{9A43CFCC-3A52-42FC-8364-4CD50B57CE8E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485" name="Text Box 1">
          <a:extLst>
            <a:ext uri="{FF2B5EF4-FFF2-40B4-BE49-F238E27FC236}">
              <a16:creationId xmlns:a16="http://schemas.microsoft.com/office/drawing/2014/main" xmlns="" id="{48EE317E-BA1A-40D9-BFCE-013310950701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486" name="Text Box 1">
          <a:extLst>
            <a:ext uri="{FF2B5EF4-FFF2-40B4-BE49-F238E27FC236}">
              <a16:creationId xmlns:a16="http://schemas.microsoft.com/office/drawing/2014/main" xmlns="" id="{81206493-2ECE-4030-98CC-C747BB29D05C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487" name="Text Box 1">
          <a:extLst>
            <a:ext uri="{FF2B5EF4-FFF2-40B4-BE49-F238E27FC236}">
              <a16:creationId xmlns:a16="http://schemas.microsoft.com/office/drawing/2014/main" xmlns="" id="{639627E9-774E-40E5-9433-A7A692F821B8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488" name="Text Box 1">
          <a:extLst>
            <a:ext uri="{FF2B5EF4-FFF2-40B4-BE49-F238E27FC236}">
              <a16:creationId xmlns:a16="http://schemas.microsoft.com/office/drawing/2014/main" xmlns="" id="{D579B944-08EB-4585-98D7-0A75D2A38B0C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489" name="Text Box 1">
          <a:extLst>
            <a:ext uri="{FF2B5EF4-FFF2-40B4-BE49-F238E27FC236}">
              <a16:creationId xmlns:a16="http://schemas.microsoft.com/office/drawing/2014/main" xmlns="" id="{757C4DC6-10BF-4AE1-9444-621BC7FBC632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490" name="Text Box 1">
          <a:extLst>
            <a:ext uri="{FF2B5EF4-FFF2-40B4-BE49-F238E27FC236}">
              <a16:creationId xmlns:a16="http://schemas.microsoft.com/office/drawing/2014/main" xmlns="" id="{FA481F6F-385A-4216-B183-1D94C69AA62E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491" name="Text Box 1">
          <a:extLst>
            <a:ext uri="{FF2B5EF4-FFF2-40B4-BE49-F238E27FC236}">
              <a16:creationId xmlns:a16="http://schemas.microsoft.com/office/drawing/2014/main" xmlns="" id="{45FA265D-D74C-4344-A9DA-2F98A56D4F38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492" name="Text Box 1">
          <a:extLst>
            <a:ext uri="{FF2B5EF4-FFF2-40B4-BE49-F238E27FC236}">
              <a16:creationId xmlns:a16="http://schemas.microsoft.com/office/drawing/2014/main" xmlns="" id="{4CEC9DDB-7319-4068-A5DB-F145ECF6CEF6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493" name="Text Box 1">
          <a:extLst>
            <a:ext uri="{FF2B5EF4-FFF2-40B4-BE49-F238E27FC236}">
              <a16:creationId xmlns:a16="http://schemas.microsoft.com/office/drawing/2014/main" xmlns="" id="{3FE596D5-62A6-431A-8212-89D96CCC5472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494" name="Text Box 1">
          <a:extLst>
            <a:ext uri="{FF2B5EF4-FFF2-40B4-BE49-F238E27FC236}">
              <a16:creationId xmlns:a16="http://schemas.microsoft.com/office/drawing/2014/main" xmlns="" id="{9A12C736-AE32-4853-A66B-991BF8F1A982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495" name="Text Box 1">
          <a:extLst>
            <a:ext uri="{FF2B5EF4-FFF2-40B4-BE49-F238E27FC236}">
              <a16:creationId xmlns:a16="http://schemas.microsoft.com/office/drawing/2014/main" xmlns="" id="{F4D5DD21-CFFD-4418-AA44-E55F8D622FA5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496" name="Text Box 1">
          <a:extLst>
            <a:ext uri="{FF2B5EF4-FFF2-40B4-BE49-F238E27FC236}">
              <a16:creationId xmlns:a16="http://schemas.microsoft.com/office/drawing/2014/main" xmlns="" id="{8C2C5DFA-022D-47B7-A7FE-DB66BFD46ECB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497" name="Text Box 1">
          <a:extLst>
            <a:ext uri="{FF2B5EF4-FFF2-40B4-BE49-F238E27FC236}">
              <a16:creationId xmlns:a16="http://schemas.microsoft.com/office/drawing/2014/main" xmlns="" id="{D93561F9-1CF9-4EAE-9E94-2EF277B45091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498" name="Text Box 1">
          <a:extLst>
            <a:ext uri="{FF2B5EF4-FFF2-40B4-BE49-F238E27FC236}">
              <a16:creationId xmlns:a16="http://schemas.microsoft.com/office/drawing/2014/main" xmlns="" id="{4D70C213-8076-4BC6-87D9-3189950F9D58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499" name="Text Box 1">
          <a:extLst>
            <a:ext uri="{FF2B5EF4-FFF2-40B4-BE49-F238E27FC236}">
              <a16:creationId xmlns:a16="http://schemas.microsoft.com/office/drawing/2014/main" xmlns="" id="{DFA66B82-0A3D-4F92-B6DD-E0F287A51A66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500" name="Text Box 1">
          <a:extLst>
            <a:ext uri="{FF2B5EF4-FFF2-40B4-BE49-F238E27FC236}">
              <a16:creationId xmlns:a16="http://schemas.microsoft.com/office/drawing/2014/main" xmlns="" id="{18A9C5A3-4125-44A3-AD84-C4CCCB40C019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501" name="Text Box 1">
          <a:extLst>
            <a:ext uri="{FF2B5EF4-FFF2-40B4-BE49-F238E27FC236}">
              <a16:creationId xmlns:a16="http://schemas.microsoft.com/office/drawing/2014/main" xmlns="" id="{7C1C881D-C8A9-47E7-8D35-BCE4BCDFCE0E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502" name="Text Box 1">
          <a:extLst>
            <a:ext uri="{FF2B5EF4-FFF2-40B4-BE49-F238E27FC236}">
              <a16:creationId xmlns:a16="http://schemas.microsoft.com/office/drawing/2014/main" xmlns="" id="{7EB80D7A-D5D7-4505-A21B-1A92661B4815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503" name="Text Box 1">
          <a:extLst>
            <a:ext uri="{FF2B5EF4-FFF2-40B4-BE49-F238E27FC236}">
              <a16:creationId xmlns:a16="http://schemas.microsoft.com/office/drawing/2014/main" xmlns="" id="{E3FE6FB4-B6CB-4DF6-AC6A-4460D5808DAA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504" name="Text Box 1">
          <a:extLst>
            <a:ext uri="{FF2B5EF4-FFF2-40B4-BE49-F238E27FC236}">
              <a16:creationId xmlns:a16="http://schemas.microsoft.com/office/drawing/2014/main" xmlns="" id="{A30A067B-0877-4949-AD9F-9E7EAE39A7B0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505" name="Text Box 1">
          <a:extLst>
            <a:ext uri="{FF2B5EF4-FFF2-40B4-BE49-F238E27FC236}">
              <a16:creationId xmlns:a16="http://schemas.microsoft.com/office/drawing/2014/main" xmlns="" id="{6F98C1FD-4059-4FE1-B381-C05C5B0112FF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506" name="Text Box 1">
          <a:extLst>
            <a:ext uri="{FF2B5EF4-FFF2-40B4-BE49-F238E27FC236}">
              <a16:creationId xmlns:a16="http://schemas.microsoft.com/office/drawing/2014/main" xmlns="" id="{902D4BDC-F784-40EF-82CD-36257911BA42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507" name="Text Box 1">
          <a:extLst>
            <a:ext uri="{FF2B5EF4-FFF2-40B4-BE49-F238E27FC236}">
              <a16:creationId xmlns:a16="http://schemas.microsoft.com/office/drawing/2014/main" xmlns="" id="{9ACB4F17-D6D6-4AEA-BDBD-ABA2F01732CC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508" name="Text Box 1">
          <a:extLst>
            <a:ext uri="{FF2B5EF4-FFF2-40B4-BE49-F238E27FC236}">
              <a16:creationId xmlns:a16="http://schemas.microsoft.com/office/drawing/2014/main" xmlns="" id="{91E03617-FBC4-4D52-9613-3A8F951CA173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509" name="Text Box 1">
          <a:extLst>
            <a:ext uri="{FF2B5EF4-FFF2-40B4-BE49-F238E27FC236}">
              <a16:creationId xmlns:a16="http://schemas.microsoft.com/office/drawing/2014/main" xmlns="" id="{4BAD563D-EF57-46FF-B220-403461EA46A8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510" name="Text Box 1">
          <a:extLst>
            <a:ext uri="{FF2B5EF4-FFF2-40B4-BE49-F238E27FC236}">
              <a16:creationId xmlns:a16="http://schemas.microsoft.com/office/drawing/2014/main" xmlns="" id="{36BCE8FB-DBB0-4738-95E3-B6AFBB8F9772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511" name="Text Box 1">
          <a:extLst>
            <a:ext uri="{FF2B5EF4-FFF2-40B4-BE49-F238E27FC236}">
              <a16:creationId xmlns:a16="http://schemas.microsoft.com/office/drawing/2014/main" xmlns="" id="{FF11EE15-82F3-4CA2-A6F5-559DFA1DC938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512" name="Text Box 1">
          <a:extLst>
            <a:ext uri="{FF2B5EF4-FFF2-40B4-BE49-F238E27FC236}">
              <a16:creationId xmlns:a16="http://schemas.microsoft.com/office/drawing/2014/main" xmlns="" id="{F56627D6-F3B0-4F04-AF0B-0BCE45989F56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513" name="Text Box 1">
          <a:extLst>
            <a:ext uri="{FF2B5EF4-FFF2-40B4-BE49-F238E27FC236}">
              <a16:creationId xmlns:a16="http://schemas.microsoft.com/office/drawing/2014/main" xmlns="" id="{F15F28D0-AEF0-40CD-BE83-DFE723B6E36D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514" name="Text Box 1">
          <a:extLst>
            <a:ext uri="{FF2B5EF4-FFF2-40B4-BE49-F238E27FC236}">
              <a16:creationId xmlns:a16="http://schemas.microsoft.com/office/drawing/2014/main" xmlns="" id="{9C3FA169-D809-4CBA-B057-3FFFCAE3BABB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515" name="Text Box 1">
          <a:extLst>
            <a:ext uri="{FF2B5EF4-FFF2-40B4-BE49-F238E27FC236}">
              <a16:creationId xmlns:a16="http://schemas.microsoft.com/office/drawing/2014/main" xmlns="" id="{11F9DB6B-DFD9-456D-AA71-5F39B4F2E5DF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516" name="Text Box 1">
          <a:extLst>
            <a:ext uri="{FF2B5EF4-FFF2-40B4-BE49-F238E27FC236}">
              <a16:creationId xmlns:a16="http://schemas.microsoft.com/office/drawing/2014/main" xmlns="" id="{4732C5A7-44CB-4379-B2D1-96B2794BEBBB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517" name="Text Box 1">
          <a:extLst>
            <a:ext uri="{FF2B5EF4-FFF2-40B4-BE49-F238E27FC236}">
              <a16:creationId xmlns:a16="http://schemas.microsoft.com/office/drawing/2014/main" xmlns="" id="{C9C5FE1D-B4F7-4EEB-8DE4-BECD7D0F851D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518" name="Text Box 1">
          <a:extLst>
            <a:ext uri="{FF2B5EF4-FFF2-40B4-BE49-F238E27FC236}">
              <a16:creationId xmlns:a16="http://schemas.microsoft.com/office/drawing/2014/main" xmlns="" id="{87C04B15-8602-40F5-83AD-FBC49975E5B9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519" name="Text Box 1">
          <a:extLst>
            <a:ext uri="{FF2B5EF4-FFF2-40B4-BE49-F238E27FC236}">
              <a16:creationId xmlns:a16="http://schemas.microsoft.com/office/drawing/2014/main" xmlns="" id="{351805C6-90D8-4F88-BD33-9FA1BB7908CD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520" name="Text Box 1">
          <a:extLst>
            <a:ext uri="{FF2B5EF4-FFF2-40B4-BE49-F238E27FC236}">
              <a16:creationId xmlns:a16="http://schemas.microsoft.com/office/drawing/2014/main" xmlns="" id="{06707A11-0EEE-4F19-9F97-111364519720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521" name="Text Box 1">
          <a:extLst>
            <a:ext uri="{FF2B5EF4-FFF2-40B4-BE49-F238E27FC236}">
              <a16:creationId xmlns:a16="http://schemas.microsoft.com/office/drawing/2014/main" xmlns="" id="{8AD42148-EB0C-4284-9DCF-58E6AD9BBFE3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522" name="Text Box 1">
          <a:extLst>
            <a:ext uri="{FF2B5EF4-FFF2-40B4-BE49-F238E27FC236}">
              <a16:creationId xmlns:a16="http://schemas.microsoft.com/office/drawing/2014/main" xmlns="" id="{D0045D39-A3D9-440B-9CB3-E44779A7C0C0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523" name="Text Box 1">
          <a:extLst>
            <a:ext uri="{FF2B5EF4-FFF2-40B4-BE49-F238E27FC236}">
              <a16:creationId xmlns:a16="http://schemas.microsoft.com/office/drawing/2014/main" xmlns="" id="{D4A63609-3A34-45FB-8B92-DFE288DD99BA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524" name="Text Box 1">
          <a:extLst>
            <a:ext uri="{FF2B5EF4-FFF2-40B4-BE49-F238E27FC236}">
              <a16:creationId xmlns:a16="http://schemas.microsoft.com/office/drawing/2014/main" xmlns="" id="{2F47AD7A-F64B-4BEA-ABC3-5BAFD9A394BB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525" name="Text Box 1">
          <a:extLst>
            <a:ext uri="{FF2B5EF4-FFF2-40B4-BE49-F238E27FC236}">
              <a16:creationId xmlns:a16="http://schemas.microsoft.com/office/drawing/2014/main" xmlns="" id="{A6E1B1AD-5EC9-40AD-A051-077C004A05D3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526" name="Text Box 1">
          <a:extLst>
            <a:ext uri="{FF2B5EF4-FFF2-40B4-BE49-F238E27FC236}">
              <a16:creationId xmlns:a16="http://schemas.microsoft.com/office/drawing/2014/main" xmlns="" id="{3AD0B4C7-B821-4F69-ADE2-46AEEC8EBA14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527" name="Text Box 1">
          <a:extLst>
            <a:ext uri="{FF2B5EF4-FFF2-40B4-BE49-F238E27FC236}">
              <a16:creationId xmlns:a16="http://schemas.microsoft.com/office/drawing/2014/main" xmlns="" id="{3798A67A-48AD-409E-B0BD-0C98C0DE95BE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528" name="Text Box 1">
          <a:extLst>
            <a:ext uri="{FF2B5EF4-FFF2-40B4-BE49-F238E27FC236}">
              <a16:creationId xmlns:a16="http://schemas.microsoft.com/office/drawing/2014/main" xmlns="" id="{00CF2FAE-1C5C-4655-9D47-F1434C95E2C5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529" name="Text Box 1">
          <a:extLst>
            <a:ext uri="{FF2B5EF4-FFF2-40B4-BE49-F238E27FC236}">
              <a16:creationId xmlns:a16="http://schemas.microsoft.com/office/drawing/2014/main" xmlns="" id="{A2E8D502-D8C5-49F3-A01B-024F407473AE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530" name="Text Box 1">
          <a:extLst>
            <a:ext uri="{FF2B5EF4-FFF2-40B4-BE49-F238E27FC236}">
              <a16:creationId xmlns:a16="http://schemas.microsoft.com/office/drawing/2014/main" xmlns="" id="{E106C076-AF9B-4EDB-A5E5-8AA0F6F64923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531" name="Text Box 1">
          <a:extLst>
            <a:ext uri="{FF2B5EF4-FFF2-40B4-BE49-F238E27FC236}">
              <a16:creationId xmlns:a16="http://schemas.microsoft.com/office/drawing/2014/main" xmlns="" id="{40CBF6E1-5E5A-49CD-998D-8D1192366244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532" name="Text Box 1">
          <a:extLst>
            <a:ext uri="{FF2B5EF4-FFF2-40B4-BE49-F238E27FC236}">
              <a16:creationId xmlns:a16="http://schemas.microsoft.com/office/drawing/2014/main" xmlns="" id="{E8316B3B-DEBF-4BC8-88B6-BB3B623148E4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533" name="Text Box 1">
          <a:extLst>
            <a:ext uri="{FF2B5EF4-FFF2-40B4-BE49-F238E27FC236}">
              <a16:creationId xmlns:a16="http://schemas.microsoft.com/office/drawing/2014/main" xmlns="" id="{338A128A-A067-41FB-85D9-AC9D7EE69185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534" name="Text Box 1">
          <a:extLst>
            <a:ext uri="{FF2B5EF4-FFF2-40B4-BE49-F238E27FC236}">
              <a16:creationId xmlns:a16="http://schemas.microsoft.com/office/drawing/2014/main" xmlns="" id="{8867B72B-7CE0-4537-8463-CB300A87DFC0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535" name="Text Box 1">
          <a:extLst>
            <a:ext uri="{FF2B5EF4-FFF2-40B4-BE49-F238E27FC236}">
              <a16:creationId xmlns:a16="http://schemas.microsoft.com/office/drawing/2014/main" xmlns="" id="{B5ADAE30-1A31-4580-BF54-4DD2FC4A3193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536" name="Text Box 1">
          <a:extLst>
            <a:ext uri="{FF2B5EF4-FFF2-40B4-BE49-F238E27FC236}">
              <a16:creationId xmlns:a16="http://schemas.microsoft.com/office/drawing/2014/main" xmlns="" id="{028AB2EE-D83F-48FB-931D-188577A48162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537" name="Text Box 1">
          <a:extLst>
            <a:ext uri="{FF2B5EF4-FFF2-40B4-BE49-F238E27FC236}">
              <a16:creationId xmlns:a16="http://schemas.microsoft.com/office/drawing/2014/main" xmlns="" id="{E63F9E9A-4665-4F6B-942F-9628A886DDD4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538" name="Text Box 1">
          <a:extLst>
            <a:ext uri="{FF2B5EF4-FFF2-40B4-BE49-F238E27FC236}">
              <a16:creationId xmlns:a16="http://schemas.microsoft.com/office/drawing/2014/main" xmlns="" id="{2E30AB4F-86E8-4E96-B307-0BC0373E5633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539" name="Text Box 1">
          <a:extLst>
            <a:ext uri="{FF2B5EF4-FFF2-40B4-BE49-F238E27FC236}">
              <a16:creationId xmlns:a16="http://schemas.microsoft.com/office/drawing/2014/main" xmlns="" id="{B10F2CD4-FF71-4860-8F54-6DAB698529E1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540" name="Text Box 1">
          <a:extLst>
            <a:ext uri="{FF2B5EF4-FFF2-40B4-BE49-F238E27FC236}">
              <a16:creationId xmlns:a16="http://schemas.microsoft.com/office/drawing/2014/main" xmlns="" id="{0CF2B58C-C9E6-4A4E-B516-E0A3DCB82178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541" name="Text Box 1">
          <a:extLst>
            <a:ext uri="{FF2B5EF4-FFF2-40B4-BE49-F238E27FC236}">
              <a16:creationId xmlns:a16="http://schemas.microsoft.com/office/drawing/2014/main" xmlns="" id="{1DCDD6C9-FAAB-43B5-97F1-870837B2BAF9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542" name="Text Box 1">
          <a:extLst>
            <a:ext uri="{FF2B5EF4-FFF2-40B4-BE49-F238E27FC236}">
              <a16:creationId xmlns:a16="http://schemas.microsoft.com/office/drawing/2014/main" xmlns="" id="{7EF79245-80A3-4EB4-AEC6-573CA07AFACB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543" name="Text Box 1">
          <a:extLst>
            <a:ext uri="{FF2B5EF4-FFF2-40B4-BE49-F238E27FC236}">
              <a16:creationId xmlns:a16="http://schemas.microsoft.com/office/drawing/2014/main" xmlns="" id="{06D7CA9D-D40D-4A6E-86E4-0E55C25DD3E9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544" name="Text Box 1">
          <a:extLst>
            <a:ext uri="{FF2B5EF4-FFF2-40B4-BE49-F238E27FC236}">
              <a16:creationId xmlns:a16="http://schemas.microsoft.com/office/drawing/2014/main" xmlns="" id="{3487A9A7-34FE-4772-85EA-BBCF9D2A918C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545" name="Text Box 1">
          <a:extLst>
            <a:ext uri="{FF2B5EF4-FFF2-40B4-BE49-F238E27FC236}">
              <a16:creationId xmlns:a16="http://schemas.microsoft.com/office/drawing/2014/main" xmlns="" id="{DA8BA378-3A89-4896-A198-E7FB59AF2033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546" name="Text Box 1">
          <a:extLst>
            <a:ext uri="{FF2B5EF4-FFF2-40B4-BE49-F238E27FC236}">
              <a16:creationId xmlns:a16="http://schemas.microsoft.com/office/drawing/2014/main" xmlns="" id="{25F55AF7-E594-466E-8C38-4F4740228A21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547" name="Text Box 1">
          <a:extLst>
            <a:ext uri="{FF2B5EF4-FFF2-40B4-BE49-F238E27FC236}">
              <a16:creationId xmlns:a16="http://schemas.microsoft.com/office/drawing/2014/main" xmlns="" id="{F78D1CF7-BB42-4BE5-A4C0-E5DBAE5B4733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548" name="Text Box 1">
          <a:extLst>
            <a:ext uri="{FF2B5EF4-FFF2-40B4-BE49-F238E27FC236}">
              <a16:creationId xmlns:a16="http://schemas.microsoft.com/office/drawing/2014/main" xmlns="" id="{EB1DDF35-D0CC-47A4-9E46-578B778A23FC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549" name="Text Box 1">
          <a:extLst>
            <a:ext uri="{FF2B5EF4-FFF2-40B4-BE49-F238E27FC236}">
              <a16:creationId xmlns:a16="http://schemas.microsoft.com/office/drawing/2014/main" xmlns="" id="{DCCB68BD-61DE-49FF-A506-98435B98DDB9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550" name="Text Box 1">
          <a:extLst>
            <a:ext uri="{FF2B5EF4-FFF2-40B4-BE49-F238E27FC236}">
              <a16:creationId xmlns:a16="http://schemas.microsoft.com/office/drawing/2014/main" xmlns="" id="{7BE160BF-0D0E-4BF9-9773-658DF5D81A5A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551" name="Text Box 1">
          <a:extLst>
            <a:ext uri="{FF2B5EF4-FFF2-40B4-BE49-F238E27FC236}">
              <a16:creationId xmlns:a16="http://schemas.microsoft.com/office/drawing/2014/main" xmlns="" id="{9D9C8DD4-4AA1-4D06-9C5E-8B5A1BFE4FA1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552" name="Text Box 1">
          <a:extLst>
            <a:ext uri="{FF2B5EF4-FFF2-40B4-BE49-F238E27FC236}">
              <a16:creationId xmlns:a16="http://schemas.microsoft.com/office/drawing/2014/main" xmlns="" id="{E061F5FD-29C9-4D70-917B-E2225E4BF8BE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553" name="Text Box 1">
          <a:extLst>
            <a:ext uri="{FF2B5EF4-FFF2-40B4-BE49-F238E27FC236}">
              <a16:creationId xmlns:a16="http://schemas.microsoft.com/office/drawing/2014/main" xmlns="" id="{E51C2F31-AD9D-48E5-98E8-DFBC4DF47345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554" name="Text Box 1">
          <a:extLst>
            <a:ext uri="{FF2B5EF4-FFF2-40B4-BE49-F238E27FC236}">
              <a16:creationId xmlns:a16="http://schemas.microsoft.com/office/drawing/2014/main" xmlns="" id="{636EE102-358E-48B3-B35C-CDBDE857C46C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555" name="Text Box 1">
          <a:extLst>
            <a:ext uri="{FF2B5EF4-FFF2-40B4-BE49-F238E27FC236}">
              <a16:creationId xmlns:a16="http://schemas.microsoft.com/office/drawing/2014/main" xmlns="" id="{E0DB449A-1844-4B97-963D-5E39D934E636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556" name="Text Box 1">
          <a:extLst>
            <a:ext uri="{FF2B5EF4-FFF2-40B4-BE49-F238E27FC236}">
              <a16:creationId xmlns:a16="http://schemas.microsoft.com/office/drawing/2014/main" xmlns="" id="{AFACBAB1-39E5-44F6-8211-909F348C7C85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557" name="Text Box 1">
          <a:extLst>
            <a:ext uri="{FF2B5EF4-FFF2-40B4-BE49-F238E27FC236}">
              <a16:creationId xmlns:a16="http://schemas.microsoft.com/office/drawing/2014/main" xmlns="" id="{D3DB0EFB-4DAF-4924-B6DD-E8FCDAC2E454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558" name="Text Box 1">
          <a:extLst>
            <a:ext uri="{FF2B5EF4-FFF2-40B4-BE49-F238E27FC236}">
              <a16:creationId xmlns:a16="http://schemas.microsoft.com/office/drawing/2014/main" xmlns="" id="{2B834951-7904-468C-8B38-3A022EDEECDD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559" name="Text Box 1">
          <a:extLst>
            <a:ext uri="{FF2B5EF4-FFF2-40B4-BE49-F238E27FC236}">
              <a16:creationId xmlns:a16="http://schemas.microsoft.com/office/drawing/2014/main" xmlns="" id="{0F45A26D-2EE5-45EC-99CF-FF4CDB48987C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560" name="Text Box 1">
          <a:extLst>
            <a:ext uri="{FF2B5EF4-FFF2-40B4-BE49-F238E27FC236}">
              <a16:creationId xmlns:a16="http://schemas.microsoft.com/office/drawing/2014/main" xmlns="" id="{6261BFE6-0991-4CB6-BDAF-A63A4D8D1FFC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561" name="Text Box 1">
          <a:extLst>
            <a:ext uri="{FF2B5EF4-FFF2-40B4-BE49-F238E27FC236}">
              <a16:creationId xmlns:a16="http://schemas.microsoft.com/office/drawing/2014/main" xmlns="" id="{6DB8777F-59B4-44FD-8A03-2D76E7370C57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562" name="Text Box 1">
          <a:extLst>
            <a:ext uri="{FF2B5EF4-FFF2-40B4-BE49-F238E27FC236}">
              <a16:creationId xmlns:a16="http://schemas.microsoft.com/office/drawing/2014/main" xmlns="" id="{1063538A-F3A6-46ED-9944-BCDC313F118F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563" name="Text Box 1">
          <a:extLst>
            <a:ext uri="{FF2B5EF4-FFF2-40B4-BE49-F238E27FC236}">
              <a16:creationId xmlns:a16="http://schemas.microsoft.com/office/drawing/2014/main" xmlns="" id="{A043B13D-38F7-431C-A5F7-7AECDC92CEFB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564" name="Text Box 1">
          <a:extLst>
            <a:ext uri="{FF2B5EF4-FFF2-40B4-BE49-F238E27FC236}">
              <a16:creationId xmlns:a16="http://schemas.microsoft.com/office/drawing/2014/main" xmlns="" id="{44209506-E4A4-404B-A54A-2BB99A5709EC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565" name="Text Box 1">
          <a:extLst>
            <a:ext uri="{FF2B5EF4-FFF2-40B4-BE49-F238E27FC236}">
              <a16:creationId xmlns:a16="http://schemas.microsoft.com/office/drawing/2014/main" xmlns="" id="{D2417B9F-0612-494D-AAEF-066EB68CE3F6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566" name="Text Box 1">
          <a:extLst>
            <a:ext uri="{FF2B5EF4-FFF2-40B4-BE49-F238E27FC236}">
              <a16:creationId xmlns:a16="http://schemas.microsoft.com/office/drawing/2014/main" xmlns="" id="{74AAF0B9-2786-47E6-8F92-941FFE0F935D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567" name="Text Box 1">
          <a:extLst>
            <a:ext uri="{FF2B5EF4-FFF2-40B4-BE49-F238E27FC236}">
              <a16:creationId xmlns:a16="http://schemas.microsoft.com/office/drawing/2014/main" xmlns="" id="{8E472299-07B7-4551-AF4E-5514DB0E2BC5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568" name="Text Box 1">
          <a:extLst>
            <a:ext uri="{FF2B5EF4-FFF2-40B4-BE49-F238E27FC236}">
              <a16:creationId xmlns:a16="http://schemas.microsoft.com/office/drawing/2014/main" xmlns="" id="{584342E8-F5A4-4BC7-8854-1F7984E57B69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569" name="Text Box 1">
          <a:extLst>
            <a:ext uri="{FF2B5EF4-FFF2-40B4-BE49-F238E27FC236}">
              <a16:creationId xmlns:a16="http://schemas.microsoft.com/office/drawing/2014/main" xmlns="" id="{A030D391-B8E8-4856-A4C0-1E82C6C7F492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570" name="Text Box 1">
          <a:extLst>
            <a:ext uri="{FF2B5EF4-FFF2-40B4-BE49-F238E27FC236}">
              <a16:creationId xmlns:a16="http://schemas.microsoft.com/office/drawing/2014/main" xmlns="" id="{94EFF7F4-04C5-4A1E-AE6E-E2015EA6DE14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571" name="Text Box 1">
          <a:extLst>
            <a:ext uri="{FF2B5EF4-FFF2-40B4-BE49-F238E27FC236}">
              <a16:creationId xmlns:a16="http://schemas.microsoft.com/office/drawing/2014/main" xmlns="" id="{080176EE-678A-434D-A4CE-EDA74482D84C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572" name="Text Box 1">
          <a:extLst>
            <a:ext uri="{FF2B5EF4-FFF2-40B4-BE49-F238E27FC236}">
              <a16:creationId xmlns:a16="http://schemas.microsoft.com/office/drawing/2014/main" xmlns="" id="{9F7FB66B-CB90-44FF-BE9D-AC770B6D3A64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573" name="Text Box 1">
          <a:extLst>
            <a:ext uri="{FF2B5EF4-FFF2-40B4-BE49-F238E27FC236}">
              <a16:creationId xmlns:a16="http://schemas.microsoft.com/office/drawing/2014/main" xmlns="" id="{6C5008F8-D23C-415D-A54F-3D188DA6B50A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574" name="Text Box 1">
          <a:extLst>
            <a:ext uri="{FF2B5EF4-FFF2-40B4-BE49-F238E27FC236}">
              <a16:creationId xmlns:a16="http://schemas.microsoft.com/office/drawing/2014/main" xmlns="" id="{DF5FE513-8B7D-4E6A-9710-030CF57E558E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575" name="Text Box 1">
          <a:extLst>
            <a:ext uri="{FF2B5EF4-FFF2-40B4-BE49-F238E27FC236}">
              <a16:creationId xmlns:a16="http://schemas.microsoft.com/office/drawing/2014/main" xmlns="" id="{AEBB6C65-1032-4CB4-8B8F-89FFA5727BD7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576" name="Text Box 1">
          <a:extLst>
            <a:ext uri="{FF2B5EF4-FFF2-40B4-BE49-F238E27FC236}">
              <a16:creationId xmlns:a16="http://schemas.microsoft.com/office/drawing/2014/main" xmlns="" id="{73E14A1B-C04A-4CF4-9C1B-B2EF354E4A93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577" name="Text Box 1">
          <a:extLst>
            <a:ext uri="{FF2B5EF4-FFF2-40B4-BE49-F238E27FC236}">
              <a16:creationId xmlns:a16="http://schemas.microsoft.com/office/drawing/2014/main" xmlns="" id="{0639ECB0-9DC6-47BF-81D5-5EF1DBD02875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578" name="Text Box 1">
          <a:extLst>
            <a:ext uri="{FF2B5EF4-FFF2-40B4-BE49-F238E27FC236}">
              <a16:creationId xmlns:a16="http://schemas.microsoft.com/office/drawing/2014/main" xmlns="" id="{55026730-7412-44B2-B281-D60505DBA7F0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579" name="Text Box 1">
          <a:extLst>
            <a:ext uri="{FF2B5EF4-FFF2-40B4-BE49-F238E27FC236}">
              <a16:creationId xmlns:a16="http://schemas.microsoft.com/office/drawing/2014/main" xmlns="" id="{5F024ED3-9664-4933-9970-0BA5AD5AD7A7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580" name="Text Box 1">
          <a:extLst>
            <a:ext uri="{FF2B5EF4-FFF2-40B4-BE49-F238E27FC236}">
              <a16:creationId xmlns:a16="http://schemas.microsoft.com/office/drawing/2014/main" xmlns="" id="{27879BFE-8F56-4B97-BFBE-EC1A4C8E5534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581" name="Text Box 1">
          <a:extLst>
            <a:ext uri="{FF2B5EF4-FFF2-40B4-BE49-F238E27FC236}">
              <a16:creationId xmlns:a16="http://schemas.microsoft.com/office/drawing/2014/main" xmlns="" id="{CE1E6F88-5CD1-4548-987A-B3E3B64897B5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582" name="Text Box 1">
          <a:extLst>
            <a:ext uri="{FF2B5EF4-FFF2-40B4-BE49-F238E27FC236}">
              <a16:creationId xmlns:a16="http://schemas.microsoft.com/office/drawing/2014/main" xmlns="" id="{9AAB16C9-34E8-466E-B862-FC91176698C6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583" name="Text Box 1">
          <a:extLst>
            <a:ext uri="{FF2B5EF4-FFF2-40B4-BE49-F238E27FC236}">
              <a16:creationId xmlns:a16="http://schemas.microsoft.com/office/drawing/2014/main" xmlns="" id="{166D3E75-19A6-48DC-BA1F-13CEBB5DA350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584" name="Text Box 1">
          <a:extLst>
            <a:ext uri="{FF2B5EF4-FFF2-40B4-BE49-F238E27FC236}">
              <a16:creationId xmlns:a16="http://schemas.microsoft.com/office/drawing/2014/main" xmlns="" id="{D2006FA7-BFED-427F-ADFA-80FCA27B726C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585" name="Text Box 1">
          <a:extLst>
            <a:ext uri="{FF2B5EF4-FFF2-40B4-BE49-F238E27FC236}">
              <a16:creationId xmlns:a16="http://schemas.microsoft.com/office/drawing/2014/main" xmlns="" id="{01C3653E-25EC-4251-9F0B-EB888CE0084E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586" name="Text Box 1">
          <a:extLst>
            <a:ext uri="{FF2B5EF4-FFF2-40B4-BE49-F238E27FC236}">
              <a16:creationId xmlns:a16="http://schemas.microsoft.com/office/drawing/2014/main" xmlns="" id="{8364B656-2233-4D1D-94D0-C1BBA1399AEF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587" name="Text Box 1">
          <a:extLst>
            <a:ext uri="{FF2B5EF4-FFF2-40B4-BE49-F238E27FC236}">
              <a16:creationId xmlns:a16="http://schemas.microsoft.com/office/drawing/2014/main" xmlns="" id="{13A95A9D-C855-4354-AC87-6C2663D9BD04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588" name="Text Box 1">
          <a:extLst>
            <a:ext uri="{FF2B5EF4-FFF2-40B4-BE49-F238E27FC236}">
              <a16:creationId xmlns:a16="http://schemas.microsoft.com/office/drawing/2014/main" xmlns="" id="{F68E3AB1-C6F4-48D0-9F3C-3B6DDE9D2111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589" name="Text Box 1">
          <a:extLst>
            <a:ext uri="{FF2B5EF4-FFF2-40B4-BE49-F238E27FC236}">
              <a16:creationId xmlns:a16="http://schemas.microsoft.com/office/drawing/2014/main" xmlns="" id="{0C3320C1-6C9F-4EEF-AA8D-58E924404AC0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590" name="Text Box 1">
          <a:extLst>
            <a:ext uri="{FF2B5EF4-FFF2-40B4-BE49-F238E27FC236}">
              <a16:creationId xmlns:a16="http://schemas.microsoft.com/office/drawing/2014/main" xmlns="" id="{033D9822-925D-4FF9-91E7-F9BA29879DBC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591" name="Text Box 1">
          <a:extLst>
            <a:ext uri="{FF2B5EF4-FFF2-40B4-BE49-F238E27FC236}">
              <a16:creationId xmlns:a16="http://schemas.microsoft.com/office/drawing/2014/main" xmlns="" id="{B90ADA8E-DE47-4185-A22C-B0F5A196B6D6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592" name="Text Box 1">
          <a:extLst>
            <a:ext uri="{FF2B5EF4-FFF2-40B4-BE49-F238E27FC236}">
              <a16:creationId xmlns:a16="http://schemas.microsoft.com/office/drawing/2014/main" xmlns="" id="{65A70489-18BF-48B6-BB5D-91D75D6E7A00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593" name="Text Box 1">
          <a:extLst>
            <a:ext uri="{FF2B5EF4-FFF2-40B4-BE49-F238E27FC236}">
              <a16:creationId xmlns:a16="http://schemas.microsoft.com/office/drawing/2014/main" xmlns="" id="{8D5CFB66-7D00-44FA-9B66-F2FE11B04CD5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594" name="Text Box 1">
          <a:extLst>
            <a:ext uri="{FF2B5EF4-FFF2-40B4-BE49-F238E27FC236}">
              <a16:creationId xmlns:a16="http://schemas.microsoft.com/office/drawing/2014/main" xmlns="" id="{2DA8DBE0-1F45-4BD8-8056-93A024BC830C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595" name="Text Box 1">
          <a:extLst>
            <a:ext uri="{FF2B5EF4-FFF2-40B4-BE49-F238E27FC236}">
              <a16:creationId xmlns:a16="http://schemas.microsoft.com/office/drawing/2014/main" xmlns="" id="{4C6C8F09-05EA-4B0A-88D9-711C320E61F3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596" name="Text Box 1">
          <a:extLst>
            <a:ext uri="{FF2B5EF4-FFF2-40B4-BE49-F238E27FC236}">
              <a16:creationId xmlns:a16="http://schemas.microsoft.com/office/drawing/2014/main" xmlns="" id="{DC876F14-0839-4C59-903C-8BF2D58EEEF8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597" name="Text Box 1">
          <a:extLst>
            <a:ext uri="{FF2B5EF4-FFF2-40B4-BE49-F238E27FC236}">
              <a16:creationId xmlns:a16="http://schemas.microsoft.com/office/drawing/2014/main" xmlns="" id="{ADCFBC9E-D30C-4399-A1B0-95BB94D480F6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598" name="Text Box 1">
          <a:extLst>
            <a:ext uri="{FF2B5EF4-FFF2-40B4-BE49-F238E27FC236}">
              <a16:creationId xmlns:a16="http://schemas.microsoft.com/office/drawing/2014/main" xmlns="" id="{622E0797-5D63-4BDF-9B91-24005FE57A9B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599" name="Text Box 1">
          <a:extLst>
            <a:ext uri="{FF2B5EF4-FFF2-40B4-BE49-F238E27FC236}">
              <a16:creationId xmlns:a16="http://schemas.microsoft.com/office/drawing/2014/main" xmlns="" id="{DCC689B7-80AB-421C-B42C-52BA6DEE9B84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600" name="Text Box 1">
          <a:extLst>
            <a:ext uri="{FF2B5EF4-FFF2-40B4-BE49-F238E27FC236}">
              <a16:creationId xmlns:a16="http://schemas.microsoft.com/office/drawing/2014/main" xmlns="" id="{B551A283-8865-4FB9-ACE4-C9C3C8EA9209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601" name="Text Box 1">
          <a:extLst>
            <a:ext uri="{FF2B5EF4-FFF2-40B4-BE49-F238E27FC236}">
              <a16:creationId xmlns:a16="http://schemas.microsoft.com/office/drawing/2014/main" xmlns="" id="{A5A36D75-4EC6-4A59-A7CB-04B29D3887CF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602" name="Text Box 1">
          <a:extLst>
            <a:ext uri="{FF2B5EF4-FFF2-40B4-BE49-F238E27FC236}">
              <a16:creationId xmlns:a16="http://schemas.microsoft.com/office/drawing/2014/main" xmlns="" id="{D22DD9F8-5111-4A35-B02F-B80939670FD7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603" name="Text Box 1">
          <a:extLst>
            <a:ext uri="{FF2B5EF4-FFF2-40B4-BE49-F238E27FC236}">
              <a16:creationId xmlns:a16="http://schemas.microsoft.com/office/drawing/2014/main" xmlns="" id="{79DD320F-D199-4C5A-8F70-2D3F7894A893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604" name="Text Box 1">
          <a:extLst>
            <a:ext uri="{FF2B5EF4-FFF2-40B4-BE49-F238E27FC236}">
              <a16:creationId xmlns:a16="http://schemas.microsoft.com/office/drawing/2014/main" xmlns="" id="{0341853B-50C2-42C1-B55D-58349FE9BF77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605" name="Text Box 1">
          <a:extLst>
            <a:ext uri="{FF2B5EF4-FFF2-40B4-BE49-F238E27FC236}">
              <a16:creationId xmlns:a16="http://schemas.microsoft.com/office/drawing/2014/main" xmlns="" id="{B5869F5C-5816-41DE-871A-8EAC4EBE7F85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606" name="Text Box 1">
          <a:extLst>
            <a:ext uri="{FF2B5EF4-FFF2-40B4-BE49-F238E27FC236}">
              <a16:creationId xmlns:a16="http://schemas.microsoft.com/office/drawing/2014/main" xmlns="" id="{245A175F-AACB-4D90-AD91-BA05A3763C5D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607" name="Text Box 1">
          <a:extLst>
            <a:ext uri="{FF2B5EF4-FFF2-40B4-BE49-F238E27FC236}">
              <a16:creationId xmlns:a16="http://schemas.microsoft.com/office/drawing/2014/main" xmlns="" id="{06B2342B-AD08-47B1-BB99-ECA6557EC54F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608" name="Text Box 1">
          <a:extLst>
            <a:ext uri="{FF2B5EF4-FFF2-40B4-BE49-F238E27FC236}">
              <a16:creationId xmlns:a16="http://schemas.microsoft.com/office/drawing/2014/main" xmlns="" id="{344570BF-4EC0-4CEE-9A0D-7ACF73CD5381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609" name="Text Box 1">
          <a:extLst>
            <a:ext uri="{FF2B5EF4-FFF2-40B4-BE49-F238E27FC236}">
              <a16:creationId xmlns:a16="http://schemas.microsoft.com/office/drawing/2014/main" xmlns="" id="{5E367082-9C67-4D9D-AE0C-2265B34DDB4B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610" name="Text Box 1">
          <a:extLst>
            <a:ext uri="{FF2B5EF4-FFF2-40B4-BE49-F238E27FC236}">
              <a16:creationId xmlns:a16="http://schemas.microsoft.com/office/drawing/2014/main" xmlns="" id="{823EC6D5-5546-4B72-99A3-818A1E4C87AD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611" name="Text Box 1">
          <a:extLst>
            <a:ext uri="{FF2B5EF4-FFF2-40B4-BE49-F238E27FC236}">
              <a16:creationId xmlns:a16="http://schemas.microsoft.com/office/drawing/2014/main" xmlns="" id="{CEA54CEF-928D-4466-A45E-AAADA72ECF35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612" name="Text Box 1">
          <a:extLst>
            <a:ext uri="{FF2B5EF4-FFF2-40B4-BE49-F238E27FC236}">
              <a16:creationId xmlns:a16="http://schemas.microsoft.com/office/drawing/2014/main" xmlns="" id="{9FFE1A53-F1A7-4A72-AF43-DD6A54C8CA0A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613" name="Text Box 1">
          <a:extLst>
            <a:ext uri="{FF2B5EF4-FFF2-40B4-BE49-F238E27FC236}">
              <a16:creationId xmlns:a16="http://schemas.microsoft.com/office/drawing/2014/main" xmlns="" id="{C4CBEA00-5422-400D-A0C9-4F0BB9E45E74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614" name="Text Box 1">
          <a:extLst>
            <a:ext uri="{FF2B5EF4-FFF2-40B4-BE49-F238E27FC236}">
              <a16:creationId xmlns:a16="http://schemas.microsoft.com/office/drawing/2014/main" xmlns="" id="{5117EB86-42A8-48B8-B139-0847280D2965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615" name="Text Box 1">
          <a:extLst>
            <a:ext uri="{FF2B5EF4-FFF2-40B4-BE49-F238E27FC236}">
              <a16:creationId xmlns:a16="http://schemas.microsoft.com/office/drawing/2014/main" xmlns="" id="{7A45EF97-A962-42FD-82B3-117517D32004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616" name="Text Box 1">
          <a:extLst>
            <a:ext uri="{FF2B5EF4-FFF2-40B4-BE49-F238E27FC236}">
              <a16:creationId xmlns:a16="http://schemas.microsoft.com/office/drawing/2014/main" xmlns="" id="{391B0ECC-8EB8-4187-900B-DF2BF85E92C6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617" name="Text Box 1">
          <a:extLst>
            <a:ext uri="{FF2B5EF4-FFF2-40B4-BE49-F238E27FC236}">
              <a16:creationId xmlns:a16="http://schemas.microsoft.com/office/drawing/2014/main" xmlns="" id="{53371263-E3E2-4E79-8C7C-41F0C3E21DA9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618" name="Text Box 1">
          <a:extLst>
            <a:ext uri="{FF2B5EF4-FFF2-40B4-BE49-F238E27FC236}">
              <a16:creationId xmlns:a16="http://schemas.microsoft.com/office/drawing/2014/main" xmlns="" id="{212E68C5-AAA3-4F36-9977-087C58B6D686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619" name="Text Box 1">
          <a:extLst>
            <a:ext uri="{FF2B5EF4-FFF2-40B4-BE49-F238E27FC236}">
              <a16:creationId xmlns:a16="http://schemas.microsoft.com/office/drawing/2014/main" xmlns="" id="{77D78C57-2DD8-4F0D-B231-61B1C7AB35AA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620" name="Text Box 1">
          <a:extLst>
            <a:ext uri="{FF2B5EF4-FFF2-40B4-BE49-F238E27FC236}">
              <a16:creationId xmlns:a16="http://schemas.microsoft.com/office/drawing/2014/main" xmlns="" id="{D991F82D-7FF3-4DF5-9083-1D5614E57C31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621" name="Text Box 1">
          <a:extLst>
            <a:ext uri="{FF2B5EF4-FFF2-40B4-BE49-F238E27FC236}">
              <a16:creationId xmlns:a16="http://schemas.microsoft.com/office/drawing/2014/main" xmlns="" id="{093E4ADD-387D-45EB-9AA9-089111A17862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622" name="Text Box 1">
          <a:extLst>
            <a:ext uri="{FF2B5EF4-FFF2-40B4-BE49-F238E27FC236}">
              <a16:creationId xmlns:a16="http://schemas.microsoft.com/office/drawing/2014/main" xmlns="" id="{06D18B07-5591-4013-9AFD-7B36CD21A7AF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623" name="Text Box 1">
          <a:extLst>
            <a:ext uri="{FF2B5EF4-FFF2-40B4-BE49-F238E27FC236}">
              <a16:creationId xmlns:a16="http://schemas.microsoft.com/office/drawing/2014/main" xmlns="" id="{F954D0D2-ACC4-40D2-9FB7-CDE964C5CE69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624" name="Text Box 1">
          <a:extLst>
            <a:ext uri="{FF2B5EF4-FFF2-40B4-BE49-F238E27FC236}">
              <a16:creationId xmlns:a16="http://schemas.microsoft.com/office/drawing/2014/main" xmlns="" id="{01A28089-2E71-4BF9-BFD6-1922BB89E6DD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625" name="Text Box 1">
          <a:extLst>
            <a:ext uri="{FF2B5EF4-FFF2-40B4-BE49-F238E27FC236}">
              <a16:creationId xmlns:a16="http://schemas.microsoft.com/office/drawing/2014/main" xmlns="" id="{0320183B-BA59-4CDA-B75B-FD82F42B4CEB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626" name="Text Box 1">
          <a:extLst>
            <a:ext uri="{FF2B5EF4-FFF2-40B4-BE49-F238E27FC236}">
              <a16:creationId xmlns:a16="http://schemas.microsoft.com/office/drawing/2014/main" xmlns="" id="{672C6C3B-5E5D-4F98-B175-A47765DF1CE4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627" name="Text Box 1">
          <a:extLst>
            <a:ext uri="{FF2B5EF4-FFF2-40B4-BE49-F238E27FC236}">
              <a16:creationId xmlns:a16="http://schemas.microsoft.com/office/drawing/2014/main" xmlns="" id="{80FCE531-FC5A-475D-A15F-59DBDE3285CC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628" name="Text Box 1">
          <a:extLst>
            <a:ext uri="{FF2B5EF4-FFF2-40B4-BE49-F238E27FC236}">
              <a16:creationId xmlns:a16="http://schemas.microsoft.com/office/drawing/2014/main" xmlns="" id="{0A71699F-FFB3-4092-B78C-A949123CFD07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629" name="Text Box 1">
          <a:extLst>
            <a:ext uri="{FF2B5EF4-FFF2-40B4-BE49-F238E27FC236}">
              <a16:creationId xmlns:a16="http://schemas.microsoft.com/office/drawing/2014/main" xmlns="" id="{9AC55B5E-C49B-42BC-96F4-218C8980C0DB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630" name="Text Box 1">
          <a:extLst>
            <a:ext uri="{FF2B5EF4-FFF2-40B4-BE49-F238E27FC236}">
              <a16:creationId xmlns:a16="http://schemas.microsoft.com/office/drawing/2014/main" xmlns="" id="{1125FE39-CCBD-4873-A2B2-7779F6FA3503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631" name="Text Box 1">
          <a:extLst>
            <a:ext uri="{FF2B5EF4-FFF2-40B4-BE49-F238E27FC236}">
              <a16:creationId xmlns:a16="http://schemas.microsoft.com/office/drawing/2014/main" xmlns="" id="{14C1F580-5035-4BE5-8FD2-2BB3E9DCD753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632" name="Text Box 1">
          <a:extLst>
            <a:ext uri="{FF2B5EF4-FFF2-40B4-BE49-F238E27FC236}">
              <a16:creationId xmlns:a16="http://schemas.microsoft.com/office/drawing/2014/main" xmlns="" id="{8926EA8E-C232-462F-AC30-3EF641CCC400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633" name="Text Box 1">
          <a:extLst>
            <a:ext uri="{FF2B5EF4-FFF2-40B4-BE49-F238E27FC236}">
              <a16:creationId xmlns:a16="http://schemas.microsoft.com/office/drawing/2014/main" xmlns="" id="{7CD3741B-6A13-4D71-BB07-3F6E7A751586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634" name="Text Box 1">
          <a:extLst>
            <a:ext uri="{FF2B5EF4-FFF2-40B4-BE49-F238E27FC236}">
              <a16:creationId xmlns:a16="http://schemas.microsoft.com/office/drawing/2014/main" xmlns="" id="{0D80927D-7A8D-4057-92AD-4DD871AF0434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635" name="Text Box 1">
          <a:extLst>
            <a:ext uri="{FF2B5EF4-FFF2-40B4-BE49-F238E27FC236}">
              <a16:creationId xmlns:a16="http://schemas.microsoft.com/office/drawing/2014/main" xmlns="" id="{BCD06AF0-F5B9-44E8-8BD5-DE44989A03DB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636" name="Text Box 1">
          <a:extLst>
            <a:ext uri="{FF2B5EF4-FFF2-40B4-BE49-F238E27FC236}">
              <a16:creationId xmlns:a16="http://schemas.microsoft.com/office/drawing/2014/main" xmlns="" id="{B679BBD7-1B44-40FC-92F9-FF641A37A253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637" name="Text Box 1">
          <a:extLst>
            <a:ext uri="{FF2B5EF4-FFF2-40B4-BE49-F238E27FC236}">
              <a16:creationId xmlns:a16="http://schemas.microsoft.com/office/drawing/2014/main" xmlns="" id="{DD200BE6-C07E-4564-898A-7262A1DA1661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638" name="Text Box 1">
          <a:extLst>
            <a:ext uri="{FF2B5EF4-FFF2-40B4-BE49-F238E27FC236}">
              <a16:creationId xmlns:a16="http://schemas.microsoft.com/office/drawing/2014/main" xmlns="" id="{24259460-F0F9-4B76-9B77-A5B8552884E3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639" name="Text Box 1">
          <a:extLst>
            <a:ext uri="{FF2B5EF4-FFF2-40B4-BE49-F238E27FC236}">
              <a16:creationId xmlns:a16="http://schemas.microsoft.com/office/drawing/2014/main" xmlns="" id="{FBD8DD42-6D84-4C6B-B23E-CB650B553D1B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640" name="Text Box 1">
          <a:extLst>
            <a:ext uri="{FF2B5EF4-FFF2-40B4-BE49-F238E27FC236}">
              <a16:creationId xmlns:a16="http://schemas.microsoft.com/office/drawing/2014/main" xmlns="" id="{47830712-66A2-41E9-9B87-17973B21CAA8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641" name="Text Box 1">
          <a:extLst>
            <a:ext uri="{FF2B5EF4-FFF2-40B4-BE49-F238E27FC236}">
              <a16:creationId xmlns:a16="http://schemas.microsoft.com/office/drawing/2014/main" xmlns="" id="{277BBDC7-C7ED-452E-8C72-A6E103F9AB83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642" name="Text Box 1">
          <a:extLst>
            <a:ext uri="{FF2B5EF4-FFF2-40B4-BE49-F238E27FC236}">
              <a16:creationId xmlns:a16="http://schemas.microsoft.com/office/drawing/2014/main" xmlns="" id="{28B795D6-DEF6-4595-B519-4E1D9AF8E149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643" name="Text Box 1">
          <a:extLst>
            <a:ext uri="{FF2B5EF4-FFF2-40B4-BE49-F238E27FC236}">
              <a16:creationId xmlns:a16="http://schemas.microsoft.com/office/drawing/2014/main" xmlns="" id="{524CDED3-A682-4EF4-AF37-AD7B9647F579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644" name="Text Box 1">
          <a:extLst>
            <a:ext uri="{FF2B5EF4-FFF2-40B4-BE49-F238E27FC236}">
              <a16:creationId xmlns:a16="http://schemas.microsoft.com/office/drawing/2014/main" xmlns="" id="{F9F269A6-91F7-4BF3-812E-7342355C0159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645" name="Text Box 1">
          <a:extLst>
            <a:ext uri="{FF2B5EF4-FFF2-40B4-BE49-F238E27FC236}">
              <a16:creationId xmlns:a16="http://schemas.microsoft.com/office/drawing/2014/main" xmlns="" id="{82E5AF8C-6764-453B-9426-37E062696BC8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646" name="Text Box 1">
          <a:extLst>
            <a:ext uri="{FF2B5EF4-FFF2-40B4-BE49-F238E27FC236}">
              <a16:creationId xmlns:a16="http://schemas.microsoft.com/office/drawing/2014/main" xmlns="" id="{2FE63290-401A-423C-A74A-FDD9C01D7AF2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647" name="Text Box 1">
          <a:extLst>
            <a:ext uri="{FF2B5EF4-FFF2-40B4-BE49-F238E27FC236}">
              <a16:creationId xmlns:a16="http://schemas.microsoft.com/office/drawing/2014/main" xmlns="" id="{BB0DA7D3-5C79-4C37-86DD-DE559E4FB82A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648" name="Text Box 1">
          <a:extLst>
            <a:ext uri="{FF2B5EF4-FFF2-40B4-BE49-F238E27FC236}">
              <a16:creationId xmlns:a16="http://schemas.microsoft.com/office/drawing/2014/main" xmlns="" id="{C5836B6B-1A9E-4C76-9EB0-935EE13800C0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649" name="Text Box 1">
          <a:extLst>
            <a:ext uri="{FF2B5EF4-FFF2-40B4-BE49-F238E27FC236}">
              <a16:creationId xmlns:a16="http://schemas.microsoft.com/office/drawing/2014/main" xmlns="" id="{2B9948BF-DA96-4C72-A81A-09519F833303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650" name="Text Box 1">
          <a:extLst>
            <a:ext uri="{FF2B5EF4-FFF2-40B4-BE49-F238E27FC236}">
              <a16:creationId xmlns:a16="http://schemas.microsoft.com/office/drawing/2014/main" xmlns="" id="{19A36FD3-F78B-46C3-AD4C-6A81062E0F05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651" name="Text Box 1">
          <a:extLst>
            <a:ext uri="{FF2B5EF4-FFF2-40B4-BE49-F238E27FC236}">
              <a16:creationId xmlns:a16="http://schemas.microsoft.com/office/drawing/2014/main" xmlns="" id="{D48D8CB2-C2C1-45E6-B801-764CFBD85208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652" name="Text Box 1">
          <a:extLst>
            <a:ext uri="{FF2B5EF4-FFF2-40B4-BE49-F238E27FC236}">
              <a16:creationId xmlns:a16="http://schemas.microsoft.com/office/drawing/2014/main" xmlns="" id="{761BB463-2A61-4092-AC85-EAA3FD55CB6D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653" name="Text Box 1">
          <a:extLst>
            <a:ext uri="{FF2B5EF4-FFF2-40B4-BE49-F238E27FC236}">
              <a16:creationId xmlns:a16="http://schemas.microsoft.com/office/drawing/2014/main" xmlns="" id="{96D9EA5C-6637-44D2-AE91-0B1F1C66F79A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654" name="Text Box 1">
          <a:extLst>
            <a:ext uri="{FF2B5EF4-FFF2-40B4-BE49-F238E27FC236}">
              <a16:creationId xmlns:a16="http://schemas.microsoft.com/office/drawing/2014/main" xmlns="" id="{2E221A3E-B5C7-4B40-A171-56A4A28AEA89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655" name="Text Box 1">
          <a:extLst>
            <a:ext uri="{FF2B5EF4-FFF2-40B4-BE49-F238E27FC236}">
              <a16:creationId xmlns:a16="http://schemas.microsoft.com/office/drawing/2014/main" xmlns="" id="{1BBE890E-4947-46A7-B4A2-B360DE7A02E2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656" name="Text Box 1">
          <a:extLst>
            <a:ext uri="{FF2B5EF4-FFF2-40B4-BE49-F238E27FC236}">
              <a16:creationId xmlns:a16="http://schemas.microsoft.com/office/drawing/2014/main" xmlns="" id="{D20FA4D6-6221-4403-B30D-B1DBF5D8BA9C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657" name="Text Box 1">
          <a:extLst>
            <a:ext uri="{FF2B5EF4-FFF2-40B4-BE49-F238E27FC236}">
              <a16:creationId xmlns:a16="http://schemas.microsoft.com/office/drawing/2014/main" xmlns="" id="{F461EA66-2153-4A17-8011-785CFE67B393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658" name="Text Box 1">
          <a:extLst>
            <a:ext uri="{FF2B5EF4-FFF2-40B4-BE49-F238E27FC236}">
              <a16:creationId xmlns:a16="http://schemas.microsoft.com/office/drawing/2014/main" xmlns="" id="{73ABE149-5837-44B2-A474-A78483ECE6CC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659" name="Text Box 1">
          <a:extLst>
            <a:ext uri="{FF2B5EF4-FFF2-40B4-BE49-F238E27FC236}">
              <a16:creationId xmlns:a16="http://schemas.microsoft.com/office/drawing/2014/main" xmlns="" id="{FB106BD4-0CCD-4F97-AB05-5029CE79A7BF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660" name="Text Box 1">
          <a:extLst>
            <a:ext uri="{FF2B5EF4-FFF2-40B4-BE49-F238E27FC236}">
              <a16:creationId xmlns:a16="http://schemas.microsoft.com/office/drawing/2014/main" xmlns="" id="{FA9CC925-21FB-4DF8-AF65-1A3636272BEA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661" name="Text Box 1">
          <a:extLst>
            <a:ext uri="{FF2B5EF4-FFF2-40B4-BE49-F238E27FC236}">
              <a16:creationId xmlns:a16="http://schemas.microsoft.com/office/drawing/2014/main" xmlns="" id="{AB8333D3-08C8-406F-A687-02CCF6EB3F4B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662" name="Text Box 1">
          <a:extLst>
            <a:ext uri="{FF2B5EF4-FFF2-40B4-BE49-F238E27FC236}">
              <a16:creationId xmlns:a16="http://schemas.microsoft.com/office/drawing/2014/main" xmlns="" id="{F88C7B37-8488-45B6-8EF1-2EF58AA919FE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663" name="Text Box 1">
          <a:extLst>
            <a:ext uri="{FF2B5EF4-FFF2-40B4-BE49-F238E27FC236}">
              <a16:creationId xmlns:a16="http://schemas.microsoft.com/office/drawing/2014/main" xmlns="" id="{9C8CA144-7329-452B-BCC9-6BE0289F70BF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664" name="Text Box 1">
          <a:extLst>
            <a:ext uri="{FF2B5EF4-FFF2-40B4-BE49-F238E27FC236}">
              <a16:creationId xmlns:a16="http://schemas.microsoft.com/office/drawing/2014/main" xmlns="" id="{727A59C7-8E0D-4892-B908-BB24791B4EFC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665" name="Text Box 1">
          <a:extLst>
            <a:ext uri="{FF2B5EF4-FFF2-40B4-BE49-F238E27FC236}">
              <a16:creationId xmlns:a16="http://schemas.microsoft.com/office/drawing/2014/main" xmlns="" id="{4218F4FC-1EA6-4C71-833B-463616721D64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666" name="Text Box 1">
          <a:extLst>
            <a:ext uri="{FF2B5EF4-FFF2-40B4-BE49-F238E27FC236}">
              <a16:creationId xmlns:a16="http://schemas.microsoft.com/office/drawing/2014/main" xmlns="" id="{E2564B89-39D0-44B4-BE8E-D0ECBFB9CC50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667" name="Text Box 1">
          <a:extLst>
            <a:ext uri="{FF2B5EF4-FFF2-40B4-BE49-F238E27FC236}">
              <a16:creationId xmlns:a16="http://schemas.microsoft.com/office/drawing/2014/main" xmlns="" id="{12BD486C-FB2D-4E95-A9D9-7EEE71895111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668" name="Text Box 1">
          <a:extLst>
            <a:ext uri="{FF2B5EF4-FFF2-40B4-BE49-F238E27FC236}">
              <a16:creationId xmlns:a16="http://schemas.microsoft.com/office/drawing/2014/main" xmlns="" id="{DCE3A650-BBCE-4880-9BA0-15C7D6F3ABBF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669" name="Text Box 1">
          <a:extLst>
            <a:ext uri="{FF2B5EF4-FFF2-40B4-BE49-F238E27FC236}">
              <a16:creationId xmlns:a16="http://schemas.microsoft.com/office/drawing/2014/main" xmlns="" id="{CCF49B97-63F8-4BEE-8747-0053851E4E3C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670" name="Text Box 1">
          <a:extLst>
            <a:ext uri="{FF2B5EF4-FFF2-40B4-BE49-F238E27FC236}">
              <a16:creationId xmlns:a16="http://schemas.microsoft.com/office/drawing/2014/main" xmlns="" id="{5624DB9D-C2BD-44C1-86D6-EF15C4D33AD1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671" name="Text Box 1">
          <a:extLst>
            <a:ext uri="{FF2B5EF4-FFF2-40B4-BE49-F238E27FC236}">
              <a16:creationId xmlns:a16="http://schemas.microsoft.com/office/drawing/2014/main" xmlns="" id="{5F87966C-77DA-41B6-8640-A4BEBCF74A3B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672" name="Text Box 1">
          <a:extLst>
            <a:ext uri="{FF2B5EF4-FFF2-40B4-BE49-F238E27FC236}">
              <a16:creationId xmlns:a16="http://schemas.microsoft.com/office/drawing/2014/main" xmlns="" id="{F96A9723-6276-4AAF-8AE5-3DE0EF34B7BB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673" name="Text Box 1">
          <a:extLst>
            <a:ext uri="{FF2B5EF4-FFF2-40B4-BE49-F238E27FC236}">
              <a16:creationId xmlns:a16="http://schemas.microsoft.com/office/drawing/2014/main" xmlns="" id="{2C9E4655-602F-42E9-98EF-1287F175CAD7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674" name="Text Box 1">
          <a:extLst>
            <a:ext uri="{FF2B5EF4-FFF2-40B4-BE49-F238E27FC236}">
              <a16:creationId xmlns:a16="http://schemas.microsoft.com/office/drawing/2014/main" xmlns="" id="{A8AC3044-E341-4719-B5E7-8082CBFD7232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675" name="Text Box 1">
          <a:extLst>
            <a:ext uri="{FF2B5EF4-FFF2-40B4-BE49-F238E27FC236}">
              <a16:creationId xmlns:a16="http://schemas.microsoft.com/office/drawing/2014/main" xmlns="" id="{2B85AA97-421E-44FE-8805-980367A24429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676" name="Text Box 1">
          <a:extLst>
            <a:ext uri="{FF2B5EF4-FFF2-40B4-BE49-F238E27FC236}">
              <a16:creationId xmlns:a16="http://schemas.microsoft.com/office/drawing/2014/main" xmlns="" id="{3DAB19A3-9C59-4844-AD5F-C3A96D98C5C6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677" name="Text Box 1">
          <a:extLst>
            <a:ext uri="{FF2B5EF4-FFF2-40B4-BE49-F238E27FC236}">
              <a16:creationId xmlns:a16="http://schemas.microsoft.com/office/drawing/2014/main" xmlns="" id="{912E8F62-03DE-47C6-95F2-FDBDCEC7AB7C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678" name="Text Box 1">
          <a:extLst>
            <a:ext uri="{FF2B5EF4-FFF2-40B4-BE49-F238E27FC236}">
              <a16:creationId xmlns:a16="http://schemas.microsoft.com/office/drawing/2014/main" xmlns="" id="{274565B2-C087-457F-835D-597CEF45A98E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679" name="Text Box 1">
          <a:extLst>
            <a:ext uri="{FF2B5EF4-FFF2-40B4-BE49-F238E27FC236}">
              <a16:creationId xmlns:a16="http://schemas.microsoft.com/office/drawing/2014/main" xmlns="" id="{04BF6BC1-09B6-4771-9E79-10A84B78C80E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680" name="Text Box 1">
          <a:extLst>
            <a:ext uri="{FF2B5EF4-FFF2-40B4-BE49-F238E27FC236}">
              <a16:creationId xmlns:a16="http://schemas.microsoft.com/office/drawing/2014/main" xmlns="" id="{779E0531-AE54-41D5-A2EC-7ADE62684240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681" name="Text Box 1">
          <a:extLst>
            <a:ext uri="{FF2B5EF4-FFF2-40B4-BE49-F238E27FC236}">
              <a16:creationId xmlns:a16="http://schemas.microsoft.com/office/drawing/2014/main" xmlns="" id="{1A5B27D7-495E-4E6B-B18A-031AA4BA34C1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682" name="Text Box 1">
          <a:extLst>
            <a:ext uri="{FF2B5EF4-FFF2-40B4-BE49-F238E27FC236}">
              <a16:creationId xmlns:a16="http://schemas.microsoft.com/office/drawing/2014/main" xmlns="" id="{9B5445E6-5D02-4BC6-A055-2F40FA3D443A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683" name="Text Box 1">
          <a:extLst>
            <a:ext uri="{FF2B5EF4-FFF2-40B4-BE49-F238E27FC236}">
              <a16:creationId xmlns:a16="http://schemas.microsoft.com/office/drawing/2014/main" xmlns="" id="{A1356514-EB13-406F-8224-E991873652FF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684" name="Text Box 1">
          <a:extLst>
            <a:ext uri="{FF2B5EF4-FFF2-40B4-BE49-F238E27FC236}">
              <a16:creationId xmlns:a16="http://schemas.microsoft.com/office/drawing/2014/main" xmlns="" id="{2465CE0B-72C4-4753-8738-76BD9ED9D1E2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685" name="Text Box 1">
          <a:extLst>
            <a:ext uri="{FF2B5EF4-FFF2-40B4-BE49-F238E27FC236}">
              <a16:creationId xmlns:a16="http://schemas.microsoft.com/office/drawing/2014/main" xmlns="" id="{FBDA93C3-6C01-4A07-83C9-F17251AA6A2B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686" name="Text Box 1">
          <a:extLst>
            <a:ext uri="{FF2B5EF4-FFF2-40B4-BE49-F238E27FC236}">
              <a16:creationId xmlns:a16="http://schemas.microsoft.com/office/drawing/2014/main" xmlns="" id="{4204C165-1BB5-4EA5-B084-7287E2232558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687" name="Text Box 1">
          <a:extLst>
            <a:ext uri="{FF2B5EF4-FFF2-40B4-BE49-F238E27FC236}">
              <a16:creationId xmlns:a16="http://schemas.microsoft.com/office/drawing/2014/main" xmlns="" id="{E352804D-1AC1-458E-BC4E-EAA660935027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688" name="Text Box 1">
          <a:extLst>
            <a:ext uri="{FF2B5EF4-FFF2-40B4-BE49-F238E27FC236}">
              <a16:creationId xmlns:a16="http://schemas.microsoft.com/office/drawing/2014/main" xmlns="" id="{3D8F7720-C197-441B-B48F-6C2682C8A4FF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689" name="Text Box 1">
          <a:extLst>
            <a:ext uri="{FF2B5EF4-FFF2-40B4-BE49-F238E27FC236}">
              <a16:creationId xmlns:a16="http://schemas.microsoft.com/office/drawing/2014/main" xmlns="" id="{F9C0F9FB-A746-4F72-9DFD-E7645F5F9235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690" name="Text Box 1">
          <a:extLst>
            <a:ext uri="{FF2B5EF4-FFF2-40B4-BE49-F238E27FC236}">
              <a16:creationId xmlns:a16="http://schemas.microsoft.com/office/drawing/2014/main" xmlns="" id="{5183AD4A-04CE-4A59-86A4-7090F8A6B99A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691" name="Text Box 1">
          <a:extLst>
            <a:ext uri="{FF2B5EF4-FFF2-40B4-BE49-F238E27FC236}">
              <a16:creationId xmlns:a16="http://schemas.microsoft.com/office/drawing/2014/main" xmlns="" id="{0D666142-B0D1-4B17-A741-380FAFDFFF53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692" name="Text Box 1">
          <a:extLst>
            <a:ext uri="{FF2B5EF4-FFF2-40B4-BE49-F238E27FC236}">
              <a16:creationId xmlns:a16="http://schemas.microsoft.com/office/drawing/2014/main" xmlns="" id="{3AEC0E72-3BF3-4411-821E-1C1D8E502013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693" name="Text Box 1">
          <a:extLst>
            <a:ext uri="{FF2B5EF4-FFF2-40B4-BE49-F238E27FC236}">
              <a16:creationId xmlns:a16="http://schemas.microsoft.com/office/drawing/2014/main" xmlns="" id="{02664E76-3484-4974-B8BA-B007B8BF5E1C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694" name="Text Box 1">
          <a:extLst>
            <a:ext uri="{FF2B5EF4-FFF2-40B4-BE49-F238E27FC236}">
              <a16:creationId xmlns:a16="http://schemas.microsoft.com/office/drawing/2014/main" xmlns="" id="{422AB853-2760-4A9F-A6A6-E94866DFE5E0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695" name="Text Box 1">
          <a:extLst>
            <a:ext uri="{FF2B5EF4-FFF2-40B4-BE49-F238E27FC236}">
              <a16:creationId xmlns:a16="http://schemas.microsoft.com/office/drawing/2014/main" xmlns="" id="{51AE19DA-66FC-4677-90E4-E23550346081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696" name="Text Box 1">
          <a:extLst>
            <a:ext uri="{FF2B5EF4-FFF2-40B4-BE49-F238E27FC236}">
              <a16:creationId xmlns:a16="http://schemas.microsoft.com/office/drawing/2014/main" xmlns="" id="{3BA3406C-5DBA-4B52-9013-1CC1620BF13D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697" name="Text Box 1">
          <a:extLst>
            <a:ext uri="{FF2B5EF4-FFF2-40B4-BE49-F238E27FC236}">
              <a16:creationId xmlns:a16="http://schemas.microsoft.com/office/drawing/2014/main" xmlns="" id="{5E585714-005C-464A-A269-28E150A4DE61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698" name="Text Box 1">
          <a:extLst>
            <a:ext uri="{FF2B5EF4-FFF2-40B4-BE49-F238E27FC236}">
              <a16:creationId xmlns:a16="http://schemas.microsoft.com/office/drawing/2014/main" xmlns="" id="{3920C798-C548-4A26-81A5-6BE7F6F02214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699" name="Text Box 1">
          <a:extLst>
            <a:ext uri="{FF2B5EF4-FFF2-40B4-BE49-F238E27FC236}">
              <a16:creationId xmlns:a16="http://schemas.microsoft.com/office/drawing/2014/main" xmlns="" id="{0ECE5896-1026-400F-B5AE-E89272E4CBB6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700" name="Text Box 1">
          <a:extLst>
            <a:ext uri="{FF2B5EF4-FFF2-40B4-BE49-F238E27FC236}">
              <a16:creationId xmlns:a16="http://schemas.microsoft.com/office/drawing/2014/main" xmlns="" id="{AA8B1F3F-2D94-46C3-8097-DF9E4A10D207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701" name="Text Box 1">
          <a:extLst>
            <a:ext uri="{FF2B5EF4-FFF2-40B4-BE49-F238E27FC236}">
              <a16:creationId xmlns:a16="http://schemas.microsoft.com/office/drawing/2014/main" xmlns="" id="{1D4DBE3C-785F-41D3-9367-17F332B45BC8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702" name="Text Box 1">
          <a:extLst>
            <a:ext uri="{FF2B5EF4-FFF2-40B4-BE49-F238E27FC236}">
              <a16:creationId xmlns:a16="http://schemas.microsoft.com/office/drawing/2014/main" xmlns="" id="{24449917-7986-4B77-9B72-81B8CE0BA96C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703" name="Text Box 1">
          <a:extLst>
            <a:ext uri="{FF2B5EF4-FFF2-40B4-BE49-F238E27FC236}">
              <a16:creationId xmlns:a16="http://schemas.microsoft.com/office/drawing/2014/main" xmlns="" id="{20886523-9F8D-4B5A-BF0C-F0FA97EB6121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704" name="Text Box 1">
          <a:extLst>
            <a:ext uri="{FF2B5EF4-FFF2-40B4-BE49-F238E27FC236}">
              <a16:creationId xmlns:a16="http://schemas.microsoft.com/office/drawing/2014/main" xmlns="" id="{29FFE91F-60A3-4C34-BA70-A76469788D26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705" name="Text Box 1">
          <a:extLst>
            <a:ext uri="{FF2B5EF4-FFF2-40B4-BE49-F238E27FC236}">
              <a16:creationId xmlns:a16="http://schemas.microsoft.com/office/drawing/2014/main" xmlns="" id="{D56FF0EC-D6BC-49CE-8E61-757A13C0379C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706" name="Text Box 1">
          <a:extLst>
            <a:ext uri="{FF2B5EF4-FFF2-40B4-BE49-F238E27FC236}">
              <a16:creationId xmlns:a16="http://schemas.microsoft.com/office/drawing/2014/main" xmlns="" id="{50B8EEEC-5A78-4BB1-A1D6-84698D81193C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707" name="Text Box 1">
          <a:extLst>
            <a:ext uri="{FF2B5EF4-FFF2-40B4-BE49-F238E27FC236}">
              <a16:creationId xmlns:a16="http://schemas.microsoft.com/office/drawing/2014/main" xmlns="" id="{979BE631-4DEE-4608-AC41-50B1A1A68126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708" name="Text Box 1">
          <a:extLst>
            <a:ext uri="{FF2B5EF4-FFF2-40B4-BE49-F238E27FC236}">
              <a16:creationId xmlns:a16="http://schemas.microsoft.com/office/drawing/2014/main" xmlns="" id="{BE936ECD-D7D8-4FBD-A084-406C8228139D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709" name="Text Box 1">
          <a:extLst>
            <a:ext uri="{FF2B5EF4-FFF2-40B4-BE49-F238E27FC236}">
              <a16:creationId xmlns:a16="http://schemas.microsoft.com/office/drawing/2014/main" xmlns="" id="{9769F390-9380-4CBE-BB70-D44E47F42911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710" name="Text Box 1">
          <a:extLst>
            <a:ext uri="{FF2B5EF4-FFF2-40B4-BE49-F238E27FC236}">
              <a16:creationId xmlns:a16="http://schemas.microsoft.com/office/drawing/2014/main" xmlns="" id="{51FB346D-B503-4418-AF65-EDF7AFFF35E1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711" name="Text Box 1">
          <a:extLst>
            <a:ext uri="{FF2B5EF4-FFF2-40B4-BE49-F238E27FC236}">
              <a16:creationId xmlns:a16="http://schemas.microsoft.com/office/drawing/2014/main" xmlns="" id="{B443A3F1-AA98-4252-9F42-1467169DEAE8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712" name="Text Box 1">
          <a:extLst>
            <a:ext uri="{FF2B5EF4-FFF2-40B4-BE49-F238E27FC236}">
              <a16:creationId xmlns:a16="http://schemas.microsoft.com/office/drawing/2014/main" xmlns="" id="{600DADCC-EA44-442C-819D-3539DEBDFC5C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713" name="Text Box 1">
          <a:extLst>
            <a:ext uri="{FF2B5EF4-FFF2-40B4-BE49-F238E27FC236}">
              <a16:creationId xmlns:a16="http://schemas.microsoft.com/office/drawing/2014/main" xmlns="" id="{3F60BA67-1B66-424E-916B-0DF4916B9B8E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714" name="Text Box 1">
          <a:extLst>
            <a:ext uri="{FF2B5EF4-FFF2-40B4-BE49-F238E27FC236}">
              <a16:creationId xmlns:a16="http://schemas.microsoft.com/office/drawing/2014/main" xmlns="" id="{71C6CA9F-F837-4AF9-9981-5B43E3A42E70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715" name="Text Box 1">
          <a:extLst>
            <a:ext uri="{FF2B5EF4-FFF2-40B4-BE49-F238E27FC236}">
              <a16:creationId xmlns:a16="http://schemas.microsoft.com/office/drawing/2014/main" xmlns="" id="{41220E44-602D-48EC-BEC0-65D59778DAB5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716" name="Text Box 1">
          <a:extLst>
            <a:ext uri="{FF2B5EF4-FFF2-40B4-BE49-F238E27FC236}">
              <a16:creationId xmlns:a16="http://schemas.microsoft.com/office/drawing/2014/main" xmlns="" id="{97606939-45B4-4FC9-B925-0808B9490F8C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717" name="Text Box 1">
          <a:extLst>
            <a:ext uri="{FF2B5EF4-FFF2-40B4-BE49-F238E27FC236}">
              <a16:creationId xmlns:a16="http://schemas.microsoft.com/office/drawing/2014/main" xmlns="" id="{B1CF8294-79E0-4673-B526-871C51A2BB8A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718" name="Text Box 1">
          <a:extLst>
            <a:ext uri="{FF2B5EF4-FFF2-40B4-BE49-F238E27FC236}">
              <a16:creationId xmlns:a16="http://schemas.microsoft.com/office/drawing/2014/main" xmlns="" id="{A7DAF6EB-87A3-4720-BE30-619B8D66FF5B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719" name="Text Box 1">
          <a:extLst>
            <a:ext uri="{FF2B5EF4-FFF2-40B4-BE49-F238E27FC236}">
              <a16:creationId xmlns:a16="http://schemas.microsoft.com/office/drawing/2014/main" xmlns="" id="{E22A77DF-7102-4F9D-B86A-3BE69B5A11ED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720" name="Text Box 1">
          <a:extLst>
            <a:ext uri="{FF2B5EF4-FFF2-40B4-BE49-F238E27FC236}">
              <a16:creationId xmlns:a16="http://schemas.microsoft.com/office/drawing/2014/main" xmlns="" id="{9D6DAEAC-C855-4084-B5AB-11405D831036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721" name="Text Box 1">
          <a:extLst>
            <a:ext uri="{FF2B5EF4-FFF2-40B4-BE49-F238E27FC236}">
              <a16:creationId xmlns:a16="http://schemas.microsoft.com/office/drawing/2014/main" xmlns="" id="{DCBAF7DD-087E-426A-A524-93CB5A1C8EC0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722" name="Text Box 1">
          <a:extLst>
            <a:ext uri="{FF2B5EF4-FFF2-40B4-BE49-F238E27FC236}">
              <a16:creationId xmlns:a16="http://schemas.microsoft.com/office/drawing/2014/main" xmlns="" id="{7475363C-3AE9-4FC4-BCA0-D1925BCC5067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723" name="Text Box 1">
          <a:extLst>
            <a:ext uri="{FF2B5EF4-FFF2-40B4-BE49-F238E27FC236}">
              <a16:creationId xmlns:a16="http://schemas.microsoft.com/office/drawing/2014/main" xmlns="" id="{3A0A40F5-7F5D-48B0-89B9-003C61689E9E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724" name="Text Box 1">
          <a:extLst>
            <a:ext uri="{FF2B5EF4-FFF2-40B4-BE49-F238E27FC236}">
              <a16:creationId xmlns:a16="http://schemas.microsoft.com/office/drawing/2014/main" xmlns="" id="{3FEA3E2D-9372-4A66-AB31-B81DFD722F3E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725" name="Text Box 1">
          <a:extLst>
            <a:ext uri="{FF2B5EF4-FFF2-40B4-BE49-F238E27FC236}">
              <a16:creationId xmlns:a16="http://schemas.microsoft.com/office/drawing/2014/main" xmlns="" id="{8723A9B8-8A89-45AF-98AD-A6F2CF1339B3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726" name="Text Box 1">
          <a:extLst>
            <a:ext uri="{FF2B5EF4-FFF2-40B4-BE49-F238E27FC236}">
              <a16:creationId xmlns:a16="http://schemas.microsoft.com/office/drawing/2014/main" xmlns="" id="{DA114CBC-7772-4EDC-BF43-6EC35BE3CEBD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727" name="Text Box 1">
          <a:extLst>
            <a:ext uri="{FF2B5EF4-FFF2-40B4-BE49-F238E27FC236}">
              <a16:creationId xmlns:a16="http://schemas.microsoft.com/office/drawing/2014/main" xmlns="" id="{B4A0BFB9-3B69-4019-9FBA-F6B706C886D5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728" name="Text Box 1">
          <a:extLst>
            <a:ext uri="{FF2B5EF4-FFF2-40B4-BE49-F238E27FC236}">
              <a16:creationId xmlns:a16="http://schemas.microsoft.com/office/drawing/2014/main" xmlns="" id="{2F67E36C-D85C-4665-9925-106201CEEB75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729" name="Text Box 1">
          <a:extLst>
            <a:ext uri="{FF2B5EF4-FFF2-40B4-BE49-F238E27FC236}">
              <a16:creationId xmlns:a16="http://schemas.microsoft.com/office/drawing/2014/main" xmlns="" id="{2003D218-DF60-4B4B-A762-BDDE5134A0A8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730" name="Text Box 1">
          <a:extLst>
            <a:ext uri="{FF2B5EF4-FFF2-40B4-BE49-F238E27FC236}">
              <a16:creationId xmlns:a16="http://schemas.microsoft.com/office/drawing/2014/main" xmlns="" id="{5F738E5E-9850-4B76-90A5-1B2B56FB0C0D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731" name="Text Box 1">
          <a:extLst>
            <a:ext uri="{FF2B5EF4-FFF2-40B4-BE49-F238E27FC236}">
              <a16:creationId xmlns:a16="http://schemas.microsoft.com/office/drawing/2014/main" xmlns="" id="{045BDC0E-FC47-4588-8B18-39E4AA1B3C0C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732" name="Text Box 1">
          <a:extLst>
            <a:ext uri="{FF2B5EF4-FFF2-40B4-BE49-F238E27FC236}">
              <a16:creationId xmlns:a16="http://schemas.microsoft.com/office/drawing/2014/main" xmlns="" id="{E40DD232-16A5-47D6-B09C-B9024DFDB79B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733" name="Text Box 1">
          <a:extLst>
            <a:ext uri="{FF2B5EF4-FFF2-40B4-BE49-F238E27FC236}">
              <a16:creationId xmlns:a16="http://schemas.microsoft.com/office/drawing/2014/main" xmlns="" id="{0E9A14CD-ACFC-4153-B9A2-24A537D1D1A1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734" name="Text Box 1">
          <a:extLst>
            <a:ext uri="{FF2B5EF4-FFF2-40B4-BE49-F238E27FC236}">
              <a16:creationId xmlns:a16="http://schemas.microsoft.com/office/drawing/2014/main" xmlns="" id="{916BF41E-DCDB-471F-8B61-1B306B8899EB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735" name="Text Box 1">
          <a:extLst>
            <a:ext uri="{FF2B5EF4-FFF2-40B4-BE49-F238E27FC236}">
              <a16:creationId xmlns:a16="http://schemas.microsoft.com/office/drawing/2014/main" xmlns="" id="{52ED9332-81C8-45FA-ABE9-932BF3E12AF5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736" name="Text Box 1">
          <a:extLst>
            <a:ext uri="{FF2B5EF4-FFF2-40B4-BE49-F238E27FC236}">
              <a16:creationId xmlns:a16="http://schemas.microsoft.com/office/drawing/2014/main" xmlns="" id="{2D91B0EC-B845-4359-BAE0-9F547595565A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737" name="Text Box 1">
          <a:extLst>
            <a:ext uri="{FF2B5EF4-FFF2-40B4-BE49-F238E27FC236}">
              <a16:creationId xmlns:a16="http://schemas.microsoft.com/office/drawing/2014/main" xmlns="" id="{5D5DD3B6-6EF7-4B03-8A9F-A7CE6466AFC2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738" name="Text Box 1">
          <a:extLst>
            <a:ext uri="{FF2B5EF4-FFF2-40B4-BE49-F238E27FC236}">
              <a16:creationId xmlns:a16="http://schemas.microsoft.com/office/drawing/2014/main" xmlns="" id="{175DFB51-0A8E-440B-99A4-8580CB947742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739" name="Text Box 1">
          <a:extLst>
            <a:ext uri="{FF2B5EF4-FFF2-40B4-BE49-F238E27FC236}">
              <a16:creationId xmlns:a16="http://schemas.microsoft.com/office/drawing/2014/main" xmlns="" id="{5AE6FA4C-8684-4DB6-B64C-E03DAD55E051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740" name="Text Box 1">
          <a:extLst>
            <a:ext uri="{FF2B5EF4-FFF2-40B4-BE49-F238E27FC236}">
              <a16:creationId xmlns:a16="http://schemas.microsoft.com/office/drawing/2014/main" xmlns="" id="{76BCF878-3074-4C2C-9DAD-0D18C2DAE210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741" name="Text Box 1">
          <a:extLst>
            <a:ext uri="{FF2B5EF4-FFF2-40B4-BE49-F238E27FC236}">
              <a16:creationId xmlns:a16="http://schemas.microsoft.com/office/drawing/2014/main" xmlns="" id="{BE71F999-E109-4107-B6F2-2FD6A1A9658F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742" name="Text Box 1">
          <a:extLst>
            <a:ext uri="{FF2B5EF4-FFF2-40B4-BE49-F238E27FC236}">
              <a16:creationId xmlns:a16="http://schemas.microsoft.com/office/drawing/2014/main" xmlns="" id="{40F33CBA-AC0B-44B4-8769-F50DECB1DBF7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743" name="Text Box 1">
          <a:extLst>
            <a:ext uri="{FF2B5EF4-FFF2-40B4-BE49-F238E27FC236}">
              <a16:creationId xmlns:a16="http://schemas.microsoft.com/office/drawing/2014/main" xmlns="" id="{9A2BFE70-D3ED-48ED-A5E3-FB0B64C21E69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744" name="Text Box 1">
          <a:extLst>
            <a:ext uri="{FF2B5EF4-FFF2-40B4-BE49-F238E27FC236}">
              <a16:creationId xmlns:a16="http://schemas.microsoft.com/office/drawing/2014/main" xmlns="" id="{6915B055-7B9C-4952-8BE3-9B5F13B6CC15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745" name="Text Box 1">
          <a:extLst>
            <a:ext uri="{FF2B5EF4-FFF2-40B4-BE49-F238E27FC236}">
              <a16:creationId xmlns:a16="http://schemas.microsoft.com/office/drawing/2014/main" xmlns="" id="{BF860A70-2883-4832-9B6A-B35305B54370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746" name="Text Box 1">
          <a:extLst>
            <a:ext uri="{FF2B5EF4-FFF2-40B4-BE49-F238E27FC236}">
              <a16:creationId xmlns:a16="http://schemas.microsoft.com/office/drawing/2014/main" xmlns="" id="{B9B35583-8AC2-41B9-B87F-C06B88DD5081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747" name="Text Box 1">
          <a:extLst>
            <a:ext uri="{FF2B5EF4-FFF2-40B4-BE49-F238E27FC236}">
              <a16:creationId xmlns:a16="http://schemas.microsoft.com/office/drawing/2014/main" xmlns="" id="{E5509F3E-62AE-4E82-80D9-6C4B299D50CF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748" name="Text Box 1">
          <a:extLst>
            <a:ext uri="{FF2B5EF4-FFF2-40B4-BE49-F238E27FC236}">
              <a16:creationId xmlns:a16="http://schemas.microsoft.com/office/drawing/2014/main" xmlns="" id="{49CC8094-6C75-4C2E-8502-FC20DD27BDC0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749" name="Text Box 1">
          <a:extLst>
            <a:ext uri="{FF2B5EF4-FFF2-40B4-BE49-F238E27FC236}">
              <a16:creationId xmlns:a16="http://schemas.microsoft.com/office/drawing/2014/main" xmlns="" id="{23DF7134-AF56-4766-B2A1-9F2735026C3B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750" name="Text Box 1">
          <a:extLst>
            <a:ext uri="{FF2B5EF4-FFF2-40B4-BE49-F238E27FC236}">
              <a16:creationId xmlns:a16="http://schemas.microsoft.com/office/drawing/2014/main" xmlns="" id="{8EF3EDA0-1239-497F-8A11-3A998209763F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751" name="Text Box 1">
          <a:extLst>
            <a:ext uri="{FF2B5EF4-FFF2-40B4-BE49-F238E27FC236}">
              <a16:creationId xmlns:a16="http://schemas.microsoft.com/office/drawing/2014/main" xmlns="" id="{030BD6AB-7361-4129-9C24-7272A5E4CCA3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752" name="Text Box 1">
          <a:extLst>
            <a:ext uri="{FF2B5EF4-FFF2-40B4-BE49-F238E27FC236}">
              <a16:creationId xmlns:a16="http://schemas.microsoft.com/office/drawing/2014/main" xmlns="" id="{D6D1E072-ED08-4BB0-B270-D67B30A37204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753" name="Text Box 1">
          <a:extLst>
            <a:ext uri="{FF2B5EF4-FFF2-40B4-BE49-F238E27FC236}">
              <a16:creationId xmlns:a16="http://schemas.microsoft.com/office/drawing/2014/main" xmlns="" id="{DDED9C5C-FD54-41AC-9056-AEFE4354CD99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754" name="Text Box 1">
          <a:extLst>
            <a:ext uri="{FF2B5EF4-FFF2-40B4-BE49-F238E27FC236}">
              <a16:creationId xmlns:a16="http://schemas.microsoft.com/office/drawing/2014/main" xmlns="" id="{7E977987-90C0-45A4-BABF-72022941C045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755" name="Text Box 1">
          <a:extLst>
            <a:ext uri="{FF2B5EF4-FFF2-40B4-BE49-F238E27FC236}">
              <a16:creationId xmlns:a16="http://schemas.microsoft.com/office/drawing/2014/main" xmlns="" id="{6F2078B8-1CF4-4AFB-927D-BB3C3869E589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756" name="Text Box 1">
          <a:extLst>
            <a:ext uri="{FF2B5EF4-FFF2-40B4-BE49-F238E27FC236}">
              <a16:creationId xmlns:a16="http://schemas.microsoft.com/office/drawing/2014/main" xmlns="" id="{2753D971-6AED-4EF7-A779-1685C795C68F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757" name="Text Box 1">
          <a:extLst>
            <a:ext uri="{FF2B5EF4-FFF2-40B4-BE49-F238E27FC236}">
              <a16:creationId xmlns:a16="http://schemas.microsoft.com/office/drawing/2014/main" xmlns="" id="{BF5020A3-37DC-4122-8E2E-A2341469CA2F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758" name="Text Box 1">
          <a:extLst>
            <a:ext uri="{FF2B5EF4-FFF2-40B4-BE49-F238E27FC236}">
              <a16:creationId xmlns:a16="http://schemas.microsoft.com/office/drawing/2014/main" xmlns="" id="{7E4A5E89-1324-47B6-8CA6-F373ADAB7E86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759" name="Text Box 1">
          <a:extLst>
            <a:ext uri="{FF2B5EF4-FFF2-40B4-BE49-F238E27FC236}">
              <a16:creationId xmlns:a16="http://schemas.microsoft.com/office/drawing/2014/main" xmlns="" id="{D549A66D-5F3F-464E-89A9-5E2DF1180F80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760" name="Text Box 1">
          <a:extLst>
            <a:ext uri="{FF2B5EF4-FFF2-40B4-BE49-F238E27FC236}">
              <a16:creationId xmlns:a16="http://schemas.microsoft.com/office/drawing/2014/main" xmlns="" id="{464C7818-F260-4DE7-A94F-F26197C91C70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761" name="Text Box 1">
          <a:extLst>
            <a:ext uri="{FF2B5EF4-FFF2-40B4-BE49-F238E27FC236}">
              <a16:creationId xmlns:a16="http://schemas.microsoft.com/office/drawing/2014/main" xmlns="" id="{7630133D-CFAE-4F92-A102-F3241B9708D1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762" name="Text Box 1">
          <a:extLst>
            <a:ext uri="{FF2B5EF4-FFF2-40B4-BE49-F238E27FC236}">
              <a16:creationId xmlns:a16="http://schemas.microsoft.com/office/drawing/2014/main" xmlns="" id="{1FE4C8E9-C3D1-4694-8E1E-61AD8FCF78D7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763" name="Text Box 1">
          <a:extLst>
            <a:ext uri="{FF2B5EF4-FFF2-40B4-BE49-F238E27FC236}">
              <a16:creationId xmlns:a16="http://schemas.microsoft.com/office/drawing/2014/main" xmlns="" id="{CFF8822F-922D-4A32-87B6-14586BBEEA9A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764" name="Text Box 1">
          <a:extLst>
            <a:ext uri="{FF2B5EF4-FFF2-40B4-BE49-F238E27FC236}">
              <a16:creationId xmlns:a16="http://schemas.microsoft.com/office/drawing/2014/main" xmlns="" id="{5049B943-DE7C-436B-ADAD-0CDB7C95A676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765" name="Text Box 1">
          <a:extLst>
            <a:ext uri="{FF2B5EF4-FFF2-40B4-BE49-F238E27FC236}">
              <a16:creationId xmlns:a16="http://schemas.microsoft.com/office/drawing/2014/main" xmlns="" id="{1CA6F601-86F5-4B55-9E95-4D3AEFEEED4A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766" name="Text Box 1">
          <a:extLst>
            <a:ext uri="{FF2B5EF4-FFF2-40B4-BE49-F238E27FC236}">
              <a16:creationId xmlns:a16="http://schemas.microsoft.com/office/drawing/2014/main" xmlns="" id="{F497B5DA-8336-416A-8CA1-3BA6A9EEE79B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767" name="Text Box 1">
          <a:extLst>
            <a:ext uri="{FF2B5EF4-FFF2-40B4-BE49-F238E27FC236}">
              <a16:creationId xmlns:a16="http://schemas.microsoft.com/office/drawing/2014/main" xmlns="" id="{12C89471-42C3-47C9-84D9-DFFDB2B9D18B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768" name="Text Box 1">
          <a:extLst>
            <a:ext uri="{FF2B5EF4-FFF2-40B4-BE49-F238E27FC236}">
              <a16:creationId xmlns:a16="http://schemas.microsoft.com/office/drawing/2014/main" xmlns="" id="{20D71FAE-B02E-41D3-8881-119688ED8D2C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769" name="Text Box 1">
          <a:extLst>
            <a:ext uri="{FF2B5EF4-FFF2-40B4-BE49-F238E27FC236}">
              <a16:creationId xmlns:a16="http://schemas.microsoft.com/office/drawing/2014/main" xmlns="" id="{0FD6346D-F647-48DD-9DED-0E9083297E7A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770" name="Text Box 1">
          <a:extLst>
            <a:ext uri="{FF2B5EF4-FFF2-40B4-BE49-F238E27FC236}">
              <a16:creationId xmlns:a16="http://schemas.microsoft.com/office/drawing/2014/main" xmlns="" id="{1B94FB06-EF2B-480F-ADE2-39DE8AD95361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771" name="Text Box 1">
          <a:extLst>
            <a:ext uri="{FF2B5EF4-FFF2-40B4-BE49-F238E27FC236}">
              <a16:creationId xmlns:a16="http://schemas.microsoft.com/office/drawing/2014/main" xmlns="" id="{1BB68EFF-FD69-4F02-BF29-0E5A9DDC76D0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772" name="Text Box 1">
          <a:extLst>
            <a:ext uri="{FF2B5EF4-FFF2-40B4-BE49-F238E27FC236}">
              <a16:creationId xmlns:a16="http://schemas.microsoft.com/office/drawing/2014/main" xmlns="" id="{05EFB725-02F6-4549-AC5B-5556A56385FC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773" name="Text Box 1">
          <a:extLst>
            <a:ext uri="{FF2B5EF4-FFF2-40B4-BE49-F238E27FC236}">
              <a16:creationId xmlns:a16="http://schemas.microsoft.com/office/drawing/2014/main" xmlns="" id="{EDEFF3A0-B87A-4F09-94CB-DDD34DA5AEE8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774" name="Text Box 1">
          <a:extLst>
            <a:ext uri="{FF2B5EF4-FFF2-40B4-BE49-F238E27FC236}">
              <a16:creationId xmlns:a16="http://schemas.microsoft.com/office/drawing/2014/main" xmlns="" id="{8C40EBE2-BEFF-4BB0-A080-688E0BA0457B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775" name="Text Box 1">
          <a:extLst>
            <a:ext uri="{FF2B5EF4-FFF2-40B4-BE49-F238E27FC236}">
              <a16:creationId xmlns:a16="http://schemas.microsoft.com/office/drawing/2014/main" xmlns="" id="{6BE519CC-67C8-49E4-9D31-0F5ECBBCE957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776" name="Text Box 1">
          <a:extLst>
            <a:ext uri="{FF2B5EF4-FFF2-40B4-BE49-F238E27FC236}">
              <a16:creationId xmlns:a16="http://schemas.microsoft.com/office/drawing/2014/main" xmlns="" id="{4B7069D4-1732-4A4A-A7D5-9C3AA200ED74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777" name="Text Box 1">
          <a:extLst>
            <a:ext uri="{FF2B5EF4-FFF2-40B4-BE49-F238E27FC236}">
              <a16:creationId xmlns:a16="http://schemas.microsoft.com/office/drawing/2014/main" xmlns="" id="{8BDEE2B6-9898-4B66-8D0C-F582BA353230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778" name="Text Box 1">
          <a:extLst>
            <a:ext uri="{FF2B5EF4-FFF2-40B4-BE49-F238E27FC236}">
              <a16:creationId xmlns:a16="http://schemas.microsoft.com/office/drawing/2014/main" xmlns="" id="{307F01F0-F9A0-4702-9764-36C2FF59C2BA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779" name="Text Box 1">
          <a:extLst>
            <a:ext uri="{FF2B5EF4-FFF2-40B4-BE49-F238E27FC236}">
              <a16:creationId xmlns:a16="http://schemas.microsoft.com/office/drawing/2014/main" xmlns="" id="{78A08D7B-0155-4B31-95C8-6418275425DB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780" name="Text Box 1">
          <a:extLst>
            <a:ext uri="{FF2B5EF4-FFF2-40B4-BE49-F238E27FC236}">
              <a16:creationId xmlns:a16="http://schemas.microsoft.com/office/drawing/2014/main" xmlns="" id="{4E56BE7E-9184-44D9-94B3-12996D363ADA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781" name="Text Box 1">
          <a:extLst>
            <a:ext uri="{FF2B5EF4-FFF2-40B4-BE49-F238E27FC236}">
              <a16:creationId xmlns:a16="http://schemas.microsoft.com/office/drawing/2014/main" xmlns="" id="{66A2E247-D68D-484A-8EE7-2993C801160E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782" name="Text Box 1">
          <a:extLst>
            <a:ext uri="{FF2B5EF4-FFF2-40B4-BE49-F238E27FC236}">
              <a16:creationId xmlns:a16="http://schemas.microsoft.com/office/drawing/2014/main" xmlns="" id="{2E006CC6-99FC-4B4A-BBA7-085F8F250F62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783" name="Text Box 1">
          <a:extLst>
            <a:ext uri="{FF2B5EF4-FFF2-40B4-BE49-F238E27FC236}">
              <a16:creationId xmlns:a16="http://schemas.microsoft.com/office/drawing/2014/main" xmlns="" id="{0F36BB8E-FD79-4F8F-B84E-FB5C28C8F104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784" name="Text Box 1">
          <a:extLst>
            <a:ext uri="{FF2B5EF4-FFF2-40B4-BE49-F238E27FC236}">
              <a16:creationId xmlns:a16="http://schemas.microsoft.com/office/drawing/2014/main" xmlns="" id="{34405683-A030-43DA-B605-E149B3E29DDE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785" name="Text Box 1">
          <a:extLst>
            <a:ext uri="{FF2B5EF4-FFF2-40B4-BE49-F238E27FC236}">
              <a16:creationId xmlns:a16="http://schemas.microsoft.com/office/drawing/2014/main" xmlns="" id="{CB39CDEC-8BE7-438E-A334-662BF6BEB3E5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786" name="Text Box 1">
          <a:extLst>
            <a:ext uri="{FF2B5EF4-FFF2-40B4-BE49-F238E27FC236}">
              <a16:creationId xmlns:a16="http://schemas.microsoft.com/office/drawing/2014/main" xmlns="" id="{E7101919-B19C-4FAE-941D-FD0C8DDC35F3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787" name="Text Box 1">
          <a:extLst>
            <a:ext uri="{FF2B5EF4-FFF2-40B4-BE49-F238E27FC236}">
              <a16:creationId xmlns:a16="http://schemas.microsoft.com/office/drawing/2014/main" xmlns="" id="{4014E8AF-7787-4124-B6A8-6586BA7847BF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788" name="Text Box 1">
          <a:extLst>
            <a:ext uri="{FF2B5EF4-FFF2-40B4-BE49-F238E27FC236}">
              <a16:creationId xmlns:a16="http://schemas.microsoft.com/office/drawing/2014/main" xmlns="" id="{A55136FF-6118-4F74-95B5-26639D7AC6D3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789" name="Text Box 1">
          <a:extLst>
            <a:ext uri="{FF2B5EF4-FFF2-40B4-BE49-F238E27FC236}">
              <a16:creationId xmlns:a16="http://schemas.microsoft.com/office/drawing/2014/main" xmlns="" id="{3D8BE2FF-AC60-4AA9-B837-6FE66081C2E2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790" name="Text Box 1">
          <a:extLst>
            <a:ext uri="{FF2B5EF4-FFF2-40B4-BE49-F238E27FC236}">
              <a16:creationId xmlns:a16="http://schemas.microsoft.com/office/drawing/2014/main" xmlns="" id="{F6DE9FE8-0A1E-4CD0-8B5F-7FB9C27E698B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791" name="Text Box 1">
          <a:extLst>
            <a:ext uri="{FF2B5EF4-FFF2-40B4-BE49-F238E27FC236}">
              <a16:creationId xmlns:a16="http://schemas.microsoft.com/office/drawing/2014/main" xmlns="" id="{11567A96-296D-4EC3-97AA-6CD160D58844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792" name="Text Box 1">
          <a:extLst>
            <a:ext uri="{FF2B5EF4-FFF2-40B4-BE49-F238E27FC236}">
              <a16:creationId xmlns:a16="http://schemas.microsoft.com/office/drawing/2014/main" xmlns="" id="{AE95BC9F-6BB7-4132-B64D-88CD08372DB1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793" name="Text Box 1">
          <a:extLst>
            <a:ext uri="{FF2B5EF4-FFF2-40B4-BE49-F238E27FC236}">
              <a16:creationId xmlns:a16="http://schemas.microsoft.com/office/drawing/2014/main" xmlns="" id="{0ED3FB57-CF13-40A8-BD5F-074321712DDD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794" name="Text Box 1">
          <a:extLst>
            <a:ext uri="{FF2B5EF4-FFF2-40B4-BE49-F238E27FC236}">
              <a16:creationId xmlns:a16="http://schemas.microsoft.com/office/drawing/2014/main" xmlns="" id="{F60FFB43-FFD6-45FA-A6E3-B1441F2C1329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795" name="Text Box 1">
          <a:extLst>
            <a:ext uri="{FF2B5EF4-FFF2-40B4-BE49-F238E27FC236}">
              <a16:creationId xmlns:a16="http://schemas.microsoft.com/office/drawing/2014/main" xmlns="" id="{8DAC2093-1F2F-4450-B829-6C22E12026E4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796" name="Text Box 1">
          <a:extLst>
            <a:ext uri="{FF2B5EF4-FFF2-40B4-BE49-F238E27FC236}">
              <a16:creationId xmlns:a16="http://schemas.microsoft.com/office/drawing/2014/main" xmlns="" id="{0834D007-E3D6-4172-A702-7B6938EAF4B8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797" name="Text Box 1">
          <a:extLst>
            <a:ext uri="{FF2B5EF4-FFF2-40B4-BE49-F238E27FC236}">
              <a16:creationId xmlns:a16="http://schemas.microsoft.com/office/drawing/2014/main" xmlns="" id="{DD82777F-BF39-4A9D-9964-4BD9D83BF840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798" name="Text Box 1">
          <a:extLst>
            <a:ext uri="{FF2B5EF4-FFF2-40B4-BE49-F238E27FC236}">
              <a16:creationId xmlns:a16="http://schemas.microsoft.com/office/drawing/2014/main" xmlns="" id="{A2F3494E-B20E-4CE4-B3D6-F642470EB670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799" name="Text Box 1">
          <a:extLst>
            <a:ext uri="{FF2B5EF4-FFF2-40B4-BE49-F238E27FC236}">
              <a16:creationId xmlns:a16="http://schemas.microsoft.com/office/drawing/2014/main" xmlns="" id="{36346D76-9A44-48C6-AE63-4FA46151184B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800" name="Text Box 1">
          <a:extLst>
            <a:ext uri="{FF2B5EF4-FFF2-40B4-BE49-F238E27FC236}">
              <a16:creationId xmlns:a16="http://schemas.microsoft.com/office/drawing/2014/main" xmlns="" id="{E634A504-9787-4970-9B48-28423A2157B5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801" name="Text Box 1">
          <a:extLst>
            <a:ext uri="{FF2B5EF4-FFF2-40B4-BE49-F238E27FC236}">
              <a16:creationId xmlns:a16="http://schemas.microsoft.com/office/drawing/2014/main" xmlns="" id="{26369037-FC46-4274-B82A-E886B3CACC3F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802" name="Text Box 1">
          <a:extLst>
            <a:ext uri="{FF2B5EF4-FFF2-40B4-BE49-F238E27FC236}">
              <a16:creationId xmlns:a16="http://schemas.microsoft.com/office/drawing/2014/main" xmlns="" id="{59EB55FC-6DCD-4FCF-B1BE-865CA6CB3011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803" name="Text Box 1">
          <a:extLst>
            <a:ext uri="{FF2B5EF4-FFF2-40B4-BE49-F238E27FC236}">
              <a16:creationId xmlns:a16="http://schemas.microsoft.com/office/drawing/2014/main" xmlns="" id="{5BE5DCEA-5F68-4487-B02A-CAC5B386FF90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804" name="Text Box 1">
          <a:extLst>
            <a:ext uri="{FF2B5EF4-FFF2-40B4-BE49-F238E27FC236}">
              <a16:creationId xmlns:a16="http://schemas.microsoft.com/office/drawing/2014/main" xmlns="" id="{56CF2F5F-CC1E-47F5-B644-D0F2C56C86CA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805" name="Text Box 1">
          <a:extLst>
            <a:ext uri="{FF2B5EF4-FFF2-40B4-BE49-F238E27FC236}">
              <a16:creationId xmlns:a16="http://schemas.microsoft.com/office/drawing/2014/main" xmlns="" id="{E9978480-3324-415B-9A4D-9FA976E092D9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806" name="Text Box 1">
          <a:extLst>
            <a:ext uri="{FF2B5EF4-FFF2-40B4-BE49-F238E27FC236}">
              <a16:creationId xmlns:a16="http://schemas.microsoft.com/office/drawing/2014/main" xmlns="" id="{BEF2DE91-58A0-43B0-9617-31BF6EAE7A0B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807" name="Text Box 1">
          <a:extLst>
            <a:ext uri="{FF2B5EF4-FFF2-40B4-BE49-F238E27FC236}">
              <a16:creationId xmlns:a16="http://schemas.microsoft.com/office/drawing/2014/main" xmlns="" id="{56FA269E-47A9-4EDE-8E49-F62B69299791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808" name="Text Box 1">
          <a:extLst>
            <a:ext uri="{FF2B5EF4-FFF2-40B4-BE49-F238E27FC236}">
              <a16:creationId xmlns:a16="http://schemas.microsoft.com/office/drawing/2014/main" xmlns="" id="{FC5C3237-E47C-49E8-8256-EEC5893654B3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809" name="Text Box 1">
          <a:extLst>
            <a:ext uri="{FF2B5EF4-FFF2-40B4-BE49-F238E27FC236}">
              <a16:creationId xmlns:a16="http://schemas.microsoft.com/office/drawing/2014/main" xmlns="" id="{695C5FC2-0AC2-48DC-BF9E-71DD379347DE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810" name="Text Box 1">
          <a:extLst>
            <a:ext uri="{FF2B5EF4-FFF2-40B4-BE49-F238E27FC236}">
              <a16:creationId xmlns:a16="http://schemas.microsoft.com/office/drawing/2014/main" xmlns="" id="{25E17F5E-D739-4802-BD4F-50DA092F89F5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811" name="Text Box 1">
          <a:extLst>
            <a:ext uri="{FF2B5EF4-FFF2-40B4-BE49-F238E27FC236}">
              <a16:creationId xmlns:a16="http://schemas.microsoft.com/office/drawing/2014/main" xmlns="" id="{EC5349A8-31D4-489F-8465-E2FF1342184A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812" name="Text Box 1">
          <a:extLst>
            <a:ext uri="{FF2B5EF4-FFF2-40B4-BE49-F238E27FC236}">
              <a16:creationId xmlns:a16="http://schemas.microsoft.com/office/drawing/2014/main" xmlns="" id="{FB7FB1DA-79D4-487F-AD59-A24A10C80185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813" name="Text Box 1">
          <a:extLst>
            <a:ext uri="{FF2B5EF4-FFF2-40B4-BE49-F238E27FC236}">
              <a16:creationId xmlns:a16="http://schemas.microsoft.com/office/drawing/2014/main" xmlns="" id="{D129E994-8CAC-4FD8-B081-C0B5A432CAFD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814" name="Text Box 1">
          <a:extLst>
            <a:ext uri="{FF2B5EF4-FFF2-40B4-BE49-F238E27FC236}">
              <a16:creationId xmlns:a16="http://schemas.microsoft.com/office/drawing/2014/main" xmlns="" id="{409EE3D2-F451-44E0-9E4A-B301914A3B56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815" name="Text Box 1">
          <a:extLst>
            <a:ext uri="{FF2B5EF4-FFF2-40B4-BE49-F238E27FC236}">
              <a16:creationId xmlns:a16="http://schemas.microsoft.com/office/drawing/2014/main" xmlns="" id="{566FE57B-D492-4C52-9C7A-276344EF36A0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816" name="Text Box 1">
          <a:extLst>
            <a:ext uri="{FF2B5EF4-FFF2-40B4-BE49-F238E27FC236}">
              <a16:creationId xmlns:a16="http://schemas.microsoft.com/office/drawing/2014/main" xmlns="" id="{BF8EEA82-9474-4E19-9811-C57A611F7F93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817" name="Text Box 1">
          <a:extLst>
            <a:ext uri="{FF2B5EF4-FFF2-40B4-BE49-F238E27FC236}">
              <a16:creationId xmlns:a16="http://schemas.microsoft.com/office/drawing/2014/main" xmlns="" id="{7FC8E1D7-A6AE-4648-81CE-F50B54428F47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818" name="Text Box 1">
          <a:extLst>
            <a:ext uri="{FF2B5EF4-FFF2-40B4-BE49-F238E27FC236}">
              <a16:creationId xmlns:a16="http://schemas.microsoft.com/office/drawing/2014/main" xmlns="" id="{198037A5-85C4-43E6-8A40-29D11A1D8026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819" name="Text Box 1">
          <a:extLst>
            <a:ext uri="{FF2B5EF4-FFF2-40B4-BE49-F238E27FC236}">
              <a16:creationId xmlns:a16="http://schemas.microsoft.com/office/drawing/2014/main" xmlns="" id="{F96C0126-2EB5-49C8-B487-07EE731C4578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820" name="Text Box 1">
          <a:extLst>
            <a:ext uri="{FF2B5EF4-FFF2-40B4-BE49-F238E27FC236}">
              <a16:creationId xmlns:a16="http://schemas.microsoft.com/office/drawing/2014/main" xmlns="" id="{C2787C27-6E37-4EF0-831E-6CFD3268B6E9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821" name="Text Box 1">
          <a:extLst>
            <a:ext uri="{FF2B5EF4-FFF2-40B4-BE49-F238E27FC236}">
              <a16:creationId xmlns:a16="http://schemas.microsoft.com/office/drawing/2014/main" xmlns="" id="{7C0C1637-B61C-4599-A3E5-00271C295BEF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822" name="Text Box 1">
          <a:extLst>
            <a:ext uri="{FF2B5EF4-FFF2-40B4-BE49-F238E27FC236}">
              <a16:creationId xmlns:a16="http://schemas.microsoft.com/office/drawing/2014/main" xmlns="" id="{D238D30C-4A6D-45E3-9850-F3F8B6762E36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823" name="Text Box 1">
          <a:extLst>
            <a:ext uri="{FF2B5EF4-FFF2-40B4-BE49-F238E27FC236}">
              <a16:creationId xmlns:a16="http://schemas.microsoft.com/office/drawing/2014/main" xmlns="" id="{A92CFACF-B82B-4128-9880-5DB78B4A33B2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824" name="Text Box 1">
          <a:extLst>
            <a:ext uri="{FF2B5EF4-FFF2-40B4-BE49-F238E27FC236}">
              <a16:creationId xmlns:a16="http://schemas.microsoft.com/office/drawing/2014/main" xmlns="" id="{9986760D-F10B-4DE2-B132-4C34FDC0ABCB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825" name="Text Box 1">
          <a:extLst>
            <a:ext uri="{FF2B5EF4-FFF2-40B4-BE49-F238E27FC236}">
              <a16:creationId xmlns:a16="http://schemas.microsoft.com/office/drawing/2014/main" xmlns="" id="{AF04E7FC-D945-40C1-A8B3-00ABFA9F706A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826" name="Text Box 1">
          <a:extLst>
            <a:ext uri="{FF2B5EF4-FFF2-40B4-BE49-F238E27FC236}">
              <a16:creationId xmlns:a16="http://schemas.microsoft.com/office/drawing/2014/main" xmlns="" id="{F362027B-B83F-425B-B1EE-83625A53AE8F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827" name="Text Box 1">
          <a:extLst>
            <a:ext uri="{FF2B5EF4-FFF2-40B4-BE49-F238E27FC236}">
              <a16:creationId xmlns:a16="http://schemas.microsoft.com/office/drawing/2014/main" xmlns="" id="{CC4F8B7E-BDE5-48E7-9C0C-DBE53110892C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828" name="Text Box 1">
          <a:extLst>
            <a:ext uri="{FF2B5EF4-FFF2-40B4-BE49-F238E27FC236}">
              <a16:creationId xmlns:a16="http://schemas.microsoft.com/office/drawing/2014/main" xmlns="" id="{2EBFA7FE-C178-4546-9B42-6F4E23DB92B8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829" name="Text Box 1">
          <a:extLst>
            <a:ext uri="{FF2B5EF4-FFF2-40B4-BE49-F238E27FC236}">
              <a16:creationId xmlns:a16="http://schemas.microsoft.com/office/drawing/2014/main" xmlns="" id="{B7BFA77E-F581-4C14-BA66-2190EF19AAAA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830" name="Text Box 1">
          <a:extLst>
            <a:ext uri="{FF2B5EF4-FFF2-40B4-BE49-F238E27FC236}">
              <a16:creationId xmlns:a16="http://schemas.microsoft.com/office/drawing/2014/main" xmlns="" id="{5EDA5843-EFD6-420D-80C9-AEC2279A3788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831" name="Text Box 1">
          <a:extLst>
            <a:ext uri="{FF2B5EF4-FFF2-40B4-BE49-F238E27FC236}">
              <a16:creationId xmlns:a16="http://schemas.microsoft.com/office/drawing/2014/main" xmlns="" id="{CE353D56-0833-43CA-BC79-996F176A1D89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832" name="Text Box 1">
          <a:extLst>
            <a:ext uri="{FF2B5EF4-FFF2-40B4-BE49-F238E27FC236}">
              <a16:creationId xmlns:a16="http://schemas.microsoft.com/office/drawing/2014/main" xmlns="" id="{F4D031AB-9E67-4148-9E24-F38D5E44CE5F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833" name="Text Box 1">
          <a:extLst>
            <a:ext uri="{FF2B5EF4-FFF2-40B4-BE49-F238E27FC236}">
              <a16:creationId xmlns:a16="http://schemas.microsoft.com/office/drawing/2014/main" xmlns="" id="{365560BB-93FA-47E2-B3A7-0C0864A94AE5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834" name="Text Box 1">
          <a:extLst>
            <a:ext uri="{FF2B5EF4-FFF2-40B4-BE49-F238E27FC236}">
              <a16:creationId xmlns:a16="http://schemas.microsoft.com/office/drawing/2014/main" xmlns="" id="{1D67D86E-DDF3-4E52-AD72-8155B221FF10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835" name="Text Box 1">
          <a:extLst>
            <a:ext uri="{FF2B5EF4-FFF2-40B4-BE49-F238E27FC236}">
              <a16:creationId xmlns:a16="http://schemas.microsoft.com/office/drawing/2014/main" xmlns="" id="{0C55CDED-E8E5-42A1-A877-3A89EFF5D0B9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836" name="Text Box 1">
          <a:extLst>
            <a:ext uri="{FF2B5EF4-FFF2-40B4-BE49-F238E27FC236}">
              <a16:creationId xmlns:a16="http://schemas.microsoft.com/office/drawing/2014/main" xmlns="" id="{D981FC22-9550-4EA7-B990-B4EF96BA52D4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837" name="Text Box 1">
          <a:extLst>
            <a:ext uri="{FF2B5EF4-FFF2-40B4-BE49-F238E27FC236}">
              <a16:creationId xmlns:a16="http://schemas.microsoft.com/office/drawing/2014/main" xmlns="" id="{D4D15A44-2B17-41C2-9609-C4F5B8A3DB3A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838" name="Text Box 1">
          <a:extLst>
            <a:ext uri="{FF2B5EF4-FFF2-40B4-BE49-F238E27FC236}">
              <a16:creationId xmlns:a16="http://schemas.microsoft.com/office/drawing/2014/main" xmlns="" id="{D04994FC-9173-4DE7-814C-A4749869F4C4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839" name="Text Box 1">
          <a:extLst>
            <a:ext uri="{FF2B5EF4-FFF2-40B4-BE49-F238E27FC236}">
              <a16:creationId xmlns:a16="http://schemas.microsoft.com/office/drawing/2014/main" xmlns="" id="{93FE9AAB-6E58-4852-9EC5-A97B4A1189DE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840" name="Text Box 1">
          <a:extLst>
            <a:ext uri="{FF2B5EF4-FFF2-40B4-BE49-F238E27FC236}">
              <a16:creationId xmlns:a16="http://schemas.microsoft.com/office/drawing/2014/main" xmlns="" id="{28C91A5F-7CD9-49AF-9FC3-2FD0F21071F7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841" name="Text Box 1">
          <a:extLst>
            <a:ext uri="{FF2B5EF4-FFF2-40B4-BE49-F238E27FC236}">
              <a16:creationId xmlns:a16="http://schemas.microsoft.com/office/drawing/2014/main" xmlns="" id="{1F426E9E-65EE-43D5-BD46-9538EB3BF5E0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842" name="Text Box 1">
          <a:extLst>
            <a:ext uri="{FF2B5EF4-FFF2-40B4-BE49-F238E27FC236}">
              <a16:creationId xmlns:a16="http://schemas.microsoft.com/office/drawing/2014/main" xmlns="" id="{00716559-78FD-46D4-95DD-A0DD89EB147F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843" name="Text Box 1">
          <a:extLst>
            <a:ext uri="{FF2B5EF4-FFF2-40B4-BE49-F238E27FC236}">
              <a16:creationId xmlns:a16="http://schemas.microsoft.com/office/drawing/2014/main" xmlns="" id="{C9B5DA29-E91D-4FB5-8C90-5C852121449B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844" name="Text Box 1">
          <a:extLst>
            <a:ext uri="{FF2B5EF4-FFF2-40B4-BE49-F238E27FC236}">
              <a16:creationId xmlns:a16="http://schemas.microsoft.com/office/drawing/2014/main" xmlns="" id="{825B67DF-E07D-4018-A76E-D64889354A2F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845" name="Text Box 1">
          <a:extLst>
            <a:ext uri="{FF2B5EF4-FFF2-40B4-BE49-F238E27FC236}">
              <a16:creationId xmlns:a16="http://schemas.microsoft.com/office/drawing/2014/main" xmlns="" id="{2CB027AF-4772-4A9C-9E4A-D58F92B04B7E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846" name="Text Box 1">
          <a:extLst>
            <a:ext uri="{FF2B5EF4-FFF2-40B4-BE49-F238E27FC236}">
              <a16:creationId xmlns:a16="http://schemas.microsoft.com/office/drawing/2014/main" xmlns="" id="{6E891166-13BA-4FB3-8903-C0B5F957F82A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847" name="Text Box 1">
          <a:extLst>
            <a:ext uri="{FF2B5EF4-FFF2-40B4-BE49-F238E27FC236}">
              <a16:creationId xmlns:a16="http://schemas.microsoft.com/office/drawing/2014/main" xmlns="" id="{BA88E4C9-914F-4482-B3EF-B36D9107F3AB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848" name="Text Box 1">
          <a:extLst>
            <a:ext uri="{FF2B5EF4-FFF2-40B4-BE49-F238E27FC236}">
              <a16:creationId xmlns:a16="http://schemas.microsoft.com/office/drawing/2014/main" xmlns="" id="{8BF6674B-90E7-4466-9822-0748FDC47597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849" name="Text Box 1">
          <a:extLst>
            <a:ext uri="{FF2B5EF4-FFF2-40B4-BE49-F238E27FC236}">
              <a16:creationId xmlns:a16="http://schemas.microsoft.com/office/drawing/2014/main" xmlns="" id="{6909C71C-A7EF-4998-91E3-709B8AC00592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850" name="Text Box 1">
          <a:extLst>
            <a:ext uri="{FF2B5EF4-FFF2-40B4-BE49-F238E27FC236}">
              <a16:creationId xmlns:a16="http://schemas.microsoft.com/office/drawing/2014/main" xmlns="" id="{26F6EABE-343B-4B37-9586-77F16454EC70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851" name="Text Box 1">
          <a:extLst>
            <a:ext uri="{FF2B5EF4-FFF2-40B4-BE49-F238E27FC236}">
              <a16:creationId xmlns:a16="http://schemas.microsoft.com/office/drawing/2014/main" xmlns="" id="{92A3247F-D6A1-46B1-AA6F-DF78A1ECFFC4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852" name="Text Box 1">
          <a:extLst>
            <a:ext uri="{FF2B5EF4-FFF2-40B4-BE49-F238E27FC236}">
              <a16:creationId xmlns:a16="http://schemas.microsoft.com/office/drawing/2014/main" xmlns="" id="{4CEB438D-6C23-46C0-AACD-0A2DF694EB10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853" name="Text Box 1">
          <a:extLst>
            <a:ext uri="{FF2B5EF4-FFF2-40B4-BE49-F238E27FC236}">
              <a16:creationId xmlns:a16="http://schemas.microsoft.com/office/drawing/2014/main" xmlns="" id="{1E93644F-721A-4FC6-A630-A173E9801E2B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854" name="Text Box 1">
          <a:extLst>
            <a:ext uri="{FF2B5EF4-FFF2-40B4-BE49-F238E27FC236}">
              <a16:creationId xmlns:a16="http://schemas.microsoft.com/office/drawing/2014/main" xmlns="" id="{E9D87867-E4F8-4ABC-B120-CE4CBE0702B4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855" name="Text Box 1">
          <a:extLst>
            <a:ext uri="{FF2B5EF4-FFF2-40B4-BE49-F238E27FC236}">
              <a16:creationId xmlns:a16="http://schemas.microsoft.com/office/drawing/2014/main" xmlns="" id="{85F1B950-C844-4DAF-929A-FD9CF05785BD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856" name="Text Box 1">
          <a:extLst>
            <a:ext uri="{FF2B5EF4-FFF2-40B4-BE49-F238E27FC236}">
              <a16:creationId xmlns:a16="http://schemas.microsoft.com/office/drawing/2014/main" xmlns="" id="{D1FB82AE-79AD-4BB4-870C-D454A1509E60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857" name="Text Box 1">
          <a:extLst>
            <a:ext uri="{FF2B5EF4-FFF2-40B4-BE49-F238E27FC236}">
              <a16:creationId xmlns:a16="http://schemas.microsoft.com/office/drawing/2014/main" xmlns="" id="{83EA68DC-51C6-4B9A-85D9-772CCA5AF569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858" name="Text Box 1">
          <a:extLst>
            <a:ext uri="{FF2B5EF4-FFF2-40B4-BE49-F238E27FC236}">
              <a16:creationId xmlns:a16="http://schemas.microsoft.com/office/drawing/2014/main" xmlns="" id="{7015A0F4-5FAD-4DC1-B3C5-818D0ACBC2BA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859" name="Text Box 1">
          <a:extLst>
            <a:ext uri="{FF2B5EF4-FFF2-40B4-BE49-F238E27FC236}">
              <a16:creationId xmlns:a16="http://schemas.microsoft.com/office/drawing/2014/main" xmlns="" id="{603C53FE-8616-4B34-AA96-1CD1B02BE29C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860" name="Text Box 1">
          <a:extLst>
            <a:ext uri="{FF2B5EF4-FFF2-40B4-BE49-F238E27FC236}">
              <a16:creationId xmlns:a16="http://schemas.microsoft.com/office/drawing/2014/main" xmlns="" id="{C92F4C1E-09FA-47A3-9DE0-B9675765E0D4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861" name="Text Box 1">
          <a:extLst>
            <a:ext uri="{FF2B5EF4-FFF2-40B4-BE49-F238E27FC236}">
              <a16:creationId xmlns:a16="http://schemas.microsoft.com/office/drawing/2014/main" xmlns="" id="{8A66902D-70D4-44AF-86BA-08389F856350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862" name="Text Box 1">
          <a:extLst>
            <a:ext uri="{FF2B5EF4-FFF2-40B4-BE49-F238E27FC236}">
              <a16:creationId xmlns:a16="http://schemas.microsoft.com/office/drawing/2014/main" xmlns="" id="{82825D01-2965-4A4E-876E-4CDFD85092A2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863" name="Text Box 1">
          <a:extLst>
            <a:ext uri="{FF2B5EF4-FFF2-40B4-BE49-F238E27FC236}">
              <a16:creationId xmlns:a16="http://schemas.microsoft.com/office/drawing/2014/main" xmlns="" id="{226EBC68-6399-49ED-B764-26928D850305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864" name="Text Box 1">
          <a:extLst>
            <a:ext uri="{FF2B5EF4-FFF2-40B4-BE49-F238E27FC236}">
              <a16:creationId xmlns:a16="http://schemas.microsoft.com/office/drawing/2014/main" xmlns="" id="{CD4B5D44-C3B9-4709-9D85-365936BB97A7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865" name="Text Box 1">
          <a:extLst>
            <a:ext uri="{FF2B5EF4-FFF2-40B4-BE49-F238E27FC236}">
              <a16:creationId xmlns:a16="http://schemas.microsoft.com/office/drawing/2014/main" xmlns="" id="{448A8DB5-B94E-4763-8501-0DDBAD88AB89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866" name="Text Box 1">
          <a:extLst>
            <a:ext uri="{FF2B5EF4-FFF2-40B4-BE49-F238E27FC236}">
              <a16:creationId xmlns:a16="http://schemas.microsoft.com/office/drawing/2014/main" xmlns="" id="{77EB073D-D8FC-4599-888E-BA6EB4D63990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867" name="Text Box 1">
          <a:extLst>
            <a:ext uri="{FF2B5EF4-FFF2-40B4-BE49-F238E27FC236}">
              <a16:creationId xmlns:a16="http://schemas.microsoft.com/office/drawing/2014/main" xmlns="" id="{5CA2B582-B8EE-4B36-934A-20CCB904F97E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868" name="Text Box 1">
          <a:extLst>
            <a:ext uri="{FF2B5EF4-FFF2-40B4-BE49-F238E27FC236}">
              <a16:creationId xmlns:a16="http://schemas.microsoft.com/office/drawing/2014/main" xmlns="" id="{B327E24C-1CB4-485A-A527-60E91823DEC3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869" name="Text Box 1">
          <a:extLst>
            <a:ext uri="{FF2B5EF4-FFF2-40B4-BE49-F238E27FC236}">
              <a16:creationId xmlns:a16="http://schemas.microsoft.com/office/drawing/2014/main" xmlns="" id="{C352AF8F-E71C-4F30-AC8B-6237FFEECF38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870" name="Text Box 1">
          <a:extLst>
            <a:ext uri="{FF2B5EF4-FFF2-40B4-BE49-F238E27FC236}">
              <a16:creationId xmlns:a16="http://schemas.microsoft.com/office/drawing/2014/main" xmlns="" id="{E293FE6B-E135-4EF6-9D1F-52DACF30A265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871" name="Text Box 1">
          <a:extLst>
            <a:ext uri="{FF2B5EF4-FFF2-40B4-BE49-F238E27FC236}">
              <a16:creationId xmlns:a16="http://schemas.microsoft.com/office/drawing/2014/main" xmlns="" id="{6E0B4B07-D64C-4B0B-A254-92A718523DCF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872" name="Text Box 1">
          <a:extLst>
            <a:ext uri="{FF2B5EF4-FFF2-40B4-BE49-F238E27FC236}">
              <a16:creationId xmlns:a16="http://schemas.microsoft.com/office/drawing/2014/main" xmlns="" id="{BF144568-A317-4F89-9C99-682DA609806F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873" name="Text Box 1">
          <a:extLst>
            <a:ext uri="{FF2B5EF4-FFF2-40B4-BE49-F238E27FC236}">
              <a16:creationId xmlns:a16="http://schemas.microsoft.com/office/drawing/2014/main" xmlns="" id="{7305F4C5-A503-46F3-81E4-A0D9BE42E25E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874" name="Text Box 1">
          <a:extLst>
            <a:ext uri="{FF2B5EF4-FFF2-40B4-BE49-F238E27FC236}">
              <a16:creationId xmlns:a16="http://schemas.microsoft.com/office/drawing/2014/main" xmlns="" id="{E744C1C9-86EA-4F57-B7A9-672FC44FA2D7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875" name="Text Box 1">
          <a:extLst>
            <a:ext uri="{FF2B5EF4-FFF2-40B4-BE49-F238E27FC236}">
              <a16:creationId xmlns:a16="http://schemas.microsoft.com/office/drawing/2014/main" xmlns="" id="{96AA9CFC-38E0-42A1-8D09-A9B148930775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876" name="Text Box 1">
          <a:extLst>
            <a:ext uri="{FF2B5EF4-FFF2-40B4-BE49-F238E27FC236}">
              <a16:creationId xmlns:a16="http://schemas.microsoft.com/office/drawing/2014/main" xmlns="" id="{D71EE9D1-496A-41B2-BECC-F981D9D726B1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877" name="Text Box 1">
          <a:extLst>
            <a:ext uri="{FF2B5EF4-FFF2-40B4-BE49-F238E27FC236}">
              <a16:creationId xmlns:a16="http://schemas.microsoft.com/office/drawing/2014/main" xmlns="" id="{2366CD16-84F9-4C9E-B0C6-89F35FC550C7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878" name="Text Box 1">
          <a:extLst>
            <a:ext uri="{FF2B5EF4-FFF2-40B4-BE49-F238E27FC236}">
              <a16:creationId xmlns:a16="http://schemas.microsoft.com/office/drawing/2014/main" xmlns="" id="{4C5967E5-16B9-461E-89EE-DADE828DCAE3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879" name="Text Box 1">
          <a:extLst>
            <a:ext uri="{FF2B5EF4-FFF2-40B4-BE49-F238E27FC236}">
              <a16:creationId xmlns:a16="http://schemas.microsoft.com/office/drawing/2014/main" xmlns="" id="{5AA5CD7E-1992-4720-994B-35ABC4EE57B6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880" name="Text Box 1">
          <a:extLst>
            <a:ext uri="{FF2B5EF4-FFF2-40B4-BE49-F238E27FC236}">
              <a16:creationId xmlns:a16="http://schemas.microsoft.com/office/drawing/2014/main" xmlns="" id="{09D3CF69-9A23-4EF9-8949-7CAB6F588577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881" name="Text Box 1">
          <a:extLst>
            <a:ext uri="{FF2B5EF4-FFF2-40B4-BE49-F238E27FC236}">
              <a16:creationId xmlns:a16="http://schemas.microsoft.com/office/drawing/2014/main" xmlns="" id="{44D1F47D-0806-4ADF-913B-2CF61034CA33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882" name="Text Box 1">
          <a:extLst>
            <a:ext uri="{FF2B5EF4-FFF2-40B4-BE49-F238E27FC236}">
              <a16:creationId xmlns:a16="http://schemas.microsoft.com/office/drawing/2014/main" xmlns="" id="{8C102B42-3825-467C-99D9-E57DBEC4F5B4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883" name="Text Box 1">
          <a:extLst>
            <a:ext uri="{FF2B5EF4-FFF2-40B4-BE49-F238E27FC236}">
              <a16:creationId xmlns:a16="http://schemas.microsoft.com/office/drawing/2014/main" xmlns="" id="{FDDE8AB9-F6E9-4847-8759-70C915380EE1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884" name="Text Box 1">
          <a:extLst>
            <a:ext uri="{FF2B5EF4-FFF2-40B4-BE49-F238E27FC236}">
              <a16:creationId xmlns:a16="http://schemas.microsoft.com/office/drawing/2014/main" xmlns="" id="{C927BF45-C1E9-4199-B4FA-2722A1E544B8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885" name="Text Box 1">
          <a:extLst>
            <a:ext uri="{FF2B5EF4-FFF2-40B4-BE49-F238E27FC236}">
              <a16:creationId xmlns:a16="http://schemas.microsoft.com/office/drawing/2014/main" xmlns="" id="{CAD6B2E8-429B-4D36-A14D-BD40589CF75B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886" name="Text Box 1">
          <a:extLst>
            <a:ext uri="{FF2B5EF4-FFF2-40B4-BE49-F238E27FC236}">
              <a16:creationId xmlns:a16="http://schemas.microsoft.com/office/drawing/2014/main" xmlns="" id="{F36BEDCB-C776-4786-B921-517C66ACB51F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887" name="Text Box 1">
          <a:extLst>
            <a:ext uri="{FF2B5EF4-FFF2-40B4-BE49-F238E27FC236}">
              <a16:creationId xmlns:a16="http://schemas.microsoft.com/office/drawing/2014/main" xmlns="" id="{DEDB351E-EE5F-4E55-86BD-E6DE2A906A1D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888" name="Text Box 1">
          <a:extLst>
            <a:ext uri="{FF2B5EF4-FFF2-40B4-BE49-F238E27FC236}">
              <a16:creationId xmlns:a16="http://schemas.microsoft.com/office/drawing/2014/main" xmlns="" id="{8CC05BB3-05A6-451E-97DB-35B800133714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889" name="Text Box 1">
          <a:extLst>
            <a:ext uri="{FF2B5EF4-FFF2-40B4-BE49-F238E27FC236}">
              <a16:creationId xmlns:a16="http://schemas.microsoft.com/office/drawing/2014/main" xmlns="" id="{F81D91E2-D31B-4103-AB6C-31354F14B527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890" name="Text Box 1">
          <a:extLst>
            <a:ext uri="{FF2B5EF4-FFF2-40B4-BE49-F238E27FC236}">
              <a16:creationId xmlns:a16="http://schemas.microsoft.com/office/drawing/2014/main" xmlns="" id="{E888D8A9-803E-46FA-886E-6D0264F0A99E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891" name="Text Box 1">
          <a:extLst>
            <a:ext uri="{FF2B5EF4-FFF2-40B4-BE49-F238E27FC236}">
              <a16:creationId xmlns:a16="http://schemas.microsoft.com/office/drawing/2014/main" xmlns="" id="{B6195CAF-A00B-4A08-837D-EED1826341EC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892" name="Text Box 1">
          <a:extLst>
            <a:ext uri="{FF2B5EF4-FFF2-40B4-BE49-F238E27FC236}">
              <a16:creationId xmlns:a16="http://schemas.microsoft.com/office/drawing/2014/main" xmlns="" id="{67D2687B-9FB9-432F-9531-A9343EBFE05D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893" name="Text Box 1">
          <a:extLst>
            <a:ext uri="{FF2B5EF4-FFF2-40B4-BE49-F238E27FC236}">
              <a16:creationId xmlns:a16="http://schemas.microsoft.com/office/drawing/2014/main" xmlns="" id="{7517901E-EFE0-46CC-9C2B-190CE2A86562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894" name="Text Box 1">
          <a:extLst>
            <a:ext uri="{FF2B5EF4-FFF2-40B4-BE49-F238E27FC236}">
              <a16:creationId xmlns:a16="http://schemas.microsoft.com/office/drawing/2014/main" xmlns="" id="{31AC412D-3DCF-4CD4-9643-D9A70E9D8058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895" name="Text Box 1">
          <a:extLst>
            <a:ext uri="{FF2B5EF4-FFF2-40B4-BE49-F238E27FC236}">
              <a16:creationId xmlns:a16="http://schemas.microsoft.com/office/drawing/2014/main" xmlns="" id="{7D219368-8913-48A9-B06C-C7FF06DE9373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896" name="Text Box 1">
          <a:extLst>
            <a:ext uri="{FF2B5EF4-FFF2-40B4-BE49-F238E27FC236}">
              <a16:creationId xmlns:a16="http://schemas.microsoft.com/office/drawing/2014/main" xmlns="" id="{BB3E4A07-8FB3-4724-8588-99A6BDED5856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897" name="Text Box 1">
          <a:extLst>
            <a:ext uri="{FF2B5EF4-FFF2-40B4-BE49-F238E27FC236}">
              <a16:creationId xmlns:a16="http://schemas.microsoft.com/office/drawing/2014/main" xmlns="" id="{BB748A72-5948-4416-B787-EC679FEE913B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898" name="Text Box 1">
          <a:extLst>
            <a:ext uri="{FF2B5EF4-FFF2-40B4-BE49-F238E27FC236}">
              <a16:creationId xmlns:a16="http://schemas.microsoft.com/office/drawing/2014/main" xmlns="" id="{94FB61AA-EC4F-4726-9CB6-BE58AE1D867A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899" name="Text Box 1">
          <a:extLst>
            <a:ext uri="{FF2B5EF4-FFF2-40B4-BE49-F238E27FC236}">
              <a16:creationId xmlns:a16="http://schemas.microsoft.com/office/drawing/2014/main" xmlns="" id="{3E40145D-D342-4CA5-908D-8615D0EE548D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900" name="Text Box 1">
          <a:extLst>
            <a:ext uri="{FF2B5EF4-FFF2-40B4-BE49-F238E27FC236}">
              <a16:creationId xmlns:a16="http://schemas.microsoft.com/office/drawing/2014/main" xmlns="" id="{70F5EFDE-F64D-4194-B1F0-07EAA05E9238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901" name="Text Box 1">
          <a:extLst>
            <a:ext uri="{FF2B5EF4-FFF2-40B4-BE49-F238E27FC236}">
              <a16:creationId xmlns:a16="http://schemas.microsoft.com/office/drawing/2014/main" xmlns="" id="{CD914CCB-583D-4078-8E44-9468A51481ED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902" name="Text Box 1">
          <a:extLst>
            <a:ext uri="{FF2B5EF4-FFF2-40B4-BE49-F238E27FC236}">
              <a16:creationId xmlns:a16="http://schemas.microsoft.com/office/drawing/2014/main" xmlns="" id="{B3CD631B-8DFA-4221-A864-056F810F2356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903" name="Text Box 1">
          <a:extLst>
            <a:ext uri="{FF2B5EF4-FFF2-40B4-BE49-F238E27FC236}">
              <a16:creationId xmlns:a16="http://schemas.microsoft.com/office/drawing/2014/main" xmlns="" id="{4529717A-5248-4CA5-AB0B-D3A4FD557AE1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904" name="Text Box 1">
          <a:extLst>
            <a:ext uri="{FF2B5EF4-FFF2-40B4-BE49-F238E27FC236}">
              <a16:creationId xmlns:a16="http://schemas.microsoft.com/office/drawing/2014/main" xmlns="" id="{9680F485-0F34-406F-805C-E11671FB8A0B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905" name="Text Box 1">
          <a:extLst>
            <a:ext uri="{FF2B5EF4-FFF2-40B4-BE49-F238E27FC236}">
              <a16:creationId xmlns:a16="http://schemas.microsoft.com/office/drawing/2014/main" xmlns="" id="{1B91552B-E218-4C99-ADB8-317A342E782F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906" name="Text Box 1">
          <a:extLst>
            <a:ext uri="{FF2B5EF4-FFF2-40B4-BE49-F238E27FC236}">
              <a16:creationId xmlns:a16="http://schemas.microsoft.com/office/drawing/2014/main" xmlns="" id="{85DAD3A7-3F9E-444D-B9DD-8CEB0AC57504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907" name="Text Box 1">
          <a:extLst>
            <a:ext uri="{FF2B5EF4-FFF2-40B4-BE49-F238E27FC236}">
              <a16:creationId xmlns:a16="http://schemas.microsoft.com/office/drawing/2014/main" xmlns="" id="{38D2BEDD-BC0F-48AA-87CB-0B3B9FF7D354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908" name="Text Box 1">
          <a:extLst>
            <a:ext uri="{FF2B5EF4-FFF2-40B4-BE49-F238E27FC236}">
              <a16:creationId xmlns:a16="http://schemas.microsoft.com/office/drawing/2014/main" xmlns="" id="{6A795398-BA6F-4D35-9E6B-E9A5A833DC8F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909" name="Text Box 1">
          <a:extLst>
            <a:ext uri="{FF2B5EF4-FFF2-40B4-BE49-F238E27FC236}">
              <a16:creationId xmlns:a16="http://schemas.microsoft.com/office/drawing/2014/main" xmlns="" id="{0C33150A-3021-44BE-970C-B308D4000B75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910" name="Text Box 1">
          <a:extLst>
            <a:ext uri="{FF2B5EF4-FFF2-40B4-BE49-F238E27FC236}">
              <a16:creationId xmlns:a16="http://schemas.microsoft.com/office/drawing/2014/main" xmlns="" id="{518271DC-184B-4E26-83C0-070DB440006D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911" name="Text Box 1">
          <a:extLst>
            <a:ext uri="{FF2B5EF4-FFF2-40B4-BE49-F238E27FC236}">
              <a16:creationId xmlns:a16="http://schemas.microsoft.com/office/drawing/2014/main" xmlns="" id="{2AEB34EB-F516-4E54-B3B1-30B6A275F478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912" name="Text Box 1">
          <a:extLst>
            <a:ext uri="{FF2B5EF4-FFF2-40B4-BE49-F238E27FC236}">
              <a16:creationId xmlns:a16="http://schemas.microsoft.com/office/drawing/2014/main" xmlns="" id="{35254D24-1A54-44E0-ADA9-4C65535BC0D1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913" name="Text Box 1">
          <a:extLst>
            <a:ext uri="{FF2B5EF4-FFF2-40B4-BE49-F238E27FC236}">
              <a16:creationId xmlns:a16="http://schemas.microsoft.com/office/drawing/2014/main" xmlns="" id="{98E50AA1-A38E-4410-A746-37313AB67D88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914" name="Text Box 1">
          <a:extLst>
            <a:ext uri="{FF2B5EF4-FFF2-40B4-BE49-F238E27FC236}">
              <a16:creationId xmlns:a16="http://schemas.microsoft.com/office/drawing/2014/main" xmlns="" id="{791B0609-65FC-4FB3-81EB-276D84027DFF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915" name="Text Box 1">
          <a:extLst>
            <a:ext uri="{FF2B5EF4-FFF2-40B4-BE49-F238E27FC236}">
              <a16:creationId xmlns:a16="http://schemas.microsoft.com/office/drawing/2014/main" xmlns="" id="{2D1C63EB-B16C-4703-A698-4B86C4BC4D6A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916" name="Text Box 1">
          <a:extLst>
            <a:ext uri="{FF2B5EF4-FFF2-40B4-BE49-F238E27FC236}">
              <a16:creationId xmlns:a16="http://schemas.microsoft.com/office/drawing/2014/main" xmlns="" id="{5B766F37-4B8A-4C6C-87DF-154C88561265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917" name="Text Box 1">
          <a:extLst>
            <a:ext uri="{FF2B5EF4-FFF2-40B4-BE49-F238E27FC236}">
              <a16:creationId xmlns:a16="http://schemas.microsoft.com/office/drawing/2014/main" xmlns="" id="{B7AFF48B-75FD-44B9-BC4F-5D5E42A441A7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918" name="Text Box 1">
          <a:extLst>
            <a:ext uri="{FF2B5EF4-FFF2-40B4-BE49-F238E27FC236}">
              <a16:creationId xmlns:a16="http://schemas.microsoft.com/office/drawing/2014/main" xmlns="" id="{40EAB1B9-906D-47EA-BE21-E122E2D0608D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919" name="Text Box 1">
          <a:extLst>
            <a:ext uri="{FF2B5EF4-FFF2-40B4-BE49-F238E27FC236}">
              <a16:creationId xmlns:a16="http://schemas.microsoft.com/office/drawing/2014/main" xmlns="" id="{3E8B41E6-65DD-45BF-AA6E-D816F6620461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920" name="Text Box 1">
          <a:extLst>
            <a:ext uri="{FF2B5EF4-FFF2-40B4-BE49-F238E27FC236}">
              <a16:creationId xmlns:a16="http://schemas.microsoft.com/office/drawing/2014/main" xmlns="" id="{64B94C25-77D0-424E-95A5-466AA600B2FB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921" name="Text Box 1">
          <a:extLst>
            <a:ext uri="{FF2B5EF4-FFF2-40B4-BE49-F238E27FC236}">
              <a16:creationId xmlns:a16="http://schemas.microsoft.com/office/drawing/2014/main" xmlns="" id="{D4B9A723-CF88-44E2-9FE3-12DA23933ED9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922" name="Text Box 1">
          <a:extLst>
            <a:ext uri="{FF2B5EF4-FFF2-40B4-BE49-F238E27FC236}">
              <a16:creationId xmlns:a16="http://schemas.microsoft.com/office/drawing/2014/main" xmlns="" id="{FBDD6FC8-73C9-4927-A5D8-767E6B4F8EE8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923" name="Text Box 1">
          <a:extLst>
            <a:ext uri="{FF2B5EF4-FFF2-40B4-BE49-F238E27FC236}">
              <a16:creationId xmlns:a16="http://schemas.microsoft.com/office/drawing/2014/main" xmlns="" id="{9FC8BA40-C544-40B4-BE68-93810570CFA8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924" name="Text Box 1">
          <a:extLst>
            <a:ext uri="{FF2B5EF4-FFF2-40B4-BE49-F238E27FC236}">
              <a16:creationId xmlns:a16="http://schemas.microsoft.com/office/drawing/2014/main" xmlns="" id="{6D159E7B-6FAC-46AA-9787-F7EC353F62AE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925" name="Text Box 1">
          <a:extLst>
            <a:ext uri="{FF2B5EF4-FFF2-40B4-BE49-F238E27FC236}">
              <a16:creationId xmlns:a16="http://schemas.microsoft.com/office/drawing/2014/main" xmlns="" id="{AAF8A1DC-CBA4-4FCB-9D5E-12EFDA11493D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926" name="Text Box 1">
          <a:extLst>
            <a:ext uri="{FF2B5EF4-FFF2-40B4-BE49-F238E27FC236}">
              <a16:creationId xmlns:a16="http://schemas.microsoft.com/office/drawing/2014/main" xmlns="" id="{85A09CE6-0D2D-4938-A6DC-9B2844188444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927" name="Text Box 1">
          <a:extLst>
            <a:ext uri="{FF2B5EF4-FFF2-40B4-BE49-F238E27FC236}">
              <a16:creationId xmlns:a16="http://schemas.microsoft.com/office/drawing/2014/main" xmlns="" id="{6F4F2B23-EC86-4E5F-8C6B-C2CF19B43DAE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928" name="Text Box 1">
          <a:extLst>
            <a:ext uri="{FF2B5EF4-FFF2-40B4-BE49-F238E27FC236}">
              <a16:creationId xmlns:a16="http://schemas.microsoft.com/office/drawing/2014/main" xmlns="" id="{D7C70DE0-64AF-4CEF-AA9D-2B1B358A12EC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929" name="Text Box 1">
          <a:extLst>
            <a:ext uri="{FF2B5EF4-FFF2-40B4-BE49-F238E27FC236}">
              <a16:creationId xmlns:a16="http://schemas.microsoft.com/office/drawing/2014/main" xmlns="" id="{AE35E984-79B9-4E3D-8F21-874DF6AF7F10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930" name="Text Box 1">
          <a:extLst>
            <a:ext uri="{FF2B5EF4-FFF2-40B4-BE49-F238E27FC236}">
              <a16:creationId xmlns:a16="http://schemas.microsoft.com/office/drawing/2014/main" xmlns="" id="{691D97FA-F7BD-4E4F-8DBF-BC13FAF54203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931" name="Text Box 1">
          <a:extLst>
            <a:ext uri="{FF2B5EF4-FFF2-40B4-BE49-F238E27FC236}">
              <a16:creationId xmlns:a16="http://schemas.microsoft.com/office/drawing/2014/main" xmlns="" id="{EECFEFCD-C781-4E57-9CDC-0B5095E5C121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932" name="Text Box 1">
          <a:extLst>
            <a:ext uri="{FF2B5EF4-FFF2-40B4-BE49-F238E27FC236}">
              <a16:creationId xmlns:a16="http://schemas.microsoft.com/office/drawing/2014/main" xmlns="" id="{833362D5-E75D-452E-BE07-B7D4E7E915CC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933" name="Text Box 1">
          <a:extLst>
            <a:ext uri="{FF2B5EF4-FFF2-40B4-BE49-F238E27FC236}">
              <a16:creationId xmlns:a16="http://schemas.microsoft.com/office/drawing/2014/main" xmlns="" id="{0C64BAA4-20F6-474C-B91A-26CA519D3F19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934" name="Text Box 1">
          <a:extLst>
            <a:ext uri="{FF2B5EF4-FFF2-40B4-BE49-F238E27FC236}">
              <a16:creationId xmlns:a16="http://schemas.microsoft.com/office/drawing/2014/main" xmlns="" id="{A13F3FCB-7804-4F30-A644-8338E86F8D22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935" name="Text Box 1">
          <a:extLst>
            <a:ext uri="{FF2B5EF4-FFF2-40B4-BE49-F238E27FC236}">
              <a16:creationId xmlns:a16="http://schemas.microsoft.com/office/drawing/2014/main" xmlns="" id="{5090CA28-2C7B-4CA1-B11A-B05EF9978B68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936" name="Text Box 1">
          <a:extLst>
            <a:ext uri="{FF2B5EF4-FFF2-40B4-BE49-F238E27FC236}">
              <a16:creationId xmlns:a16="http://schemas.microsoft.com/office/drawing/2014/main" xmlns="" id="{92499FD5-33E9-4E80-A752-20299E494261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937" name="Text Box 1">
          <a:extLst>
            <a:ext uri="{FF2B5EF4-FFF2-40B4-BE49-F238E27FC236}">
              <a16:creationId xmlns:a16="http://schemas.microsoft.com/office/drawing/2014/main" xmlns="" id="{54485641-0A26-4D37-8B7B-77FEC7AD1360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938" name="Text Box 1">
          <a:extLst>
            <a:ext uri="{FF2B5EF4-FFF2-40B4-BE49-F238E27FC236}">
              <a16:creationId xmlns:a16="http://schemas.microsoft.com/office/drawing/2014/main" xmlns="" id="{A8BC33EF-7B28-483E-A4F9-11FE055CCD51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939" name="Text Box 1">
          <a:extLst>
            <a:ext uri="{FF2B5EF4-FFF2-40B4-BE49-F238E27FC236}">
              <a16:creationId xmlns:a16="http://schemas.microsoft.com/office/drawing/2014/main" xmlns="" id="{B494D3E8-CE53-48A2-BE03-09898C8B978E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940" name="Text Box 1">
          <a:extLst>
            <a:ext uri="{FF2B5EF4-FFF2-40B4-BE49-F238E27FC236}">
              <a16:creationId xmlns:a16="http://schemas.microsoft.com/office/drawing/2014/main" xmlns="" id="{6BFD074D-6635-499C-951E-43AD9BAD3222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941" name="Text Box 1">
          <a:extLst>
            <a:ext uri="{FF2B5EF4-FFF2-40B4-BE49-F238E27FC236}">
              <a16:creationId xmlns:a16="http://schemas.microsoft.com/office/drawing/2014/main" xmlns="" id="{90B59C18-9AD2-48F3-9FCA-E51EFE5A75F0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942" name="Text Box 1">
          <a:extLst>
            <a:ext uri="{FF2B5EF4-FFF2-40B4-BE49-F238E27FC236}">
              <a16:creationId xmlns:a16="http://schemas.microsoft.com/office/drawing/2014/main" xmlns="" id="{846D61C0-C25C-4887-BB31-105C6AEC86AC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943" name="Text Box 1">
          <a:extLst>
            <a:ext uri="{FF2B5EF4-FFF2-40B4-BE49-F238E27FC236}">
              <a16:creationId xmlns:a16="http://schemas.microsoft.com/office/drawing/2014/main" xmlns="" id="{AC96B351-8CCD-4EA2-83E8-89457C867969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944" name="Text Box 1">
          <a:extLst>
            <a:ext uri="{FF2B5EF4-FFF2-40B4-BE49-F238E27FC236}">
              <a16:creationId xmlns:a16="http://schemas.microsoft.com/office/drawing/2014/main" xmlns="" id="{3397552A-598B-4240-AF01-906ED123F061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945" name="Text Box 1">
          <a:extLst>
            <a:ext uri="{FF2B5EF4-FFF2-40B4-BE49-F238E27FC236}">
              <a16:creationId xmlns:a16="http://schemas.microsoft.com/office/drawing/2014/main" xmlns="" id="{328B893E-C40E-4995-9C78-D0ECBFD33869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946" name="Text Box 1">
          <a:extLst>
            <a:ext uri="{FF2B5EF4-FFF2-40B4-BE49-F238E27FC236}">
              <a16:creationId xmlns:a16="http://schemas.microsoft.com/office/drawing/2014/main" xmlns="" id="{7C6AA500-CBB3-451C-89DA-035A4BD61847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947" name="Text Box 1">
          <a:extLst>
            <a:ext uri="{FF2B5EF4-FFF2-40B4-BE49-F238E27FC236}">
              <a16:creationId xmlns:a16="http://schemas.microsoft.com/office/drawing/2014/main" xmlns="" id="{06617CFC-657A-402C-9561-0917A679F1E8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948" name="Text Box 1">
          <a:extLst>
            <a:ext uri="{FF2B5EF4-FFF2-40B4-BE49-F238E27FC236}">
              <a16:creationId xmlns:a16="http://schemas.microsoft.com/office/drawing/2014/main" xmlns="" id="{C64986A8-F9B9-49DC-A041-7C8F903CABA9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949" name="Text Box 1">
          <a:extLst>
            <a:ext uri="{FF2B5EF4-FFF2-40B4-BE49-F238E27FC236}">
              <a16:creationId xmlns:a16="http://schemas.microsoft.com/office/drawing/2014/main" xmlns="" id="{6A392843-3169-4949-8635-20CC0C1473FE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950" name="Text Box 1">
          <a:extLst>
            <a:ext uri="{FF2B5EF4-FFF2-40B4-BE49-F238E27FC236}">
              <a16:creationId xmlns:a16="http://schemas.microsoft.com/office/drawing/2014/main" xmlns="" id="{0F42A160-F3F5-4494-98F4-ACFD4B9CE578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951" name="Text Box 1">
          <a:extLst>
            <a:ext uri="{FF2B5EF4-FFF2-40B4-BE49-F238E27FC236}">
              <a16:creationId xmlns:a16="http://schemas.microsoft.com/office/drawing/2014/main" xmlns="" id="{B3E5A696-60DA-45FB-BBB6-2DC5F4961946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952" name="Text Box 1">
          <a:extLst>
            <a:ext uri="{FF2B5EF4-FFF2-40B4-BE49-F238E27FC236}">
              <a16:creationId xmlns:a16="http://schemas.microsoft.com/office/drawing/2014/main" xmlns="" id="{3BBFFE3C-FD04-4302-8907-D3E703CBB58B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953" name="Text Box 1">
          <a:extLst>
            <a:ext uri="{FF2B5EF4-FFF2-40B4-BE49-F238E27FC236}">
              <a16:creationId xmlns:a16="http://schemas.microsoft.com/office/drawing/2014/main" xmlns="" id="{74E10573-14E1-4596-B499-7930D2DF9515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954" name="Text Box 1">
          <a:extLst>
            <a:ext uri="{FF2B5EF4-FFF2-40B4-BE49-F238E27FC236}">
              <a16:creationId xmlns:a16="http://schemas.microsoft.com/office/drawing/2014/main" xmlns="" id="{FB81DF23-EF76-434F-A213-C43B689373D9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955" name="Text Box 1">
          <a:extLst>
            <a:ext uri="{FF2B5EF4-FFF2-40B4-BE49-F238E27FC236}">
              <a16:creationId xmlns:a16="http://schemas.microsoft.com/office/drawing/2014/main" xmlns="" id="{43CEBBD7-5AB9-4FF3-8347-F3E7A45BB8E8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956" name="Text Box 1">
          <a:extLst>
            <a:ext uri="{FF2B5EF4-FFF2-40B4-BE49-F238E27FC236}">
              <a16:creationId xmlns:a16="http://schemas.microsoft.com/office/drawing/2014/main" xmlns="" id="{B1770F56-E882-494B-9D0C-432688786410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957" name="Text Box 1">
          <a:extLst>
            <a:ext uri="{FF2B5EF4-FFF2-40B4-BE49-F238E27FC236}">
              <a16:creationId xmlns:a16="http://schemas.microsoft.com/office/drawing/2014/main" xmlns="" id="{A67F6DFF-E5AD-435A-83BB-8ED713997962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958" name="Text Box 1">
          <a:extLst>
            <a:ext uri="{FF2B5EF4-FFF2-40B4-BE49-F238E27FC236}">
              <a16:creationId xmlns:a16="http://schemas.microsoft.com/office/drawing/2014/main" xmlns="" id="{944F88B7-212C-461C-A607-9974A67300F4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959" name="Text Box 1">
          <a:extLst>
            <a:ext uri="{FF2B5EF4-FFF2-40B4-BE49-F238E27FC236}">
              <a16:creationId xmlns:a16="http://schemas.microsoft.com/office/drawing/2014/main" xmlns="" id="{7871519C-B782-4727-8505-1A2BA11F1FD2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960" name="Text Box 1">
          <a:extLst>
            <a:ext uri="{FF2B5EF4-FFF2-40B4-BE49-F238E27FC236}">
              <a16:creationId xmlns:a16="http://schemas.microsoft.com/office/drawing/2014/main" xmlns="" id="{0C1C3B61-4BD4-49FA-9E59-609182C89086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961" name="Text Box 1">
          <a:extLst>
            <a:ext uri="{FF2B5EF4-FFF2-40B4-BE49-F238E27FC236}">
              <a16:creationId xmlns:a16="http://schemas.microsoft.com/office/drawing/2014/main" xmlns="" id="{BBEE149F-1797-4218-9973-6D05293B85E6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962" name="Text Box 1">
          <a:extLst>
            <a:ext uri="{FF2B5EF4-FFF2-40B4-BE49-F238E27FC236}">
              <a16:creationId xmlns:a16="http://schemas.microsoft.com/office/drawing/2014/main" xmlns="" id="{CDA5641F-BD70-4E2E-A593-F19C4BF84671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963" name="Text Box 1">
          <a:extLst>
            <a:ext uri="{FF2B5EF4-FFF2-40B4-BE49-F238E27FC236}">
              <a16:creationId xmlns:a16="http://schemas.microsoft.com/office/drawing/2014/main" xmlns="" id="{2C317E87-BF88-45BA-9E69-C02349DCF7E7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964" name="Text Box 1">
          <a:extLst>
            <a:ext uri="{FF2B5EF4-FFF2-40B4-BE49-F238E27FC236}">
              <a16:creationId xmlns:a16="http://schemas.microsoft.com/office/drawing/2014/main" xmlns="" id="{25CEDCD2-2E66-4691-8501-6E82747BBC69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965" name="Text Box 1">
          <a:extLst>
            <a:ext uri="{FF2B5EF4-FFF2-40B4-BE49-F238E27FC236}">
              <a16:creationId xmlns:a16="http://schemas.microsoft.com/office/drawing/2014/main" xmlns="" id="{F9E2D417-67A4-41B8-80CD-3162BEBC75AA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966" name="Text Box 1">
          <a:extLst>
            <a:ext uri="{FF2B5EF4-FFF2-40B4-BE49-F238E27FC236}">
              <a16:creationId xmlns:a16="http://schemas.microsoft.com/office/drawing/2014/main" xmlns="" id="{60C021CD-F7F8-4B0B-80E7-1E685CF38844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967" name="Text Box 1">
          <a:extLst>
            <a:ext uri="{FF2B5EF4-FFF2-40B4-BE49-F238E27FC236}">
              <a16:creationId xmlns:a16="http://schemas.microsoft.com/office/drawing/2014/main" xmlns="" id="{EAB55EB5-857D-4C14-9335-503C8FF1B485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968" name="Text Box 1">
          <a:extLst>
            <a:ext uri="{FF2B5EF4-FFF2-40B4-BE49-F238E27FC236}">
              <a16:creationId xmlns:a16="http://schemas.microsoft.com/office/drawing/2014/main" xmlns="" id="{106D9A7A-3FF6-462C-8DE1-7D132DC50C15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969" name="Text Box 1">
          <a:extLst>
            <a:ext uri="{FF2B5EF4-FFF2-40B4-BE49-F238E27FC236}">
              <a16:creationId xmlns:a16="http://schemas.microsoft.com/office/drawing/2014/main" xmlns="" id="{CD26EF07-74F1-4036-884C-DB2768DABFC3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970" name="Text Box 1">
          <a:extLst>
            <a:ext uri="{FF2B5EF4-FFF2-40B4-BE49-F238E27FC236}">
              <a16:creationId xmlns:a16="http://schemas.microsoft.com/office/drawing/2014/main" xmlns="" id="{E6E2AEF8-4AEE-4626-8F47-CA1D3B0E8332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971" name="Text Box 1">
          <a:extLst>
            <a:ext uri="{FF2B5EF4-FFF2-40B4-BE49-F238E27FC236}">
              <a16:creationId xmlns:a16="http://schemas.microsoft.com/office/drawing/2014/main" xmlns="" id="{3CEC15F7-4BB3-4301-B4F1-6E46C8DE0C5D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972" name="Text Box 1">
          <a:extLst>
            <a:ext uri="{FF2B5EF4-FFF2-40B4-BE49-F238E27FC236}">
              <a16:creationId xmlns:a16="http://schemas.microsoft.com/office/drawing/2014/main" xmlns="" id="{03F21EE6-79BA-4D31-AF4C-94A7615E4BE4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973" name="Text Box 1">
          <a:extLst>
            <a:ext uri="{FF2B5EF4-FFF2-40B4-BE49-F238E27FC236}">
              <a16:creationId xmlns:a16="http://schemas.microsoft.com/office/drawing/2014/main" xmlns="" id="{F176EDCD-3EAC-4B5A-B0DF-C63E563C6123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974" name="Text Box 1">
          <a:extLst>
            <a:ext uri="{FF2B5EF4-FFF2-40B4-BE49-F238E27FC236}">
              <a16:creationId xmlns:a16="http://schemas.microsoft.com/office/drawing/2014/main" xmlns="" id="{78FDF4C1-62B0-490B-8AE2-97E9640FF2BF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975" name="Text Box 1">
          <a:extLst>
            <a:ext uri="{FF2B5EF4-FFF2-40B4-BE49-F238E27FC236}">
              <a16:creationId xmlns:a16="http://schemas.microsoft.com/office/drawing/2014/main" xmlns="" id="{D7F1C389-3996-4DE4-8B07-E91795D77A53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976" name="Text Box 1">
          <a:extLst>
            <a:ext uri="{FF2B5EF4-FFF2-40B4-BE49-F238E27FC236}">
              <a16:creationId xmlns:a16="http://schemas.microsoft.com/office/drawing/2014/main" xmlns="" id="{B6A5DC85-13C5-4C6A-99E5-E91A93377C0E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977" name="Text Box 1">
          <a:extLst>
            <a:ext uri="{FF2B5EF4-FFF2-40B4-BE49-F238E27FC236}">
              <a16:creationId xmlns:a16="http://schemas.microsoft.com/office/drawing/2014/main" xmlns="" id="{0696A6E1-1EB3-4EF2-8152-C566A23BD931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sp macro="" textlink="">
      <xdr:nvSpPr>
        <xdr:cNvPr id="4978" name="Text Box 1">
          <a:extLst>
            <a:ext uri="{FF2B5EF4-FFF2-40B4-BE49-F238E27FC236}">
              <a16:creationId xmlns:a16="http://schemas.microsoft.com/office/drawing/2014/main" xmlns="" id="{93796913-9DC0-4CBF-BC60-48B4C1DCE5C3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4979" name="Text Box 1">
          <a:extLst>
            <a:ext uri="{FF2B5EF4-FFF2-40B4-BE49-F238E27FC236}">
              <a16:creationId xmlns:a16="http://schemas.microsoft.com/office/drawing/2014/main" xmlns="" id="{761F93AF-25C1-4087-9087-DBBC900B515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4980" name="Picture 2">
          <a:extLst>
            <a:ext uri="{FF2B5EF4-FFF2-40B4-BE49-F238E27FC236}">
              <a16:creationId xmlns:a16="http://schemas.microsoft.com/office/drawing/2014/main" xmlns="" id="{E66FD99B-2601-4ADB-A882-FC9984E7428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4981" name="Picture 3">
          <a:extLst>
            <a:ext uri="{FF2B5EF4-FFF2-40B4-BE49-F238E27FC236}">
              <a16:creationId xmlns:a16="http://schemas.microsoft.com/office/drawing/2014/main" xmlns="" id="{60C9977C-3894-4F27-AAB8-C3913279AF2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4982" name="Picture 4">
          <a:extLst>
            <a:ext uri="{FF2B5EF4-FFF2-40B4-BE49-F238E27FC236}">
              <a16:creationId xmlns:a16="http://schemas.microsoft.com/office/drawing/2014/main" xmlns="" id="{82FB0974-A6D1-43F3-9ED2-4FDF4469BF5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4983" name="Picture 5">
          <a:extLst>
            <a:ext uri="{FF2B5EF4-FFF2-40B4-BE49-F238E27FC236}">
              <a16:creationId xmlns:a16="http://schemas.microsoft.com/office/drawing/2014/main" xmlns="" id="{DDD0319B-3534-4E88-8BD7-5F6ECB6781C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4984" name="Picture 6">
          <a:extLst>
            <a:ext uri="{FF2B5EF4-FFF2-40B4-BE49-F238E27FC236}">
              <a16:creationId xmlns:a16="http://schemas.microsoft.com/office/drawing/2014/main" xmlns="" id="{7A3DD74F-6A3B-44A0-BCBB-22390D40CAF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4985" name="Picture 7">
          <a:extLst>
            <a:ext uri="{FF2B5EF4-FFF2-40B4-BE49-F238E27FC236}">
              <a16:creationId xmlns:a16="http://schemas.microsoft.com/office/drawing/2014/main" xmlns="" id="{45F1CB2F-FD7A-439E-9CAE-838D7191DC1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4986" name="Picture 8">
          <a:extLst>
            <a:ext uri="{FF2B5EF4-FFF2-40B4-BE49-F238E27FC236}">
              <a16:creationId xmlns:a16="http://schemas.microsoft.com/office/drawing/2014/main" xmlns="" id="{45E2BAA6-714C-482A-A8B7-C74F0BC3E44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4987" name="Picture 9">
          <a:extLst>
            <a:ext uri="{FF2B5EF4-FFF2-40B4-BE49-F238E27FC236}">
              <a16:creationId xmlns:a16="http://schemas.microsoft.com/office/drawing/2014/main" xmlns="" id="{3610592E-75F9-40DD-B491-8871BE3FF5C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4988" name="Picture 10">
          <a:extLst>
            <a:ext uri="{FF2B5EF4-FFF2-40B4-BE49-F238E27FC236}">
              <a16:creationId xmlns:a16="http://schemas.microsoft.com/office/drawing/2014/main" xmlns="" id="{E7E0C942-1F67-45FD-B7ED-C8B7DE5C9F7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4989" name="Picture 11">
          <a:extLst>
            <a:ext uri="{FF2B5EF4-FFF2-40B4-BE49-F238E27FC236}">
              <a16:creationId xmlns:a16="http://schemas.microsoft.com/office/drawing/2014/main" xmlns="" id="{3ABDFCD9-F03B-4C79-B7CE-F982402EB71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4990" name="Picture 12">
          <a:extLst>
            <a:ext uri="{FF2B5EF4-FFF2-40B4-BE49-F238E27FC236}">
              <a16:creationId xmlns:a16="http://schemas.microsoft.com/office/drawing/2014/main" xmlns="" id="{4A4B3D93-599B-4539-81E9-08CF408CACD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4991" name="Picture 13">
          <a:extLst>
            <a:ext uri="{FF2B5EF4-FFF2-40B4-BE49-F238E27FC236}">
              <a16:creationId xmlns:a16="http://schemas.microsoft.com/office/drawing/2014/main" xmlns="" id="{3D7441B8-C06B-46B2-84EA-E930045711E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4992" name="Picture 14">
          <a:extLst>
            <a:ext uri="{FF2B5EF4-FFF2-40B4-BE49-F238E27FC236}">
              <a16:creationId xmlns:a16="http://schemas.microsoft.com/office/drawing/2014/main" xmlns="" id="{3A885729-A95B-4580-9D70-2BAEDED7FBA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4993" name="Picture 15">
          <a:extLst>
            <a:ext uri="{FF2B5EF4-FFF2-40B4-BE49-F238E27FC236}">
              <a16:creationId xmlns:a16="http://schemas.microsoft.com/office/drawing/2014/main" xmlns="" id="{870E620A-1664-4EDB-B437-8E184FB33C4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4994" name="Picture 16">
          <a:extLst>
            <a:ext uri="{FF2B5EF4-FFF2-40B4-BE49-F238E27FC236}">
              <a16:creationId xmlns:a16="http://schemas.microsoft.com/office/drawing/2014/main" xmlns="" id="{13A6193B-9494-469B-8295-CB3FDF86C84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4995" name="Picture 17">
          <a:extLst>
            <a:ext uri="{FF2B5EF4-FFF2-40B4-BE49-F238E27FC236}">
              <a16:creationId xmlns:a16="http://schemas.microsoft.com/office/drawing/2014/main" xmlns="" id="{C0B178A1-F3B0-41FF-9CCB-13D79D1399F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4996" name="Picture 18">
          <a:extLst>
            <a:ext uri="{FF2B5EF4-FFF2-40B4-BE49-F238E27FC236}">
              <a16:creationId xmlns:a16="http://schemas.microsoft.com/office/drawing/2014/main" xmlns="" id="{033ACF53-ECB1-4D6E-826A-F06F0EFC5A5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4997" name="Picture 19">
          <a:extLst>
            <a:ext uri="{FF2B5EF4-FFF2-40B4-BE49-F238E27FC236}">
              <a16:creationId xmlns:a16="http://schemas.microsoft.com/office/drawing/2014/main" xmlns="" id="{15127945-2492-4AF5-B4D2-970DCAC23F4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4998" name="Picture 20">
          <a:extLst>
            <a:ext uri="{FF2B5EF4-FFF2-40B4-BE49-F238E27FC236}">
              <a16:creationId xmlns:a16="http://schemas.microsoft.com/office/drawing/2014/main" xmlns="" id="{382D0F13-1217-43C7-9A9D-444D186EE85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4999" name="Picture 21">
          <a:extLst>
            <a:ext uri="{FF2B5EF4-FFF2-40B4-BE49-F238E27FC236}">
              <a16:creationId xmlns:a16="http://schemas.microsoft.com/office/drawing/2014/main" xmlns="" id="{A8EFC11B-65DD-4807-9E7D-191355050CB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000" name="Picture 22">
          <a:extLst>
            <a:ext uri="{FF2B5EF4-FFF2-40B4-BE49-F238E27FC236}">
              <a16:creationId xmlns:a16="http://schemas.microsoft.com/office/drawing/2014/main" xmlns="" id="{9CD832B0-C888-4608-8E81-D0EABC80E2B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001" name="Picture 23">
          <a:extLst>
            <a:ext uri="{FF2B5EF4-FFF2-40B4-BE49-F238E27FC236}">
              <a16:creationId xmlns:a16="http://schemas.microsoft.com/office/drawing/2014/main" xmlns="" id="{3A257F47-217C-447C-B64D-66517EDDAA7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002" name="Picture 24">
          <a:extLst>
            <a:ext uri="{FF2B5EF4-FFF2-40B4-BE49-F238E27FC236}">
              <a16:creationId xmlns:a16="http://schemas.microsoft.com/office/drawing/2014/main" xmlns="" id="{68E4B81B-FF21-41A4-B06B-08DF812C641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003" name="Picture 25">
          <a:extLst>
            <a:ext uri="{FF2B5EF4-FFF2-40B4-BE49-F238E27FC236}">
              <a16:creationId xmlns:a16="http://schemas.microsoft.com/office/drawing/2014/main" xmlns="" id="{0DFDA203-8603-4D46-829E-181E3E8D949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004" name="Picture 26">
          <a:extLst>
            <a:ext uri="{FF2B5EF4-FFF2-40B4-BE49-F238E27FC236}">
              <a16:creationId xmlns:a16="http://schemas.microsoft.com/office/drawing/2014/main" xmlns="" id="{8477406A-43C6-478A-8FF6-659EFDD4CB9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005" name="Picture 27">
          <a:extLst>
            <a:ext uri="{FF2B5EF4-FFF2-40B4-BE49-F238E27FC236}">
              <a16:creationId xmlns:a16="http://schemas.microsoft.com/office/drawing/2014/main" xmlns="" id="{F2C28125-9D8B-47C2-BBCF-227CC8F31E8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006" name="Picture 28">
          <a:extLst>
            <a:ext uri="{FF2B5EF4-FFF2-40B4-BE49-F238E27FC236}">
              <a16:creationId xmlns:a16="http://schemas.microsoft.com/office/drawing/2014/main" xmlns="" id="{D134B67B-458A-4613-8BA4-5EE4A1C9573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007" name="Picture 29">
          <a:extLst>
            <a:ext uri="{FF2B5EF4-FFF2-40B4-BE49-F238E27FC236}">
              <a16:creationId xmlns:a16="http://schemas.microsoft.com/office/drawing/2014/main" xmlns="" id="{F4B827C3-43AA-4093-BAE2-90A0AA8938E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008" name="Picture 30">
          <a:extLst>
            <a:ext uri="{FF2B5EF4-FFF2-40B4-BE49-F238E27FC236}">
              <a16:creationId xmlns:a16="http://schemas.microsoft.com/office/drawing/2014/main" xmlns="" id="{1125BAD2-86A5-4418-AE29-DA8C1EB760B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009" name="Picture 31">
          <a:extLst>
            <a:ext uri="{FF2B5EF4-FFF2-40B4-BE49-F238E27FC236}">
              <a16:creationId xmlns:a16="http://schemas.microsoft.com/office/drawing/2014/main" xmlns="" id="{AC4AD7FD-3453-4C1D-9F57-5D65AB88B73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010" name="Picture 32">
          <a:extLst>
            <a:ext uri="{FF2B5EF4-FFF2-40B4-BE49-F238E27FC236}">
              <a16:creationId xmlns:a16="http://schemas.microsoft.com/office/drawing/2014/main" xmlns="" id="{502A1F6E-4C21-452E-B827-8779FB34533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011" name="Picture 33">
          <a:extLst>
            <a:ext uri="{FF2B5EF4-FFF2-40B4-BE49-F238E27FC236}">
              <a16:creationId xmlns:a16="http://schemas.microsoft.com/office/drawing/2014/main" xmlns="" id="{2D27A722-202F-473E-98CB-4824ACA07EF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012" name="Picture 34">
          <a:extLst>
            <a:ext uri="{FF2B5EF4-FFF2-40B4-BE49-F238E27FC236}">
              <a16:creationId xmlns:a16="http://schemas.microsoft.com/office/drawing/2014/main" xmlns="" id="{7806F21D-6BD2-4D67-82D1-83D22D702D1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013" name="Picture 35">
          <a:extLst>
            <a:ext uri="{FF2B5EF4-FFF2-40B4-BE49-F238E27FC236}">
              <a16:creationId xmlns:a16="http://schemas.microsoft.com/office/drawing/2014/main" xmlns="" id="{CE32CDAA-CA4B-4DC9-AD39-6C19A7699D5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014" name="Picture 36">
          <a:extLst>
            <a:ext uri="{FF2B5EF4-FFF2-40B4-BE49-F238E27FC236}">
              <a16:creationId xmlns:a16="http://schemas.microsoft.com/office/drawing/2014/main" xmlns="" id="{2A2645EA-D6D8-4A82-B148-4EA4737962E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015" name="Picture 37">
          <a:extLst>
            <a:ext uri="{FF2B5EF4-FFF2-40B4-BE49-F238E27FC236}">
              <a16:creationId xmlns:a16="http://schemas.microsoft.com/office/drawing/2014/main" xmlns="" id="{79BE4507-4CE0-4F33-8EF2-B37CFB627B0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016" name="Picture 38">
          <a:extLst>
            <a:ext uri="{FF2B5EF4-FFF2-40B4-BE49-F238E27FC236}">
              <a16:creationId xmlns:a16="http://schemas.microsoft.com/office/drawing/2014/main" xmlns="" id="{BEE0C9DE-83EE-4348-9BD8-F8B1AEF9EB7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017" name="Picture 39">
          <a:extLst>
            <a:ext uri="{FF2B5EF4-FFF2-40B4-BE49-F238E27FC236}">
              <a16:creationId xmlns:a16="http://schemas.microsoft.com/office/drawing/2014/main" xmlns="" id="{9A8ABD29-4632-4327-8AD9-1B219B28D92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018" name="Picture 40">
          <a:extLst>
            <a:ext uri="{FF2B5EF4-FFF2-40B4-BE49-F238E27FC236}">
              <a16:creationId xmlns:a16="http://schemas.microsoft.com/office/drawing/2014/main" xmlns="" id="{500391B7-05ED-4BC3-9F87-7C0C1CD83CD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019" name="Picture 41">
          <a:extLst>
            <a:ext uri="{FF2B5EF4-FFF2-40B4-BE49-F238E27FC236}">
              <a16:creationId xmlns:a16="http://schemas.microsoft.com/office/drawing/2014/main" xmlns="" id="{55FC9529-FE09-48B3-8941-ADEF3B39799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020" name="Picture 42">
          <a:extLst>
            <a:ext uri="{FF2B5EF4-FFF2-40B4-BE49-F238E27FC236}">
              <a16:creationId xmlns:a16="http://schemas.microsoft.com/office/drawing/2014/main" xmlns="" id="{B3079577-0D7E-43DB-8199-A0DDE5ACC0C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021" name="Picture 43">
          <a:extLst>
            <a:ext uri="{FF2B5EF4-FFF2-40B4-BE49-F238E27FC236}">
              <a16:creationId xmlns:a16="http://schemas.microsoft.com/office/drawing/2014/main" xmlns="" id="{48431716-E049-4DCA-9200-F4E9FE5D9E4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022" name="Picture 44">
          <a:extLst>
            <a:ext uri="{FF2B5EF4-FFF2-40B4-BE49-F238E27FC236}">
              <a16:creationId xmlns:a16="http://schemas.microsoft.com/office/drawing/2014/main" xmlns="" id="{FD650CCD-5A46-4C77-8119-2A22F2CC199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023" name="Picture 45">
          <a:extLst>
            <a:ext uri="{FF2B5EF4-FFF2-40B4-BE49-F238E27FC236}">
              <a16:creationId xmlns:a16="http://schemas.microsoft.com/office/drawing/2014/main" xmlns="" id="{3C61F919-B834-48C9-8264-69AAAB01B8E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024" name="Picture 46">
          <a:extLst>
            <a:ext uri="{FF2B5EF4-FFF2-40B4-BE49-F238E27FC236}">
              <a16:creationId xmlns:a16="http://schemas.microsoft.com/office/drawing/2014/main" xmlns="" id="{A94DBFAB-9CB3-4463-8F4A-0A121D4A16D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025" name="Picture 47">
          <a:extLst>
            <a:ext uri="{FF2B5EF4-FFF2-40B4-BE49-F238E27FC236}">
              <a16:creationId xmlns:a16="http://schemas.microsoft.com/office/drawing/2014/main" xmlns="" id="{3DFAC38D-E818-4CBF-B1CB-E86F017365D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026" name="Picture 48">
          <a:extLst>
            <a:ext uri="{FF2B5EF4-FFF2-40B4-BE49-F238E27FC236}">
              <a16:creationId xmlns:a16="http://schemas.microsoft.com/office/drawing/2014/main" xmlns="" id="{6F7A01EE-F7EB-4A0B-9C82-8767BAB7C6E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027" name="Picture 49">
          <a:extLst>
            <a:ext uri="{FF2B5EF4-FFF2-40B4-BE49-F238E27FC236}">
              <a16:creationId xmlns:a16="http://schemas.microsoft.com/office/drawing/2014/main" xmlns="" id="{640A3722-C931-48C4-A382-82BC2513D8F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028" name="Picture 50">
          <a:extLst>
            <a:ext uri="{FF2B5EF4-FFF2-40B4-BE49-F238E27FC236}">
              <a16:creationId xmlns:a16="http://schemas.microsoft.com/office/drawing/2014/main" xmlns="" id="{DE56C660-562F-422F-AA5E-D0557D763F7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029" name="Picture 51">
          <a:extLst>
            <a:ext uri="{FF2B5EF4-FFF2-40B4-BE49-F238E27FC236}">
              <a16:creationId xmlns:a16="http://schemas.microsoft.com/office/drawing/2014/main" xmlns="" id="{B62E63F3-CB66-48B7-A128-6F8F216088B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030" name="Picture 52">
          <a:extLst>
            <a:ext uri="{FF2B5EF4-FFF2-40B4-BE49-F238E27FC236}">
              <a16:creationId xmlns:a16="http://schemas.microsoft.com/office/drawing/2014/main" xmlns="" id="{CDECEB49-BC45-49D4-B28F-087F1AFDB7B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031" name="Picture 53">
          <a:extLst>
            <a:ext uri="{FF2B5EF4-FFF2-40B4-BE49-F238E27FC236}">
              <a16:creationId xmlns:a16="http://schemas.microsoft.com/office/drawing/2014/main" xmlns="" id="{65FEDA4D-3678-4505-AA64-12BA8FA645E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032" name="Picture 54">
          <a:extLst>
            <a:ext uri="{FF2B5EF4-FFF2-40B4-BE49-F238E27FC236}">
              <a16:creationId xmlns:a16="http://schemas.microsoft.com/office/drawing/2014/main" xmlns="" id="{3FFF46F0-B84D-44A6-ADD3-42B0D2EB5E7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033" name="Picture 55">
          <a:extLst>
            <a:ext uri="{FF2B5EF4-FFF2-40B4-BE49-F238E27FC236}">
              <a16:creationId xmlns:a16="http://schemas.microsoft.com/office/drawing/2014/main" xmlns="" id="{76446290-A8D0-4C5D-A20C-BFDB725336D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034" name="Picture 56">
          <a:extLst>
            <a:ext uri="{FF2B5EF4-FFF2-40B4-BE49-F238E27FC236}">
              <a16:creationId xmlns:a16="http://schemas.microsoft.com/office/drawing/2014/main" xmlns="" id="{E1A5B87A-660A-4620-9351-33C0725B91A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035" name="Picture 57">
          <a:extLst>
            <a:ext uri="{FF2B5EF4-FFF2-40B4-BE49-F238E27FC236}">
              <a16:creationId xmlns:a16="http://schemas.microsoft.com/office/drawing/2014/main" xmlns="" id="{CE214CF3-03A5-46C3-95FD-921A7F5001E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036" name="Picture 58">
          <a:extLst>
            <a:ext uri="{FF2B5EF4-FFF2-40B4-BE49-F238E27FC236}">
              <a16:creationId xmlns:a16="http://schemas.microsoft.com/office/drawing/2014/main" xmlns="" id="{AACAC3BB-DCD3-4D6A-95C3-B8A4130A683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037" name="Picture 59">
          <a:extLst>
            <a:ext uri="{FF2B5EF4-FFF2-40B4-BE49-F238E27FC236}">
              <a16:creationId xmlns:a16="http://schemas.microsoft.com/office/drawing/2014/main" xmlns="" id="{A639FF83-484C-49C2-8877-3C3E2AB1788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038" name="Picture 60">
          <a:extLst>
            <a:ext uri="{FF2B5EF4-FFF2-40B4-BE49-F238E27FC236}">
              <a16:creationId xmlns:a16="http://schemas.microsoft.com/office/drawing/2014/main" xmlns="" id="{93B9ABE1-4E78-40A3-9FF1-50B86A215A1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039" name="Picture 61">
          <a:extLst>
            <a:ext uri="{FF2B5EF4-FFF2-40B4-BE49-F238E27FC236}">
              <a16:creationId xmlns:a16="http://schemas.microsoft.com/office/drawing/2014/main" xmlns="" id="{691F7CDF-72A2-4DD2-837C-20BBCF58C68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040" name="Picture 62">
          <a:extLst>
            <a:ext uri="{FF2B5EF4-FFF2-40B4-BE49-F238E27FC236}">
              <a16:creationId xmlns:a16="http://schemas.microsoft.com/office/drawing/2014/main" xmlns="" id="{DF3A487D-94FC-4678-B91E-5613C0DAC8C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041" name="Picture 63">
          <a:extLst>
            <a:ext uri="{FF2B5EF4-FFF2-40B4-BE49-F238E27FC236}">
              <a16:creationId xmlns:a16="http://schemas.microsoft.com/office/drawing/2014/main" xmlns="" id="{8750E335-AC7C-4827-8EBD-2BDE063F0D7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042" name="Picture 64">
          <a:extLst>
            <a:ext uri="{FF2B5EF4-FFF2-40B4-BE49-F238E27FC236}">
              <a16:creationId xmlns:a16="http://schemas.microsoft.com/office/drawing/2014/main" xmlns="" id="{F5917CBA-CBA7-4895-921E-991D06DD07D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043" name="Picture 65">
          <a:extLst>
            <a:ext uri="{FF2B5EF4-FFF2-40B4-BE49-F238E27FC236}">
              <a16:creationId xmlns:a16="http://schemas.microsoft.com/office/drawing/2014/main" xmlns="" id="{93C80A82-359C-4166-8A0E-F53E372708C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044" name="Picture 66">
          <a:extLst>
            <a:ext uri="{FF2B5EF4-FFF2-40B4-BE49-F238E27FC236}">
              <a16:creationId xmlns:a16="http://schemas.microsoft.com/office/drawing/2014/main" xmlns="" id="{F89FAC5C-7258-4008-ACC6-6480DA9947B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045" name="Picture 67">
          <a:extLst>
            <a:ext uri="{FF2B5EF4-FFF2-40B4-BE49-F238E27FC236}">
              <a16:creationId xmlns:a16="http://schemas.microsoft.com/office/drawing/2014/main" xmlns="" id="{F11DECC1-B0AC-4915-BD8A-BD11F440BEE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046" name="Picture 68">
          <a:extLst>
            <a:ext uri="{FF2B5EF4-FFF2-40B4-BE49-F238E27FC236}">
              <a16:creationId xmlns:a16="http://schemas.microsoft.com/office/drawing/2014/main" xmlns="" id="{0FBA0BDA-46D2-4517-BA74-0E4E6635CD5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047" name="Picture 69">
          <a:extLst>
            <a:ext uri="{FF2B5EF4-FFF2-40B4-BE49-F238E27FC236}">
              <a16:creationId xmlns:a16="http://schemas.microsoft.com/office/drawing/2014/main" xmlns="" id="{8EAD2F2D-108C-433C-827E-5F615E9A642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048" name="Picture 70">
          <a:extLst>
            <a:ext uri="{FF2B5EF4-FFF2-40B4-BE49-F238E27FC236}">
              <a16:creationId xmlns:a16="http://schemas.microsoft.com/office/drawing/2014/main" xmlns="" id="{ACC89665-4E1D-4474-90FF-EAE443E8AF4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049" name="Picture 71">
          <a:extLst>
            <a:ext uri="{FF2B5EF4-FFF2-40B4-BE49-F238E27FC236}">
              <a16:creationId xmlns:a16="http://schemas.microsoft.com/office/drawing/2014/main" xmlns="" id="{182CDCB7-275F-435F-AA1C-67BBDFA9D2C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050" name="Picture 72">
          <a:extLst>
            <a:ext uri="{FF2B5EF4-FFF2-40B4-BE49-F238E27FC236}">
              <a16:creationId xmlns:a16="http://schemas.microsoft.com/office/drawing/2014/main" xmlns="" id="{6E0BF669-D8DC-4F2B-BBBA-01ADB71D9EC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051" name="Picture 73">
          <a:extLst>
            <a:ext uri="{FF2B5EF4-FFF2-40B4-BE49-F238E27FC236}">
              <a16:creationId xmlns:a16="http://schemas.microsoft.com/office/drawing/2014/main" xmlns="" id="{68D107AC-9972-4DBD-B446-AB204F5095F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052" name="Picture 74">
          <a:extLst>
            <a:ext uri="{FF2B5EF4-FFF2-40B4-BE49-F238E27FC236}">
              <a16:creationId xmlns:a16="http://schemas.microsoft.com/office/drawing/2014/main" xmlns="" id="{63144B47-93F7-4565-81E6-992EED1DEFD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053" name="Picture 75">
          <a:extLst>
            <a:ext uri="{FF2B5EF4-FFF2-40B4-BE49-F238E27FC236}">
              <a16:creationId xmlns:a16="http://schemas.microsoft.com/office/drawing/2014/main" xmlns="" id="{379217D7-88F1-4352-A6EF-7EDC4A0A23E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054" name="Picture 76">
          <a:extLst>
            <a:ext uri="{FF2B5EF4-FFF2-40B4-BE49-F238E27FC236}">
              <a16:creationId xmlns:a16="http://schemas.microsoft.com/office/drawing/2014/main" xmlns="" id="{9B253775-BA00-4CBD-AAD5-4C26C3709C6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055" name="Picture 77">
          <a:extLst>
            <a:ext uri="{FF2B5EF4-FFF2-40B4-BE49-F238E27FC236}">
              <a16:creationId xmlns:a16="http://schemas.microsoft.com/office/drawing/2014/main" xmlns="" id="{7DCEB0DB-01E4-4F55-8FFB-84B5A7B323C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056" name="Picture 78">
          <a:extLst>
            <a:ext uri="{FF2B5EF4-FFF2-40B4-BE49-F238E27FC236}">
              <a16:creationId xmlns:a16="http://schemas.microsoft.com/office/drawing/2014/main" xmlns="" id="{19E074B8-464F-486F-AA3B-DADEBB83742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057" name="Picture 79">
          <a:extLst>
            <a:ext uri="{FF2B5EF4-FFF2-40B4-BE49-F238E27FC236}">
              <a16:creationId xmlns:a16="http://schemas.microsoft.com/office/drawing/2014/main" xmlns="" id="{AD915FC4-289D-45C0-8AE8-CF0211B6821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058" name="Picture 80">
          <a:extLst>
            <a:ext uri="{FF2B5EF4-FFF2-40B4-BE49-F238E27FC236}">
              <a16:creationId xmlns:a16="http://schemas.microsoft.com/office/drawing/2014/main" xmlns="" id="{37BF0203-69D8-47D7-8B50-98002CDCC26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059" name="Picture 81">
          <a:extLst>
            <a:ext uri="{FF2B5EF4-FFF2-40B4-BE49-F238E27FC236}">
              <a16:creationId xmlns:a16="http://schemas.microsoft.com/office/drawing/2014/main" xmlns="" id="{4AEDB98B-4FE1-4EB7-A5EB-D597B71FAD5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060" name="Picture 82">
          <a:extLst>
            <a:ext uri="{FF2B5EF4-FFF2-40B4-BE49-F238E27FC236}">
              <a16:creationId xmlns:a16="http://schemas.microsoft.com/office/drawing/2014/main" xmlns="" id="{1F8D9F6B-A2A3-40EF-B599-018149CDC76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061" name="Picture 83">
          <a:extLst>
            <a:ext uri="{FF2B5EF4-FFF2-40B4-BE49-F238E27FC236}">
              <a16:creationId xmlns:a16="http://schemas.microsoft.com/office/drawing/2014/main" xmlns="" id="{4EE865DF-9B1D-48BE-BF56-3164EF7A272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062" name="Picture 84">
          <a:extLst>
            <a:ext uri="{FF2B5EF4-FFF2-40B4-BE49-F238E27FC236}">
              <a16:creationId xmlns:a16="http://schemas.microsoft.com/office/drawing/2014/main" xmlns="" id="{689487FF-1F05-446D-B789-8FFA05D5BF1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063" name="Picture 85">
          <a:extLst>
            <a:ext uri="{FF2B5EF4-FFF2-40B4-BE49-F238E27FC236}">
              <a16:creationId xmlns:a16="http://schemas.microsoft.com/office/drawing/2014/main" xmlns="" id="{52283305-48E1-4CCC-B754-4EEFBC29443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064" name="Picture 86">
          <a:extLst>
            <a:ext uri="{FF2B5EF4-FFF2-40B4-BE49-F238E27FC236}">
              <a16:creationId xmlns:a16="http://schemas.microsoft.com/office/drawing/2014/main" xmlns="" id="{E961E7F5-2B57-431A-82C2-2892B0B3D84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065" name="Picture 87">
          <a:extLst>
            <a:ext uri="{FF2B5EF4-FFF2-40B4-BE49-F238E27FC236}">
              <a16:creationId xmlns:a16="http://schemas.microsoft.com/office/drawing/2014/main" xmlns="" id="{35CA5CD4-0956-4730-8904-E48D6315D0D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066" name="Picture 88">
          <a:extLst>
            <a:ext uri="{FF2B5EF4-FFF2-40B4-BE49-F238E27FC236}">
              <a16:creationId xmlns:a16="http://schemas.microsoft.com/office/drawing/2014/main" xmlns="" id="{6D918913-DF8D-48E9-83A6-CE3BB4A1CDA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067" name="Picture 89">
          <a:extLst>
            <a:ext uri="{FF2B5EF4-FFF2-40B4-BE49-F238E27FC236}">
              <a16:creationId xmlns:a16="http://schemas.microsoft.com/office/drawing/2014/main" xmlns="" id="{6D20A052-1E9C-41C8-B9BC-C15AFDA8F79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068" name="Picture 90">
          <a:extLst>
            <a:ext uri="{FF2B5EF4-FFF2-40B4-BE49-F238E27FC236}">
              <a16:creationId xmlns:a16="http://schemas.microsoft.com/office/drawing/2014/main" xmlns="" id="{99F027BD-C90E-4577-B96D-C0386AC9E55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069" name="Picture 91">
          <a:extLst>
            <a:ext uri="{FF2B5EF4-FFF2-40B4-BE49-F238E27FC236}">
              <a16:creationId xmlns:a16="http://schemas.microsoft.com/office/drawing/2014/main" xmlns="" id="{BF8BBBFA-50C7-4C6F-9F19-50456FE75F1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070" name="Picture 92">
          <a:extLst>
            <a:ext uri="{FF2B5EF4-FFF2-40B4-BE49-F238E27FC236}">
              <a16:creationId xmlns:a16="http://schemas.microsoft.com/office/drawing/2014/main" xmlns="" id="{686344D9-5954-4FAB-8389-7909FACA3A7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071" name="Picture 93">
          <a:extLst>
            <a:ext uri="{FF2B5EF4-FFF2-40B4-BE49-F238E27FC236}">
              <a16:creationId xmlns:a16="http://schemas.microsoft.com/office/drawing/2014/main" xmlns="" id="{F6FB62A6-695D-49BE-9015-33AF36B1639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072" name="Picture 94">
          <a:extLst>
            <a:ext uri="{FF2B5EF4-FFF2-40B4-BE49-F238E27FC236}">
              <a16:creationId xmlns:a16="http://schemas.microsoft.com/office/drawing/2014/main" xmlns="" id="{5F09CC64-E966-4E55-8F0D-11DBC6B3ED0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073" name="Picture 95">
          <a:extLst>
            <a:ext uri="{FF2B5EF4-FFF2-40B4-BE49-F238E27FC236}">
              <a16:creationId xmlns:a16="http://schemas.microsoft.com/office/drawing/2014/main" xmlns="" id="{B7513092-6BDE-4015-80D0-F07D2460E3A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074" name="Picture 96">
          <a:extLst>
            <a:ext uri="{FF2B5EF4-FFF2-40B4-BE49-F238E27FC236}">
              <a16:creationId xmlns:a16="http://schemas.microsoft.com/office/drawing/2014/main" xmlns="" id="{25C7B708-3C71-465C-A1A7-A133CA9C834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075" name="Picture 97">
          <a:extLst>
            <a:ext uri="{FF2B5EF4-FFF2-40B4-BE49-F238E27FC236}">
              <a16:creationId xmlns:a16="http://schemas.microsoft.com/office/drawing/2014/main" xmlns="" id="{E9E1AE55-7DB1-424E-94DF-5E283A091AB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076" name="Picture 98">
          <a:extLst>
            <a:ext uri="{FF2B5EF4-FFF2-40B4-BE49-F238E27FC236}">
              <a16:creationId xmlns:a16="http://schemas.microsoft.com/office/drawing/2014/main" xmlns="" id="{10569245-B604-4CB2-AA65-DD896617C9E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077" name="Picture 99">
          <a:extLst>
            <a:ext uri="{FF2B5EF4-FFF2-40B4-BE49-F238E27FC236}">
              <a16:creationId xmlns:a16="http://schemas.microsoft.com/office/drawing/2014/main" xmlns="" id="{7E94B536-FD7E-4332-9C10-D3B0B68F715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078" name="Picture 100">
          <a:extLst>
            <a:ext uri="{FF2B5EF4-FFF2-40B4-BE49-F238E27FC236}">
              <a16:creationId xmlns:a16="http://schemas.microsoft.com/office/drawing/2014/main" xmlns="" id="{8A7B25C8-E46A-4CDC-AA7E-EFC15A823C3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079" name="Picture 101">
          <a:extLst>
            <a:ext uri="{FF2B5EF4-FFF2-40B4-BE49-F238E27FC236}">
              <a16:creationId xmlns:a16="http://schemas.microsoft.com/office/drawing/2014/main" xmlns="" id="{90976945-143C-4CD7-98E7-CCDDC798F71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080" name="Picture 102">
          <a:extLst>
            <a:ext uri="{FF2B5EF4-FFF2-40B4-BE49-F238E27FC236}">
              <a16:creationId xmlns:a16="http://schemas.microsoft.com/office/drawing/2014/main" xmlns="" id="{E18CA05A-F96F-40F4-ABA4-B0E21732B66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081" name="Picture 103">
          <a:extLst>
            <a:ext uri="{FF2B5EF4-FFF2-40B4-BE49-F238E27FC236}">
              <a16:creationId xmlns:a16="http://schemas.microsoft.com/office/drawing/2014/main" xmlns="" id="{BE2D3682-9401-40B1-AC30-436C19DD9C1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082" name="Picture 104">
          <a:extLst>
            <a:ext uri="{FF2B5EF4-FFF2-40B4-BE49-F238E27FC236}">
              <a16:creationId xmlns:a16="http://schemas.microsoft.com/office/drawing/2014/main" xmlns="" id="{457FD920-0B73-4378-9856-8A9450557C9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083" name="Picture 105">
          <a:extLst>
            <a:ext uri="{FF2B5EF4-FFF2-40B4-BE49-F238E27FC236}">
              <a16:creationId xmlns:a16="http://schemas.microsoft.com/office/drawing/2014/main" xmlns="" id="{C543FB2C-ECC2-4444-B3DA-407A0E6B2F0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084" name="Picture 106">
          <a:extLst>
            <a:ext uri="{FF2B5EF4-FFF2-40B4-BE49-F238E27FC236}">
              <a16:creationId xmlns:a16="http://schemas.microsoft.com/office/drawing/2014/main" xmlns="" id="{97964691-2585-4AB3-96D2-704C019712F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085" name="Picture 107">
          <a:extLst>
            <a:ext uri="{FF2B5EF4-FFF2-40B4-BE49-F238E27FC236}">
              <a16:creationId xmlns:a16="http://schemas.microsoft.com/office/drawing/2014/main" xmlns="" id="{A137D2EA-057F-429E-BE61-4E1B5E0E2BF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086" name="Picture 108">
          <a:extLst>
            <a:ext uri="{FF2B5EF4-FFF2-40B4-BE49-F238E27FC236}">
              <a16:creationId xmlns:a16="http://schemas.microsoft.com/office/drawing/2014/main" xmlns="" id="{AB8572E6-225C-412D-89E6-A51E45AE9A9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087" name="Picture 109">
          <a:extLst>
            <a:ext uri="{FF2B5EF4-FFF2-40B4-BE49-F238E27FC236}">
              <a16:creationId xmlns:a16="http://schemas.microsoft.com/office/drawing/2014/main" xmlns="" id="{5371BAF7-AD07-4A12-9FC8-4D681B8AFA2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088" name="Picture 110">
          <a:extLst>
            <a:ext uri="{FF2B5EF4-FFF2-40B4-BE49-F238E27FC236}">
              <a16:creationId xmlns:a16="http://schemas.microsoft.com/office/drawing/2014/main" xmlns="" id="{8CB60B31-48D8-44CB-AA78-C1F47FE3E82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089" name="Picture 111">
          <a:extLst>
            <a:ext uri="{FF2B5EF4-FFF2-40B4-BE49-F238E27FC236}">
              <a16:creationId xmlns:a16="http://schemas.microsoft.com/office/drawing/2014/main" xmlns="" id="{BFE7BC4B-876F-477C-945A-091EC8146C4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090" name="Picture 112">
          <a:extLst>
            <a:ext uri="{FF2B5EF4-FFF2-40B4-BE49-F238E27FC236}">
              <a16:creationId xmlns:a16="http://schemas.microsoft.com/office/drawing/2014/main" xmlns="" id="{8ACBF7F1-74D9-44F2-A48D-1AD4733658B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091" name="Picture 113">
          <a:extLst>
            <a:ext uri="{FF2B5EF4-FFF2-40B4-BE49-F238E27FC236}">
              <a16:creationId xmlns:a16="http://schemas.microsoft.com/office/drawing/2014/main" xmlns="" id="{95AC8A03-0136-42F7-B4E1-DDEF2C3C023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092" name="Picture 114">
          <a:extLst>
            <a:ext uri="{FF2B5EF4-FFF2-40B4-BE49-F238E27FC236}">
              <a16:creationId xmlns:a16="http://schemas.microsoft.com/office/drawing/2014/main" xmlns="" id="{D666A8CB-9C3C-41B4-B49B-0E6352FD518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093" name="Picture 115">
          <a:extLst>
            <a:ext uri="{FF2B5EF4-FFF2-40B4-BE49-F238E27FC236}">
              <a16:creationId xmlns:a16="http://schemas.microsoft.com/office/drawing/2014/main" xmlns="" id="{DBAA5481-67BD-4A15-B799-213BF9E3265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094" name="Picture 116">
          <a:extLst>
            <a:ext uri="{FF2B5EF4-FFF2-40B4-BE49-F238E27FC236}">
              <a16:creationId xmlns:a16="http://schemas.microsoft.com/office/drawing/2014/main" xmlns="" id="{E009E02C-7E20-49BF-8D63-2150F8233D8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095" name="Picture 117">
          <a:extLst>
            <a:ext uri="{FF2B5EF4-FFF2-40B4-BE49-F238E27FC236}">
              <a16:creationId xmlns:a16="http://schemas.microsoft.com/office/drawing/2014/main" xmlns="" id="{ADE0B6D2-1046-4CB7-A4FD-8D581F6E318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096" name="Picture 118">
          <a:extLst>
            <a:ext uri="{FF2B5EF4-FFF2-40B4-BE49-F238E27FC236}">
              <a16:creationId xmlns:a16="http://schemas.microsoft.com/office/drawing/2014/main" xmlns="" id="{55E9C394-7D65-4C52-A9EC-2C65CB6E4F1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097" name="Picture 119">
          <a:extLst>
            <a:ext uri="{FF2B5EF4-FFF2-40B4-BE49-F238E27FC236}">
              <a16:creationId xmlns:a16="http://schemas.microsoft.com/office/drawing/2014/main" xmlns="" id="{2BA20352-5089-4A6B-A6A2-99721D1CEBD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098" name="Picture 120">
          <a:extLst>
            <a:ext uri="{FF2B5EF4-FFF2-40B4-BE49-F238E27FC236}">
              <a16:creationId xmlns:a16="http://schemas.microsoft.com/office/drawing/2014/main" xmlns="" id="{2CE065EC-B9CE-49C0-B92C-3C1E33FEE16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099" name="Picture 121">
          <a:extLst>
            <a:ext uri="{FF2B5EF4-FFF2-40B4-BE49-F238E27FC236}">
              <a16:creationId xmlns:a16="http://schemas.microsoft.com/office/drawing/2014/main" xmlns="" id="{000A11C3-7CFA-4752-92F9-B75BE861CD1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100" name="Picture 122">
          <a:extLst>
            <a:ext uri="{FF2B5EF4-FFF2-40B4-BE49-F238E27FC236}">
              <a16:creationId xmlns:a16="http://schemas.microsoft.com/office/drawing/2014/main" xmlns="" id="{2100DE0C-2835-46C0-9B37-F4BDE8F8E8A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101" name="Picture 123">
          <a:extLst>
            <a:ext uri="{FF2B5EF4-FFF2-40B4-BE49-F238E27FC236}">
              <a16:creationId xmlns:a16="http://schemas.microsoft.com/office/drawing/2014/main" xmlns="" id="{FC87F3F8-49EC-44C8-8261-F413F6D86C3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102" name="Picture 124">
          <a:extLst>
            <a:ext uri="{FF2B5EF4-FFF2-40B4-BE49-F238E27FC236}">
              <a16:creationId xmlns:a16="http://schemas.microsoft.com/office/drawing/2014/main" xmlns="" id="{2B903CB0-709E-45B5-A92F-43199507E15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103" name="Picture 125">
          <a:extLst>
            <a:ext uri="{FF2B5EF4-FFF2-40B4-BE49-F238E27FC236}">
              <a16:creationId xmlns:a16="http://schemas.microsoft.com/office/drawing/2014/main" xmlns="" id="{E959D014-C972-4D5E-AACF-2A7E180E921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104" name="Picture 126">
          <a:extLst>
            <a:ext uri="{FF2B5EF4-FFF2-40B4-BE49-F238E27FC236}">
              <a16:creationId xmlns:a16="http://schemas.microsoft.com/office/drawing/2014/main" xmlns="" id="{32FBC6F5-4A2C-46AC-86B6-7F6EC0C0A5F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105" name="Picture 127">
          <a:extLst>
            <a:ext uri="{FF2B5EF4-FFF2-40B4-BE49-F238E27FC236}">
              <a16:creationId xmlns:a16="http://schemas.microsoft.com/office/drawing/2014/main" xmlns="" id="{C93D964C-E5C2-4BF9-A003-62C4C6097B3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106" name="Picture 128">
          <a:extLst>
            <a:ext uri="{FF2B5EF4-FFF2-40B4-BE49-F238E27FC236}">
              <a16:creationId xmlns:a16="http://schemas.microsoft.com/office/drawing/2014/main" xmlns="" id="{B3AB018F-E483-4B2E-9654-4E45AF1D692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107" name="Picture 129">
          <a:extLst>
            <a:ext uri="{FF2B5EF4-FFF2-40B4-BE49-F238E27FC236}">
              <a16:creationId xmlns:a16="http://schemas.microsoft.com/office/drawing/2014/main" xmlns="" id="{ABE83359-93FE-4B7B-B6AF-43F1AD3C07E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108" name="Picture 130">
          <a:extLst>
            <a:ext uri="{FF2B5EF4-FFF2-40B4-BE49-F238E27FC236}">
              <a16:creationId xmlns:a16="http://schemas.microsoft.com/office/drawing/2014/main" xmlns="" id="{411108AC-CA1F-47C8-90D6-192A9DCC68A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109" name="Picture 131">
          <a:extLst>
            <a:ext uri="{FF2B5EF4-FFF2-40B4-BE49-F238E27FC236}">
              <a16:creationId xmlns:a16="http://schemas.microsoft.com/office/drawing/2014/main" xmlns="" id="{1D488A32-C25E-4436-8A8B-622258181E2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110" name="Picture 132">
          <a:extLst>
            <a:ext uri="{FF2B5EF4-FFF2-40B4-BE49-F238E27FC236}">
              <a16:creationId xmlns:a16="http://schemas.microsoft.com/office/drawing/2014/main" xmlns="" id="{9765C3D6-2C69-480F-9FC7-1837958B51F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111" name="Picture 133">
          <a:extLst>
            <a:ext uri="{FF2B5EF4-FFF2-40B4-BE49-F238E27FC236}">
              <a16:creationId xmlns:a16="http://schemas.microsoft.com/office/drawing/2014/main" xmlns="" id="{76FA2893-9247-4E7A-A281-5FC5570F45C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112" name="Picture 134">
          <a:extLst>
            <a:ext uri="{FF2B5EF4-FFF2-40B4-BE49-F238E27FC236}">
              <a16:creationId xmlns:a16="http://schemas.microsoft.com/office/drawing/2014/main" xmlns="" id="{B632F80D-753E-454D-8FA3-28344C6C459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113" name="Picture 135">
          <a:extLst>
            <a:ext uri="{FF2B5EF4-FFF2-40B4-BE49-F238E27FC236}">
              <a16:creationId xmlns:a16="http://schemas.microsoft.com/office/drawing/2014/main" xmlns="" id="{50E1DCA9-C7DC-4562-B811-C3B86F8D329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114" name="Picture 136">
          <a:extLst>
            <a:ext uri="{FF2B5EF4-FFF2-40B4-BE49-F238E27FC236}">
              <a16:creationId xmlns:a16="http://schemas.microsoft.com/office/drawing/2014/main" xmlns="" id="{E5A40D8C-FF34-40F6-873E-15125A82C15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115" name="Picture 137">
          <a:extLst>
            <a:ext uri="{FF2B5EF4-FFF2-40B4-BE49-F238E27FC236}">
              <a16:creationId xmlns:a16="http://schemas.microsoft.com/office/drawing/2014/main" xmlns="" id="{7F5EA836-71AE-47CA-AD9B-0032B34697D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116" name="Picture 138">
          <a:extLst>
            <a:ext uri="{FF2B5EF4-FFF2-40B4-BE49-F238E27FC236}">
              <a16:creationId xmlns:a16="http://schemas.microsoft.com/office/drawing/2014/main" xmlns="" id="{6F5BEAF8-8FBF-485D-943F-971CCDC7D8B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117" name="Picture 139">
          <a:extLst>
            <a:ext uri="{FF2B5EF4-FFF2-40B4-BE49-F238E27FC236}">
              <a16:creationId xmlns:a16="http://schemas.microsoft.com/office/drawing/2014/main" xmlns="" id="{5EB5F942-07E4-47F7-9B79-CC91AE4B583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118" name="Picture 140">
          <a:extLst>
            <a:ext uri="{FF2B5EF4-FFF2-40B4-BE49-F238E27FC236}">
              <a16:creationId xmlns:a16="http://schemas.microsoft.com/office/drawing/2014/main" xmlns="" id="{DABE7961-C6FE-42DF-92EA-8A8F22B3582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119" name="Picture 141">
          <a:extLst>
            <a:ext uri="{FF2B5EF4-FFF2-40B4-BE49-F238E27FC236}">
              <a16:creationId xmlns:a16="http://schemas.microsoft.com/office/drawing/2014/main" xmlns="" id="{28DD0AB7-0854-4907-BA0A-711FBAF719C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120" name="Picture 142">
          <a:extLst>
            <a:ext uri="{FF2B5EF4-FFF2-40B4-BE49-F238E27FC236}">
              <a16:creationId xmlns:a16="http://schemas.microsoft.com/office/drawing/2014/main" xmlns="" id="{F6ECEC0A-9847-4F2F-81FC-E7BAB088449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121" name="Picture 143">
          <a:extLst>
            <a:ext uri="{FF2B5EF4-FFF2-40B4-BE49-F238E27FC236}">
              <a16:creationId xmlns:a16="http://schemas.microsoft.com/office/drawing/2014/main" xmlns="" id="{FB32E406-B038-4143-B49B-5D4E2861580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122" name="Picture 144">
          <a:extLst>
            <a:ext uri="{FF2B5EF4-FFF2-40B4-BE49-F238E27FC236}">
              <a16:creationId xmlns:a16="http://schemas.microsoft.com/office/drawing/2014/main" xmlns="" id="{DD66EB66-3D92-4CB1-BAD7-31FE4509F20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123" name="Picture 145">
          <a:extLst>
            <a:ext uri="{FF2B5EF4-FFF2-40B4-BE49-F238E27FC236}">
              <a16:creationId xmlns:a16="http://schemas.microsoft.com/office/drawing/2014/main" xmlns="" id="{B239D93B-4DAB-49D2-919E-F108BC8A0AF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124" name="Picture 146">
          <a:extLst>
            <a:ext uri="{FF2B5EF4-FFF2-40B4-BE49-F238E27FC236}">
              <a16:creationId xmlns:a16="http://schemas.microsoft.com/office/drawing/2014/main" xmlns="" id="{D29D70E9-3961-4BC9-86BA-27EFB7D077F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125" name="Picture 147">
          <a:extLst>
            <a:ext uri="{FF2B5EF4-FFF2-40B4-BE49-F238E27FC236}">
              <a16:creationId xmlns:a16="http://schemas.microsoft.com/office/drawing/2014/main" xmlns="" id="{0AA654CF-C307-4174-84BE-B33574B1333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126" name="Picture 148">
          <a:extLst>
            <a:ext uri="{FF2B5EF4-FFF2-40B4-BE49-F238E27FC236}">
              <a16:creationId xmlns:a16="http://schemas.microsoft.com/office/drawing/2014/main" xmlns="" id="{FF9B7A10-1874-473C-8F86-98A8B3EE774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127" name="Picture 149">
          <a:extLst>
            <a:ext uri="{FF2B5EF4-FFF2-40B4-BE49-F238E27FC236}">
              <a16:creationId xmlns:a16="http://schemas.microsoft.com/office/drawing/2014/main" xmlns="" id="{F30FFCFF-A59B-4D00-80C5-A6E8571268B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128" name="Picture 150">
          <a:extLst>
            <a:ext uri="{FF2B5EF4-FFF2-40B4-BE49-F238E27FC236}">
              <a16:creationId xmlns:a16="http://schemas.microsoft.com/office/drawing/2014/main" xmlns="" id="{00464658-3769-4BD6-B83D-939EBADD8D4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129" name="Picture 151">
          <a:extLst>
            <a:ext uri="{FF2B5EF4-FFF2-40B4-BE49-F238E27FC236}">
              <a16:creationId xmlns:a16="http://schemas.microsoft.com/office/drawing/2014/main" xmlns="" id="{B6F5EDCA-52E9-4E5A-BD28-873DDB8BAAA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130" name="Picture 152">
          <a:extLst>
            <a:ext uri="{FF2B5EF4-FFF2-40B4-BE49-F238E27FC236}">
              <a16:creationId xmlns:a16="http://schemas.microsoft.com/office/drawing/2014/main" xmlns="" id="{8523ADA1-AFA9-4892-A96B-5E894F9730B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131" name="Picture 153">
          <a:extLst>
            <a:ext uri="{FF2B5EF4-FFF2-40B4-BE49-F238E27FC236}">
              <a16:creationId xmlns:a16="http://schemas.microsoft.com/office/drawing/2014/main" xmlns="" id="{270C682E-4138-4B47-BF8D-C73E2F7C1F5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132" name="Picture 154">
          <a:extLst>
            <a:ext uri="{FF2B5EF4-FFF2-40B4-BE49-F238E27FC236}">
              <a16:creationId xmlns:a16="http://schemas.microsoft.com/office/drawing/2014/main" xmlns="" id="{09773315-B2D1-4261-884F-3AC0DA2DA74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133" name="Picture 155">
          <a:extLst>
            <a:ext uri="{FF2B5EF4-FFF2-40B4-BE49-F238E27FC236}">
              <a16:creationId xmlns:a16="http://schemas.microsoft.com/office/drawing/2014/main" xmlns="" id="{E329C95F-3CD7-40A9-BB3C-2965DC4D23B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134" name="Picture 156">
          <a:extLst>
            <a:ext uri="{FF2B5EF4-FFF2-40B4-BE49-F238E27FC236}">
              <a16:creationId xmlns:a16="http://schemas.microsoft.com/office/drawing/2014/main" xmlns="" id="{316631B8-F858-4E81-860D-6EF6188A73E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135" name="Picture 157">
          <a:extLst>
            <a:ext uri="{FF2B5EF4-FFF2-40B4-BE49-F238E27FC236}">
              <a16:creationId xmlns:a16="http://schemas.microsoft.com/office/drawing/2014/main" xmlns="" id="{79A4801E-1584-4EC6-AE64-79FB283489F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136" name="Picture 158">
          <a:extLst>
            <a:ext uri="{FF2B5EF4-FFF2-40B4-BE49-F238E27FC236}">
              <a16:creationId xmlns:a16="http://schemas.microsoft.com/office/drawing/2014/main" xmlns="" id="{08BEDCEF-F68C-4952-8FB7-0E77E793D10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137" name="Picture 159">
          <a:extLst>
            <a:ext uri="{FF2B5EF4-FFF2-40B4-BE49-F238E27FC236}">
              <a16:creationId xmlns:a16="http://schemas.microsoft.com/office/drawing/2014/main" xmlns="" id="{5A7BD084-C6B1-42A9-82A8-F0C55F08BEF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138" name="Picture 160">
          <a:extLst>
            <a:ext uri="{FF2B5EF4-FFF2-40B4-BE49-F238E27FC236}">
              <a16:creationId xmlns:a16="http://schemas.microsoft.com/office/drawing/2014/main" xmlns="" id="{FB687448-D15D-4109-996A-6A8387873BB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139" name="Picture 161">
          <a:extLst>
            <a:ext uri="{FF2B5EF4-FFF2-40B4-BE49-F238E27FC236}">
              <a16:creationId xmlns:a16="http://schemas.microsoft.com/office/drawing/2014/main" xmlns="" id="{129C4E86-CDAB-4885-A57F-C9C069C2C2F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140" name="Picture 162">
          <a:extLst>
            <a:ext uri="{FF2B5EF4-FFF2-40B4-BE49-F238E27FC236}">
              <a16:creationId xmlns:a16="http://schemas.microsoft.com/office/drawing/2014/main" xmlns="" id="{BB183E13-0521-4D32-96FA-ED45F7590F1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141" name="Picture 163">
          <a:extLst>
            <a:ext uri="{FF2B5EF4-FFF2-40B4-BE49-F238E27FC236}">
              <a16:creationId xmlns:a16="http://schemas.microsoft.com/office/drawing/2014/main" xmlns="" id="{799885C5-60B1-4222-BB28-FBAA43D3606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142" name="Picture 164">
          <a:extLst>
            <a:ext uri="{FF2B5EF4-FFF2-40B4-BE49-F238E27FC236}">
              <a16:creationId xmlns:a16="http://schemas.microsoft.com/office/drawing/2014/main" xmlns="" id="{48680C5A-79FB-4BEF-BF14-A7B0CF4D4F8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143" name="Picture 165">
          <a:extLst>
            <a:ext uri="{FF2B5EF4-FFF2-40B4-BE49-F238E27FC236}">
              <a16:creationId xmlns:a16="http://schemas.microsoft.com/office/drawing/2014/main" xmlns="" id="{78A830D2-2EFA-4C0C-BE8D-8518AEE856A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144" name="Picture 166">
          <a:extLst>
            <a:ext uri="{FF2B5EF4-FFF2-40B4-BE49-F238E27FC236}">
              <a16:creationId xmlns:a16="http://schemas.microsoft.com/office/drawing/2014/main" xmlns="" id="{A2041C67-61EB-4F91-BA64-1F2E334075B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145" name="Picture 167">
          <a:extLst>
            <a:ext uri="{FF2B5EF4-FFF2-40B4-BE49-F238E27FC236}">
              <a16:creationId xmlns:a16="http://schemas.microsoft.com/office/drawing/2014/main" xmlns="" id="{0AB77C53-247A-434E-8F72-22FBC24E3FE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146" name="Picture 168">
          <a:extLst>
            <a:ext uri="{FF2B5EF4-FFF2-40B4-BE49-F238E27FC236}">
              <a16:creationId xmlns:a16="http://schemas.microsoft.com/office/drawing/2014/main" xmlns="" id="{D9D081C0-F194-44EF-ABDA-0CEE25F8C02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147" name="Picture 169">
          <a:extLst>
            <a:ext uri="{FF2B5EF4-FFF2-40B4-BE49-F238E27FC236}">
              <a16:creationId xmlns:a16="http://schemas.microsoft.com/office/drawing/2014/main" xmlns="" id="{932A0553-51C2-41E1-A0D7-F99BE88B698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148" name="Picture 170">
          <a:extLst>
            <a:ext uri="{FF2B5EF4-FFF2-40B4-BE49-F238E27FC236}">
              <a16:creationId xmlns:a16="http://schemas.microsoft.com/office/drawing/2014/main" xmlns="" id="{9BFA25F6-6110-403B-B42A-216B654624C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149" name="Picture 171">
          <a:extLst>
            <a:ext uri="{FF2B5EF4-FFF2-40B4-BE49-F238E27FC236}">
              <a16:creationId xmlns:a16="http://schemas.microsoft.com/office/drawing/2014/main" xmlns="" id="{DCC12378-56E2-4FDF-AC36-2B4151BBD2E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150" name="Picture 172">
          <a:extLst>
            <a:ext uri="{FF2B5EF4-FFF2-40B4-BE49-F238E27FC236}">
              <a16:creationId xmlns:a16="http://schemas.microsoft.com/office/drawing/2014/main" xmlns="" id="{C60D9237-9685-4828-B9AF-7313419EFC1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151" name="Picture 173">
          <a:extLst>
            <a:ext uri="{FF2B5EF4-FFF2-40B4-BE49-F238E27FC236}">
              <a16:creationId xmlns:a16="http://schemas.microsoft.com/office/drawing/2014/main" xmlns="" id="{C178E890-09AA-43DF-86D8-C35E732A9C6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152" name="Picture 174">
          <a:extLst>
            <a:ext uri="{FF2B5EF4-FFF2-40B4-BE49-F238E27FC236}">
              <a16:creationId xmlns:a16="http://schemas.microsoft.com/office/drawing/2014/main" xmlns="" id="{A249D3FE-8DE5-421C-AF08-C591CEAB8D1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153" name="Picture 175">
          <a:extLst>
            <a:ext uri="{FF2B5EF4-FFF2-40B4-BE49-F238E27FC236}">
              <a16:creationId xmlns:a16="http://schemas.microsoft.com/office/drawing/2014/main" xmlns="" id="{9CCE7277-B425-45F8-ADE8-41A44B96D7C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154" name="Picture 176">
          <a:extLst>
            <a:ext uri="{FF2B5EF4-FFF2-40B4-BE49-F238E27FC236}">
              <a16:creationId xmlns:a16="http://schemas.microsoft.com/office/drawing/2014/main" xmlns="" id="{626FBED6-3AB5-440B-B7F3-FE60B0247A5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155" name="Picture 177">
          <a:extLst>
            <a:ext uri="{FF2B5EF4-FFF2-40B4-BE49-F238E27FC236}">
              <a16:creationId xmlns:a16="http://schemas.microsoft.com/office/drawing/2014/main" xmlns="" id="{A0BE2DF0-AD37-48C4-BA56-46EA1D06824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156" name="Picture 178">
          <a:extLst>
            <a:ext uri="{FF2B5EF4-FFF2-40B4-BE49-F238E27FC236}">
              <a16:creationId xmlns:a16="http://schemas.microsoft.com/office/drawing/2014/main" xmlns="" id="{1535AB45-271C-4CB2-93F6-2E06BC12187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157" name="Picture 179">
          <a:extLst>
            <a:ext uri="{FF2B5EF4-FFF2-40B4-BE49-F238E27FC236}">
              <a16:creationId xmlns:a16="http://schemas.microsoft.com/office/drawing/2014/main" xmlns="" id="{2F71C99A-05FC-4E83-98E7-2EBBA6A421F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158" name="Picture 180">
          <a:extLst>
            <a:ext uri="{FF2B5EF4-FFF2-40B4-BE49-F238E27FC236}">
              <a16:creationId xmlns:a16="http://schemas.microsoft.com/office/drawing/2014/main" xmlns="" id="{62B2A567-EE8F-4788-86C0-01AACDAC0D0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159" name="Picture 181">
          <a:extLst>
            <a:ext uri="{FF2B5EF4-FFF2-40B4-BE49-F238E27FC236}">
              <a16:creationId xmlns:a16="http://schemas.microsoft.com/office/drawing/2014/main" xmlns="" id="{C95713C9-5345-44E5-9166-ED1990F4376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160" name="Picture 182">
          <a:extLst>
            <a:ext uri="{FF2B5EF4-FFF2-40B4-BE49-F238E27FC236}">
              <a16:creationId xmlns:a16="http://schemas.microsoft.com/office/drawing/2014/main" xmlns="" id="{067E38AA-7ECB-470E-B11C-FD6D66830FA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161" name="Picture 183">
          <a:extLst>
            <a:ext uri="{FF2B5EF4-FFF2-40B4-BE49-F238E27FC236}">
              <a16:creationId xmlns:a16="http://schemas.microsoft.com/office/drawing/2014/main" xmlns="" id="{CE841011-5B58-459A-9AAC-0928C9A529C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162" name="Picture 184">
          <a:extLst>
            <a:ext uri="{FF2B5EF4-FFF2-40B4-BE49-F238E27FC236}">
              <a16:creationId xmlns:a16="http://schemas.microsoft.com/office/drawing/2014/main" xmlns="" id="{294A5B86-1424-40CC-B1E2-293FFF27D29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163" name="Picture 185">
          <a:extLst>
            <a:ext uri="{FF2B5EF4-FFF2-40B4-BE49-F238E27FC236}">
              <a16:creationId xmlns:a16="http://schemas.microsoft.com/office/drawing/2014/main" xmlns="" id="{3DEDF99D-3BA1-417C-BAFA-D78CEF43F25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164" name="Picture 186">
          <a:extLst>
            <a:ext uri="{FF2B5EF4-FFF2-40B4-BE49-F238E27FC236}">
              <a16:creationId xmlns:a16="http://schemas.microsoft.com/office/drawing/2014/main" xmlns="" id="{90457E80-76AC-4B3B-B792-A24BCCC955B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165" name="Picture 187">
          <a:extLst>
            <a:ext uri="{FF2B5EF4-FFF2-40B4-BE49-F238E27FC236}">
              <a16:creationId xmlns:a16="http://schemas.microsoft.com/office/drawing/2014/main" xmlns="" id="{4E788E84-0C7E-4E6D-B49D-203F2A1FC04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166" name="Picture 188">
          <a:extLst>
            <a:ext uri="{FF2B5EF4-FFF2-40B4-BE49-F238E27FC236}">
              <a16:creationId xmlns:a16="http://schemas.microsoft.com/office/drawing/2014/main" xmlns="" id="{8CE9EE70-CD3A-4F0D-B9C1-E44EEBCB6BA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167" name="Picture 189">
          <a:extLst>
            <a:ext uri="{FF2B5EF4-FFF2-40B4-BE49-F238E27FC236}">
              <a16:creationId xmlns:a16="http://schemas.microsoft.com/office/drawing/2014/main" xmlns="" id="{4F7F1C3B-40FE-4629-B222-CC73C59B449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168" name="Picture 190">
          <a:extLst>
            <a:ext uri="{FF2B5EF4-FFF2-40B4-BE49-F238E27FC236}">
              <a16:creationId xmlns:a16="http://schemas.microsoft.com/office/drawing/2014/main" xmlns="" id="{E19BE7C3-5935-4391-A8A1-E6C1CD2C734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169" name="Picture 191">
          <a:extLst>
            <a:ext uri="{FF2B5EF4-FFF2-40B4-BE49-F238E27FC236}">
              <a16:creationId xmlns:a16="http://schemas.microsoft.com/office/drawing/2014/main" xmlns="" id="{A30C5A78-DE65-465D-9799-72BED605DBF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170" name="Picture 192">
          <a:extLst>
            <a:ext uri="{FF2B5EF4-FFF2-40B4-BE49-F238E27FC236}">
              <a16:creationId xmlns:a16="http://schemas.microsoft.com/office/drawing/2014/main" xmlns="" id="{433DDE4C-6FA1-4F70-89FA-26259DEA2E4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171" name="Picture 193">
          <a:extLst>
            <a:ext uri="{FF2B5EF4-FFF2-40B4-BE49-F238E27FC236}">
              <a16:creationId xmlns:a16="http://schemas.microsoft.com/office/drawing/2014/main" xmlns="" id="{D0A7D008-7BCA-46AB-BFA9-EB31B6DCECB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172" name="Picture 194">
          <a:extLst>
            <a:ext uri="{FF2B5EF4-FFF2-40B4-BE49-F238E27FC236}">
              <a16:creationId xmlns:a16="http://schemas.microsoft.com/office/drawing/2014/main" xmlns="" id="{563280D0-62CD-4613-8B80-271149E11C5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173" name="Picture 195">
          <a:extLst>
            <a:ext uri="{FF2B5EF4-FFF2-40B4-BE49-F238E27FC236}">
              <a16:creationId xmlns:a16="http://schemas.microsoft.com/office/drawing/2014/main" xmlns="" id="{64E118D8-BB3E-4C98-9327-DC783502BC5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174" name="Picture 196">
          <a:extLst>
            <a:ext uri="{FF2B5EF4-FFF2-40B4-BE49-F238E27FC236}">
              <a16:creationId xmlns:a16="http://schemas.microsoft.com/office/drawing/2014/main" xmlns="" id="{BBDA51E7-A7F5-4CF6-8A0A-EC3885C8CA3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175" name="Picture 197">
          <a:extLst>
            <a:ext uri="{FF2B5EF4-FFF2-40B4-BE49-F238E27FC236}">
              <a16:creationId xmlns:a16="http://schemas.microsoft.com/office/drawing/2014/main" xmlns="" id="{ACE63EB6-0685-4A2D-BC66-5DC85AF1BBC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176" name="Picture 198">
          <a:extLst>
            <a:ext uri="{FF2B5EF4-FFF2-40B4-BE49-F238E27FC236}">
              <a16:creationId xmlns:a16="http://schemas.microsoft.com/office/drawing/2014/main" xmlns="" id="{0DEF36DA-BF50-4E9C-A354-5E909FD32FC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177" name="Picture 199">
          <a:extLst>
            <a:ext uri="{FF2B5EF4-FFF2-40B4-BE49-F238E27FC236}">
              <a16:creationId xmlns:a16="http://schemas.microsoft.com/office/drawing/2014/main" xmlns="" id="{525CF13D-1FA7-45C9-8493-C8A78108073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178" name="Picture 200">
          <a:extLst>
            <a:ext uri="{FF2B5EF4-FFF2-40B4-BE49-F238E27FC236}">
              <a16:creationId xmlns:a16="http://schemas.microsoft.com/office/drawing/2014/main" xmlns="" id="{53785C20-D4EF-46CD-855B-288C2FF3D67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179" name="Picture 201">
          <a:extLst>
            <a:ext uri="{FF2B5EF4-FFF2-40B4-BE49-F238E27FC236}">
              <a16:creationId xmlns:a16="http://schemas.microsoft.com/office/drawing/2014/main" xmlns="" id="{A6686BE0-FC2E-4302-B832-D8636F7B881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180" name="Picture 202">
          <a:extLst>
            <a:ext uri="{FF2B5EF4-FFF2-40B4-BE49-F238E27FC236}">
              <a16:creationId xmlns:a16="http://schemas.microsoft.com/office/drawing/2014/main" xmlns="" id="{2AC27AD6-A93B-4077-BAA8-6C8F9091808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181" name="Picture 203">
          <a:extLst>
            <a:ext uri="{FF2B5EF4-FFF2-40B4-BE49-F238E27FC236}">
              <a16:creationId xmlns:a16="http://schemas.microsoft.com/office/drawing/2014/main" xmlns="" id="{769CB4DF-A829-49A7-B71A-4B81A6A5303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182" name="Picture 204">
          <a:extLst>
            <a:ext uri="{FF2B5EF4-FFF2-40B4-BE49-F238E27FC236}">
              <a16:creationId xmlns:a16="http://schemas.microsoft.com/office/drawing/2014/main" xmlns="" id="{32F157EE-AFD9-4162-A93D-B164439AE5E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183" name="Picture 205">
          <a:extLst>
            <a:ext uri="{FF2B5EF4-FFF2-40B4-BE49-F238E27FC236}">
              <a16:creationId xmlns:a16="http://schemas.microsoft.com/office/drawing/2014/main" xmlns="" id="{F7A0FFD5-4FC4-4CD1-94F8-5CC3F3665CD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184" name="Picture 206">
          <a:extLst>
            <a:ext uri="{FF2B5EF4-FFF2-40B4-BE49-F238E27FC236}">
              <a16:creationId xmlns:a16="http://schemas.microsoft.com/office/drawing/2014/main" xmlns="" id="{8D97FAD2-0E54-4E8E-9FE8-1D7254B5FF2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185" name="Picture 207">
          <a:extLst>
            <a:ext uri="{FF2B5EF4-FFF2-40B4-BE49-F238E27FC236}">
              <a16:creationId xmlns:a16="http://schemas.microsoft.com/office/drawing/2014/main" xmlns="" id="{67002518-B1CA-4A49-A0D9-F53D565AB6F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186" name="Picture 208">
          <a:extLst>
            <a:ext uri="{FF2B5EF4-FFF2-40B4-BE49-F238E27FC236}">
              <a16:creationId xmlns:a16="http://schemas.microsoft.com/office/drawing/2014/main" xmlns="" id="{2A9F13AF-4B73-4FC9-B174-169E8277367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187" name="Picture 209">
          <a:extLst>
            <a:ext uri="{FF2B5EF4-FFF2-40B4-BE49-F238E27FC236}">
              <a16:creationId xmlns:a16="http://schemas.microsoft.com/office/drawing/2014/main" xmlns="" id="{F5093B84-0507-45BC-A019-F4DC0C1AB8E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188" name="Picture 210">
          <a:extLst>
            <a:ext uri="{FF2B5EF4-FFF2-40B4-BE49-F238E27FC236}">
              <a16:creationId xmlns:a16="http://schemas.microsoft.com/office/drawing/2014/main" xmlns="" id="{89A829C2-9FBE-4D12-9FB1-AB13ABE2C28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189" name="Picture 211">
          <a:extLst>
            <a:ext uri="{FF2B5EF4-FFF2-40B4-BE49-F238E27FC236}">
              <a16:creationId xmlns:a16="http://schemas.microsoft.com/office/drawing/2014/main" xmlns="" id="{69139056-1A0B-40F9-9480-947EFDE41B2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190" name="Picture 212">
          <a:extLst>
            <a:ext uri="{FF2B5EF4-FFF2-40B4-BE49-F238E27FC236}">
              <a16:creationId xmlns:a16="http://schemas.microsoft.com/office/drawing/2014/main" xmlns="" id="{23B7BB24-A73A-41B5-82A3-5A14418E1E2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191" name="Picture 213">
          <a:extLst>
            <a:ext uri="{FF2B5EF4-FFF2-40B4-BE49-F238E27FC236}">
              <a16:creationId xmlns:a16="http://schemas.microsoft.com/office/drawing/2014/main" xmlns="" id="{C411B08A-78AB-48ED-99AE-EF7FCA6AEE1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192" name="Picture 214">
          <a:extLst>
            <a:ext uri="{FF2B5EF4-FFF2-40B4-BE49-F238E27FC236}">
              <a16:creationId xmlns:a16="http://schemas.microsoft.com/office/drawing/2014/main" xmlns="" id="{ADA7C1B9-07C4-499F-ACC6-93B8A80D1F1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193" name="Picture 215">
          <a:extLst>
            <a:ext uri="{FF2B5EF4-FFF2-40B4-BE49-F238E27FC236}">
              <a16:creationId xmlns:a16="http://schemas.microsoft.com/office/drawing/2014/main" xmlns="" id="{04A5F11D-B80A-44D9-9A1E-4E4F302E862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194" name="Picture 216">
          <a:extLst>
            <a:ext uri="{FF2B5EF4-FFF2-40B4-BE49-F238E27FC236}">
              <a16:creationId xmlns:a16="http://schemas.microsoft.com/office/drawing/2014/main" xmlns="" id="{89D85872-6327-409F-90AC-C01616FF1E9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195" name="Picture 217">
          <a:extLst>
            <a:ext uri="{FF2B5EF4-FFF2-40B4-BE49-F238E27FC236}">
              <a16:creationId xmlns:a16="http://schemas.microsoft.com/office/drawing/2014/main" xmlns="" id="{C7954CDC-0627-4835-A08B-63662D26360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196" name="Picture 218">
          <a:extLst>
            <a:ext uri="{FF2B5EF4-FFF2-40B4-BE49-F238E27FC236}">
              <a16:creationId xmlns:a16="http://schemas.microsoft.com/office/drawing/2014/main" xmlns="" id="{D42CA6CD-DD22-490A-9EC0-BD5F8656E72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197" name="Picture 219">
          <a:extLst>
            <a:ext uri="{FF2B5EF4-FFF2-40B4-BE49-F238E27FC236}">
              <a16:creationId xmlns:a16="http://schemas.microsoft.com/office/drawing/2014/main" xmlns="" id="{ED5BD42E-A3C2-45C1-BACD-7BDE7408FB3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198" name="Picture 220">
          <a:extLst>
            <a:ext uri="{FF2B5EF4-FFF2-40B4-BE49-F238E27FC236}">
              <a16:creationId xmlns:a16="http://schemas.microsoft.com/office/drawing/2014/main" xmlns="" id="{93F31B53-F8D6-4264-A982-9BDA91375CA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199" name="Picture 221">
          <a:extLst>
            <a:ext uri="{FF2B5EF4-FFF2-40B4-BE49-F238E27FC236}">
              <a16:creationId xmlns:a16="http://schemas.microsoft.com/office/drawing/2014/main" xmlns="" id="{C168F89B-189C-4B5D-86B2-8D13C6C2211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200" name="Picture 222">
          <a:extLst>
            <a:ext uri="{FF2B5EF4-FFF2-40B4-BE49-F238E27FC236}">
              <a16:creationId xmlns:a16="http://schemas.microsoft.com/office/drawing/2014/main" xmlns="" id="{D9219ECF-87AA-4561-99DF-6505EC9B32F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201" name="Picture 223">
          <a:extLst>
            <a:ext uri="{FF2B5EF4-FFF2-40B4-BE49-F238E27FC236}">
              <a16:creationId xmlns:a16="http://schemas.microsoft.com/office/drawing/2014/main" xmlns="" id="{FCD51027-668F-44D6-B0C3-69354E7529C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202" name="Picture 224">
          <a:extLst>
            <a:ext uri="{FF2B5EF4-FFF2-40B4-BE49-F238E27FC236}">
              <a16:creationId xmlns:a16="http://schemas.microsoft.com/office/drawing/2014/main" xmlns="" id="{03939E30-37B5-4DED-B9FC-9F2F6118C67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203" name="Picture 225">
          <a:extLst>
            <a:ext uri="{FF2B5EF4-FFF2-40B4-BE49-F238E27FC236}">
              <a16:creationId xmlns:a16="http://schemas.microsoft.com/office/drawing/2014/main" xmlns="" id="{0E32DB86-AA02-4DED-A2B7-52C570EAC16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204" name="Picture 226">
          <a:extLst>
            <a:ext uri="{FF2B5EF4-FFF2-40B4-BE49-F238E27FC236}">
              <a16:creationId xmlns:a16="http://schemas.microsoft.com/office/drawing/2014/main" xmlns="" id="{0450802F-AEC8-4126-9E63-C447BE3F1D9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205" name="Picture 227">
          <a:extLst>
            <a:ext uri="{FF2B5EF4-FFF2-40B4-BE49-F238E27FC236}">
              <a16:creationId xmlns:a16="http://schemas.microsoft.com/office/drawing/2014/main" xmlns="" id="{EEE85D15-E44C-4565-9744-DD51B1EEA25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206" name="Picture 228">
          <a:extLst>
            <a:ext uri="{FF2B5EF4-FFF2-40B4-BE49-F238E27FC236}">
              <a16:creationId xmlns:a16="http://schemas.microsoft.com/office/drawing/2014/main" xmlns="" id="{F9F31FBC-04B0-40BD-9AB8-95FCDC94DB4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207" name="Picture 229">
          <a:extLst>
            <a:ext uri="{FF2B5EF4-FFF2-40B4-BE49-F238E27FC236}">
              <a16:creationId xmlns:a16="http://schemas.microsoft.com/office/drawing/2014/main" xmlns="" id="{FB9DFACF-E9FB-4D55-BE60-5B26EF418E1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208" name="Picture 230">
          <a:extLst>
            <a:ext uri="{FF2B5EF4-FFF2-40B4-BE49-F238E27FC236}">
              <a16:creationId xmlns:a16="http://schemas.microsoft.com/office/drawing/2014/main" xmlns="" id="{7FA0884C-0FF3-4F8E-A2CA-BFB2626BE0E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209" name="Picture 231">
          <a:extLst>
            <a:ext uri="{FF2B5EF4-FFF2-40B4-BE49-F238E27FC236}">
              <a16:creationId xmlns:a16="http://schemas.microsoft.com/office/drawing/2014/main" xmlns="" id="{58C5D71C-37CE-439D-8F28-4FA70AD8ECF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210" name="Picture 232">
          <a:extLst>
            <a:ext uri="{FF2B5EF4-FFF2-40B4-BE49-F238E27FC236}">
              <a16:creationId xmlns:a16="http://schemas.microsoft.com/office/drawing/2014/main" xmlns="" id="{D5258137-1E0E-47FF-8FEA-C2BA131315C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211" name="Picture 233">
          <a:extLst>
            <a:ext uri="{FF2B5EF4-FFF2-40B4-BE49-F238E27FC236}">
              <a16:creationId xmlns:a16="http://schemas.microsoft.com/office/drawing/2014/main" xmlns="" id="{C2870F19-A102-4647-937B-3AAB55D30AD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212" name="Picture 234">
          <a:extLst>
            <a:ext uri="{FF2B5EF4-FFF2-40B4-BE49-F238E27FC236}">
              <a16:creationId xmlns:a16="http://schemas.microsoft.com/office/drawing/2014/main" xmlns="" id="{D90EC3C9-9002-44F9-A5FC-7F08DA75539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213" name="Picture 235">
          <a:extLst>
            <a:ext uri="{FF2B5EF4-FFF2-40B4-BE49-F238E27FC236}">
              <a16:creationId xmlns:a16="http://schemas.microsoft.com/office/drawing/2014/main" xmlns="" id="{17AA71E6-5F38-4D93-90B2-2E81AB906D7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214" name="Picture 236">
          <a:extLst>
            <a:ext uri="{FF2B5EF4-FFF2-40B4-BE49-F238E27FC236}">
              <a16:creationId xmlns:a16="http://schemas.microsoft.com/office/drawing/2014/main" xmlns="" id="{98B6B55C-ECF6-4B1A-A64A-1278FAD4C98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215" name="Picture 237">
          <a:extLst>
            <a:ext uri="{FF2B5EF4-FFF2-40B4-BE49-F238E27FC236}">
              <a16:creationId xmlns:a16="http://schemas.microsoft.com/office/drawing/2014/main" xmlns="" id="{21FE2B68-68D0-4BB0-A8A8-E5EAB0601DF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216" name="Picture 238">
          <a:extLst>
            <a:ext uri="{FF2B5EF4-FFF2-40B4-BE49-F238E27FC236}">
              <a16:creationId xmlns:a16="http://schemas.microsoft.com/office/drawing/2014/main" xmlns="" id="{BDC61BC3-9B20-41BB-8005-FC54F4FFCE9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217" name="Picture 239">
          <a:extLst>
            <a:ext uri="{FF2B5EF4-FFF2-40B4-BE49-F238E27FC236}">
              <a16:creationId xmlns:a16="http://schemas.microsoft.com/office/drawing/2014/main" xmlns="" id="{9B1B3B5E-F3B1-4198-B347-FE9B686193C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218" name="Picture 240">
          <a:extLst>
            <a:ext uri="{FF2B5EF4-FFF2-40B4-BE49-F238E27FC236}">
              <a16:creationId xmlns:a16="http://schemas.microsoft.com/office/drawing/2014/main" xmlns="" id="{0553BE1E-B9D6-4911-9419-958C8B23134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219" name="Picture 241">
          <a:extLst>
            <a:ext uri="{FF2B5EF4-FFF2-40B4-BE49-F238E27FC236}">
              <a16:creationId xmlns:a16="http://schemas.microsoft.com/office/drawing/2014/main" xmlns="" id="{F45743F1-4C80-4A29-9552-854008CD70D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220" name="Picture 242">
          <a:extLst>
            <a:ext uri="{FF2B5EF4-FFF2-40B4-BE49-F238E27FC236}">
              <a16:creationId xmlns:a16="http://schemas.microsoft.com/office/drawing/2014/main" xmlns="" id="{0FD8E849-5C0D-4598-BC88-C9B006ABCC1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221" name="Picture 243">
          <a:extLst>
            <a:ext uri="{FF2B5EF4-FFF2-40B4-BE49-F238E27FC236}">
              <a16:creationId xmlns:a16="http://schemas.microsoft.com/office/drawing/2014/main" xmlns="" id="{AF28752A-9C57-4CD0-B6BE-0633CE8BC45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222" name="Picture 244">
          <a:extLst>
            <a:ext uri="{FF2B5EF4-FFF2-40B4-BE49-F238E27FC236}">
              <a16:creationId xmlns:a16="http://schemas.microsoft.com/office/drawing/2014/main" xmlns="" id="{7C3AEFB2-F8FE-4F7B-BC97-744161587F4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223" name="Picture 245">
          <a:extLst>
            <a:ext uri="{FF2B5EF4-FFF2-40B4-BE49-F238E27FC236}">
              <a16:creationId xmlns:a16="http://schemas.microsoft.com/office/drawing/2014/main" xmlns="" id="{D31A83D3-2DF6-47BF-A4EB-2A594C36FFB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224" name="Picture 246">
          <a:extLst>
            <a:ext uri="{FF2B5EF4-FFF2-40B4-BE49-F238E27FC236}">
              <a16:creationId xmlns:a16="http://schemas.microsoft.com/office/drawing/2014/main" xmlns="" id="{3441E981-E4AA-42CF-8574-28C09D11C94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225" name="Picture 247">
          <a:extLst>
            <a:ext uri="{FF2B5EF4-FFF2-40B4-BE49-F238E27FC236}">
              <a16:creationId xmlns:a16="http://schemas.microsoft.com/office/drawing/2014/main" xmlns="" id="{D350554A-2826-49EA-8EFB-EEFF1881C6C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226" name="Picture 248">
          <a:extLst>
            <a:ext uri="{FF2B5EF4-FFF2-40B4-BE49-F238E27FC236}">
              <a16:creationId xmlns:a16="http://schemas.microsoft.com/office/drawing/2014/main" xmlns="" id="{323E0C9F-569D-4E83-9461-91286F10BFD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227" name="Picture 249">
          <a:extLst>
            <a:ext uri="{FF2B5EF4-FFF2-40B4-BE49-F238E27FC236}">
              <a16:creationId xmlns:a16="http://schemas.microsoft.com/office/drawing/2014/main" xmlns="" id="{57AD6389-F917-43A0-B93F-07724641285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228" name="Picture 250">
          <a:extLst>
            <a:ext uri="{FF2B5EF4-FFF2-40B4-BE49-F238E27FC236}">
              <a16:creationId xmlns:a16="http://schemas.microsoft.com/office/drawing/2014/main" xmlns="" id="{A1239B96-64EF-4403-B2C1-22212F02386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229" name="Picture 251">
          <a:extLst>
            <a:ext uri="{FF2B5EF4-FFF2-40B4-BE49-F238E27FC236}">
              <a16:creationId xmlns:a16="http://schemas.microsoft.com/office/drawing/2014/main" xmlns="" id="{5666C02B-24AB-428F-9C78-B3F75D42F27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230" name="Picture 252">
          <a:extLst>
            <a:ext uri="{FF2B5EF4-FFF2-40B4-BE49-F238E27FC236}">
              <a16:creationId xmlns:a16="http://schemas.microsoft.com/office/drawing/2014/main" xmlns="" id="{20B174AE-EA94-4513-A44F-BE3EA7F7D9B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231" name="Picture 253">
          <a:extLst>
            <a:ext uri="{FF2B5EF4-FFF2-40B4-BE49-F238E27FC236}">
              <a16:creationId xmlns:a16="http://schemas.microsoft.com/office/drawing/2014/main" xmlns="" id="{536C4FA8-41C7-4633-962A-521BB8469AC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232" name="Picture 254">
          <a:extLst>
            <a:ext uri="{FF2B5EF4-FFF2-40B4-BE49-F238E27FC236}">
              <a16:creationId xmlns:a16="http://schemas.microsoft.com/office/drawing/2014/main" xmlns="" id="{C883232F-A090-4FCE-9956-AD2EAA3F624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233" name="Picture 255">
          <a:extLst>
            <a:ext uri="{FF2B5EF4-FFF2-40B4-BE49-F238E27FC236}">
              <a16:creationId xmlns:a16="http://schemas.microsoft.com/office/drawing/2014/main" xmlns="" id="{A4C7E809-CE15-4F22-9FA2-309B62A6181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234" name="Picture 256">
          <a:extLst>
            <a:ext uri="{FF2B5EF4-FFF2-40B4-BE49-F238E27FC236}">
              <a16:creationId xmlns:a16="http://schemas.microsoft.com/office/drawing/2014/main" xmlns="" id="{D2816EAE-DD6E-4E3F-B419-63C153CABDE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235" name="Picture 257">
          <a:extLst>
            <a:ext uri="{FF2B5EF4-FFF2-40B4-BE49-F238E27FC236}">
              <a16:creationId xmlns:a16="http://schemas.microsoft.com/office/drawing/2014/main" xmlns="" id="{BC628631-FC69-4131-A758-EA9B9AC9AAC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236" name="Picture 258">
          <a:extLst>
            <a:ext uri="{FF2B5EF4-FFF2-40B4-BE49-F238E27FC236}">
              <a16:creationId xmlns:a16="http://schemas.microsoft.com/office/drawing/2014/main" xmlns="" id="{E8A6FB33-4A48-4570-B374-6287839B99B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237" name="Picture 259">
          <a:extLst>
            <a:ext uri="{FF2B5EF4-FFF2-40B4-BE49-F238E27FC236}">
              <a16:creationId xmlns:a16="http://schemas.microsoft.com/office/drawing/2014/main" xmlns="" id="{AA455DA3-FF6D-422D-9258-6A446F8BE63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238" name="Picture 260">
          <a:extLst>
            <a:ext uri="{FF2B5EF4-FFF2-40B4-BE49-F238E27FC236}">
              <a16:creationId xmlns:a16="http://schemas.microsoft.com/office/drawing/2014/main" xmlns="" id="{998FAF76-12EE-4A1B-A0C3-6EBC6497226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239" name="Picture 261">
          <a:extLst>
            <a:ext uri="{FF2B5EF4-FFF2-40B4-BE49-F238E27FC236}">
              <a16:creationId xmlns:a16="http://schemas.microsoft.com/office/drawing/2014/main" xmlns="" id="{C4AEBD0F-543E-4E6E-B8B0-C123F9FF3DA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240" name="Picture 262">
          <a:extLst>
            <a:ext uri="{FF2B5EF4-FFF2-40B4-BE49-F238E27FC236}">
              <a16:creationId xmlns:a16="http://schemas.microsoft.com/office/drawing/2014/main" xmlns="" id="{FB951EAE-61E6-4323-B509-FB9E56BAD31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241" name="Picture 263">
          <a:extLst>
            <a:ext uri="{FF2B5EF4-FFF2-40B4-BE49-F238E27FC236}">
              <a16:creationId xmlns:a16="http://schemas.microsoft.com/office/drawing/2014/main" xmlns="" id="{6D945507-F1F2-4CB4-AD5D-FBB74BD92BA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242" name="Picture 264">
          <a:extLst>
            <a:ext uri="{FF2B5EF4-FFF2-40B4-BE49-F238E27FC236}">
              <a16:creationId xmlns:a16="http://schemas.microsoft.com/office/drawing/2014/main" xmlns="" id="{A1C7A8CB-E24B-4F9B-BF10-A7231326797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243" name="Picture 265">
          <a:extLst>
            <a:ext uri="{FF2B5EF4-FFF2-40B4-BE49-F238E27FC236}">
              <a16:creationId xmlns:a16="http://schemas.microsoft.com/office/drawing/2014/main" xmlns="" id="{C0483214-CBC8-471F-9D59-E60EACB6F51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244" name="Picture 266">
          <a:extLst>
            <a:ext uri="{FF2B5EF4-FFF2-40B4-BE49-F238E27FC236}">
              <a16:creationId xmlns:a16="http://schemas.microsoft.com/office/drawing/2014/main" xmlns="" id="{ADC37CEE-208E-4A6E-A580-55645FBC459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245" name="Picture 267">
          <a:extLst>
            <a:ext uri="{FF2B5EF4-FFF2-40B4-BE49-F238E27FC236}">
              <a16:creationId xmlns:a16="http://schemas.microsoft.com/office/drawing/2014/main" xmlns="" id="{52EA274C-0F74-4AAC-949A-EFD7A8B842B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246" name="Picture 268">
          <a:extLst>
            <a:ext uri="{FF2B5EF4-FFF2-40B4-BE49-F238E27FC236}">
              <a16:creationId xmlns:a16="http://schemas.microsoft.com/office/drawing/2014/main" xmlns="" id="{A3BF3B26-7AE1-4D2D-AC13-2C24A095B8C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247" name="Picture 269">
          <a:extLst>
            <a:ext uri="{FF2B5EF4-FFF2-40B4-BE49-F238E27FC236}">
              <a16:creationId xmlns:a16="http://schemas.microsoft.com/office/drawing/2014/main" xmlns="" id="{18A98316-14CE-40D7-9D16-E8D6733F074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248" name="Picture 270">
          <a:extLst>
            <a:ext uri="{FF2B5EF4-FFF2-40B4-BE49-F238E27FC236}">
              <a16:creationId xmlns:a16="http://schemas.microsoft.com/office/drawing/2014/main" xmlns="" id="{6FA3656C-0C04-4CF7-972A-F41878DA336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249" name="Picture 271">
          <a:extLst>
            <a:ext uri="{FF2B5EF4-FFF2-40B4-BE49-F238E27FC236}">
              <a16:creationId xmlns:a16="http://schemas.microsoft.com/office/drawing/2014/main" xmlns="" id="{4224C7D9-73EA-47E7-A61A-297C240145B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250" name="Picture 272">
          <a:extLst>
            <a:ext uri="{FF2B5EF4-FFF2-40B4-BE49-F238E27FC236}">
              <a16:creationId xmlns:a16="http://schemas.microsoft.com/office/drawing/2014/main" xmlns="" id="{881B41AB-2D0E-4432-B06F-51D395DB7E4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251" name="Picture 273">
          <a:extLst>
            <a:ext uri="{FF2B5EF4-FFF2-40B4-BE49-F238E27FC236}">
              <a16:creationId xmlns:a16="http://schemas.microsoft.com/office/drawing/2014/main" xmlns="" id="{DB2908B2-E526-4705-BBC2-DEB97F67778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252" name="Picture 274">
          <a:extLst>
            <a:ext uri="{FF2B5EF4-FFF2-40B4-BE49-F238E27FC236}">
              <a16:creationId xmlns:a16="http://schemas.microsoft.com/office/drawing/2014/main" xmlns="" id="{472BD5CF-B331-4EE6-B9C4-6239204E5C2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253" name="Picture 275">
          <a:extLst>
            <a:ext uri="{FF2B5EF4-FFF2-40B4-BE49-F238E27FC236}">
              <a16:creationId xmlns:a16="http://schemas.microsoft.com/office/drawing/2014/main" xmlns="" id="{6E9F6CD4-7676-4C9A-B93D-B4E45EEB371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254" name="Picture 276">
          <a:extLst>
            <a:ext uri="{FF2B5EF4-FFF2-40B4-BE49-F238E27FC236}">
              <a16:creationId xmlns:a16="http://schemas.microsoft.com/office/drawing/2014/main" xmlns="" id="{BE842B07-A56D-4591-84D2-AB0F925AB9B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255" name="Picture 277">
          <a:extLst>
            <a:ext uri="{FF2B5EF4-FFF2-40B4-BE49-F238E27FC236}">
              <a16:creationId xmlns:a16="http://schemas.microsoft.com/office/drawing/2014/main" xmlns="" id="{49A46997-5B73-47C5-83EC-972B86F0E8D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256" name="Picture 278">
          <a:extLst>
            <a:ext uri="{FF2B5EF4-FFF2-40B4-BE49-F238E27FC236}">
              <a16:creationId xmlns:a16="http://schemas.microsoft.com/office/drawing/2014/main" xmlns="" id="{64A0D802-026E-42CE-B7C8-8EDD2ED6DA0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257" name="Picture 279">
          <a:extLst>
            <a:ext uri="{FF2B5EF4-FFF2-40B4-BE49-F238E27FC236}">
              <a16:creationId xmlns:a16="http://schemas.microsoft.com/office/drawing/2014/main" xmlns="" id="{B8A9A5E0-DEF4-48DC-95B3-A7ABC04EC0A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258" name="Picture 280">
          <a:extLst>
            <a:ext uri="{FF2B5EF4-FFF2-40B4-BE49-F238E27FC236}">
              <a16:creationId xmlns:a16="http://schemas.microsoft.com/office/drawing/2014/main" xmlns="" id="{74907B02-4A0E-4236-97C7-2859451CE17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259" name="Picture 281">
          <a:extLst>
            <a:ext uri="{FF2B5EF4-FFF2-40B4-BE49-F238E27FC236}">
              <a16:creationId xmlns:a16="http://schemas.microsoft.com/office/drawing/2014/main" xmlns="" id="{B9E7C32B-0445-4997-977A-324581BB586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260" name="Picture 282">
          <a:extLst>
            <a:ext uri="{FF2B5EF4-FFF2-40B4-BE49-F238E27FC236}">
              <a16:creationId xmlns:a16="http://schemas.microsoft.com/office/drawing/2014/main" xmlns="" id="{38F02AC0-9296-4ADE-9C06-6C854C9088C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261" name="Picture 283">
          <a:extLst>
            <a:ext uri="{FF2B5EF4-FFF2-40B4-BE49-F238E27FC236}">
              <a16:creationId xmlns:a16="http://schemas.microsoft.com/office/drawing/2014/main" xmlns="" id="{2E72C858-B48B-4C78-88A3-A5EB0644B6B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262" name="Picture 284">
          <a:extLst>
            <a:ext uri="{FF2B5EF4-FFF2-40B4-BE49-F238E27FC236}">
              <a16:creationId xmlns:a16="http://schemas.microsoft.com/office/drawing/2014/main" xmlns="" id="{3103AED0-47B7-4EC4-A7F2-011D5349248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263" name="Picture 3444">
          <a:extLst>
            <a:ext uri="{FF2B5EF4-FFF2-40B4-BE49-F238E27FC236}">
              <a16:creationId xmlns:a16="http://schemas.microsoft.com/office/drawing/2014/main" xmlns="" id="{BEA6FDCC-A5C0-41CF-82ED-7C407C14B87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264" name="Picture 3445">
          <a:extLst>
            <a:ext uri="{FF2B5EF4-FFF2-40B4-BE49-F238E27FC236}">
              <a16:creationId xmlns:a16="http://schemas.microsoft.com/office/drawing/2014/main" xmlns="" id="{BA42C659-888C-43D7-8B7A-A490AC59FF2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265" name="Picture 3446">
          <a:extLst>
            <a:ext uri="{FF2B5EF4-FFF2-40B4-BE49-F238E27FC236}">
              <a16:creationId xmlns:a16="http://schemas.microsoft.com/office/drawing/2014/main" xmlns="" id="{E51CFFEF-6B85-4065-905B-46D9F59AC2E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266" name="Picture 3447">
          <a:extLst>
            <a:ext uri="{FF2B5EF4-FFF2-40B4-BE49-F238E27FC236}">
              <a16:creationId xmlns:a16="http://schemas.microsoft.com/office/drawing/2014/main" xmlns="" id="{A9F3C35F-D297-4C30-AC07-6978F3688B2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267" name="Picture 3448">
          <a:extLst>
            <a:ext uri="{FF2B5EF4-FFF2-40B4-BE49-F238E27FC236}">
              <a16:creationId xmlns:a16="http://schemas.microsoft.com/office/drawing/2014/main" xmlns="" id="{6D6DC2A7-30EB-479C-8B2B-2823B0441C9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268" name="Picture 3449">
          <a:extLst>
            <a:ext uri="{FF2B5EF4-FFF2-40B4-BE49-F238E27FC236}">
              <a16:creationId xmlns:a16="http://schemas.microsoft.com/office/drawing/2014/main" xmlns="" id="{4353F0FD-48C3-4DFA-BB1A-28CFB22FBA1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269" name="Picture 3450">
          <a:extLst>
            <a:ext uri="{FF2B5EF4-FFF2-40B4-BE49-F238E27FC236}">
              <a16:creationId xmlns:a16="http://schemas.microsoft.com/office/drawing/2014/main" xmlns="" id="{7E959591-442F-4087-8A34-6AB39362E0D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270" name="Picture 3451">
          <a:extLst>
            <a:ext uri="{FF2B5EF4-FFF2-40B4-BE49-F238E27FC236}">
              <a16:creationId xmlns:a16="http://schemas.microsoft.com/office/drawing/2014/main" xmlns="" id="{C1B15382-7F9F-4194-9175-E388535B5DC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271" name="Picture 3452">
          <a:extLst>
            <a:ext uri="{FF2B5EF4-FFF2-40B4-BE49-F238E27FC236}">
              <a16:creationId xmlns:a16="http://schemas.microsoft.com/office/drawing/2014/main" xmlns="" id="{AD9C7985-948E-4031-BE3B-5565E8F9807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272" name="Picture 3453">
          <a:extLst>
            <a:ext uri="{FF2B5EF4-FFF2-40B4-BE49-F238E27FC236}">
              <a16:creationId xmlns:a16="http://schemas.microsoft.com/office/drawing/2014/main" xmlns="" id="{B20D7B90-F23B-43CF-B4FD-00CE4758729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273" name="Picture 3454">
          <a:extLst>
            <a:ext uri="{FF2B5EF4-FFF2-40B4-BE49-F238E27FC236}">
              <a16:creationId xmlns:a16="http://schemas.microsoft.com/office/drawing/2014/main" xmlns="" id="{0C664E72-E9A5-434E-B471-5599726D20C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274" name="Picture 3455">
          <a:extLst>
            <a:ext uri="{FF2B5EF4-FFF2-40B4-BE49-F238E27FC236}">
              <a16:creationId xmlns:a16="http://schemas.microsoft.com/office/drawing/2014/main" xmlns="" id="{55A93032-59F2-47FB-87CA-3A7C433E4D6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275" name="Picture 3456">
          <a:extLst>
            <a:ext uri="{FF2B5EF4-FFF2-40B4-BE49-F238E27FC236}">
              <a16:creationId xmlns:a16="http://schemas.microsoft.com/office/drawing/2014/main" xmlns="" id="{94D233EB-CCA2-40B2-B5A4-36DD24C2446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276" name="Picture 3457">
          <a:extLst>
            <a:ext uri="{FF2B5EF4-FFF2-40B4-BE49-F238E27FC236}">
              <a16:creationId xmlns:a16="http://schemas.microsoft.com/office/drawing/2014/main" xmlns="" id="{5F0382EE-8008-4FFF-BA20-20DDE8C4DC0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277" name="Picture 3458">
          <a:extLst>
            <a:ext uri="{FF2B5EF4-FFF2-40B4-BE49-F238E27FC236}">
              <a16:creationId xmlns:a16="http://schemas.microsoft.com/office/drawing/2014/main" xmlns="" id="{EF985AFA-D03E-4BDF-A39A-B6095DD39A7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278" name="Picture 3459">
          <a:extLst>
            <a:ext uri="{FF2B5EF4-FFF2-40B4-BE49-F238E27FC236}">
              <a16:creationId xmlns:a16="http://schemas.microsoft.com/office/drawing/2014/main" xmlns="" id="{FA473EF4-E402-48DC-931B-2FEB7902537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279" name="Picture 3460">
          <a:extLst>
            <a:ext uri="{FF2B5EF4-FFF2-40B4-BE49-F238E27FC236}">
              <a16:creationId xmlns:a16="http://schemas.microsoft.com/office/drawing/2014/main" xmlns="" id="{08DE6BB5-D7B8-4228-8856-4BADD7475F4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280" name="Picture 3461">
          <a:extLst>
            <a:ext uri="{FF2B5EF4-FFF2-40B4-BE49-F238E27FC236}">
              <a16:creationId xmlns:a16="http://schemas.microsoft.com/office/drawing/2014/main" xmlns="" id="{1EE05E78-1288-4539-B384-EFCF3B6530D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281" name="Picture 3462">
          <a:extLst>
            <a:ext uri="{FF2B5EF4-FFF2-40B4-BE49-F238E27FC236}">
              <a16:creationId xmlns:a16="http://schemas.microsoft.com/office/drawing/2014/main" xmlns="" id="{7FBD0646-6554-4BE3-A3B4-E043A10D66B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282" name="Picture 3463">
          <a:extLst>
            <a:ext uri="{FF2B5EF4-FFF2-40B4-BE49-F238E27FC236}">
              <a16:creationId xmlns:a16="http://schemas.microsoft.com/office/drawing/2014/main" xmlns="" id="{C820B7BE-4370-42B0-8616-AD6F2333C89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283" name="Picture 3464">
          <a:extLst>
            <a:ext uri="{FF2B5EF4-FFF2-40B4-BE49-F238E27FC236}">
              <a16:creationId xmlns:a16="http://schemas.microsoft.com/office/drawing/2014/main" xmlns="" id="{93AA0F60-84BC-4535-B006-49EEE46C7BB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284" name="Picture 3465">
          <a:extLst>
            <a:ext uri="{FF2B5EF4-FFF2-40B4-BE49-F238E27FC236}">
              <a16:creationId xmlns:a16="http://schemas.microsoft.com/office/drawing/2014/main" xmlns="" id="{D88E386D-2710-4798-AD7B-B7E72019075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285" name="Picture 3466">
          <a:extLst>
            <a:ext uri="{FF2B5EF4-FFF2-40B4-BE49-F238E27FC236}">
              <a16:creationId xmlns:a16="http://schemas.microsoft.com/office/drawing/2014/main" xmlns="" id="{CB253D82-973F-48C4-844C-14E1C4EA931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286" name="Picture 3467">
          <a:extLst>
            <a:ext uri="{FF2B5EF4-FFF2-40B4-BE49-F238E27FC236}">
              <a16:creationId xmlns:a16="http://schemas.microsoft.com/office/drawing/2014/main" xmlns="" id="{FD80C0CF-C37E-4322-A847-52246C7C01D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287" name="Picture 3468">
          <a:extLst>
            <a:ext uri="{FF2B5EF4-FFF2-40B4-BE49-F238E27FC236}">
              <a16:creationId xmlns:a16="http://schemas.microsoft.com/office/drawing/2014/main" xmlns="" id="{3D88D5C2-B6E3-4453-A929-904110E21F7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288" name="Picture 3469">
          <a:extLst>
            <a:ext uri="{FF2B5EF4-FFF2-40B4-BE49-F238E27FC236}">
              <a16:creationId xmlns:a16="http://schemas.microsoft.com/office/drawing/2014/main" xmlns="" id="{BFC4D2AD-36D9-4BBD-AAF4-F06DC109809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289" name="Picture 3470">
          <a:extLst>
            <a:ext uri="{FF2B5EF4-FFF2-40B4-BE49-F238E27FC236}">
              <a16:creationId xmlns:a16="http://schemas.microsoft.com/office/drawing/2014/main" xmlns="" id="{7EC80222-9AF6-4D66-866B-CE3F103F092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290" name="Picture 3471">
          <a:extLst>
            <a:ext uri="{FF2B5EF4-FFF2-40B4-BE49-F238E27FC236}">
              <a16:creationId xmlns:a16="http://schemas.microsoft.com/office/drawing/2014/main" xmlns="" id="{86ED87D0-B919-4B61-BDC1-E52B90F53E5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291" name="Picture 3472">
          <a:extLst>
            <a:ext uri="{FF2B5EF4-FFF2-40B4-BE49-F238E27FC236}">
              <a16:creationId xmlns:a16="http://schemas.microsoft.com/office/drawing/2014/main" xmlns="" id="{714C7E19-51BF-4AA0-81E2-192D8D17915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292" name="Picture 3473">
          <a:extLst>
            <a:ext uri="{FF2B5EF4-FFF2-40B4-BE49-F238E27FC236}">
              <a16:creationId xmlns:a16="http://schemas.microsoft.com/office/drawing/2014/main" xmlns="" id="{DC806D58-D408-4241-AAEF-7F75F2A448D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293" name="Picture 3474">
          <a:extLst>
            <a:ext uri="{FF2B5EF4-FFF2-40B4-BE49-F238E27FC236}">
              <a16:creationId xmlns:a16="http://schemas.microsoft.com/office/drawing/2014/main" xmlns="" id="{AA7A2FD5-C94C-4D13-B0BD-3C8BF609B80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294" name="Picture 3475">
          <a:extLst>
            <a:ext uri="{FF2B5EF4-FFF2-40B4-BE49-F238E27FC236}">
              <a16:creationId xmlns:a16="http://schemas.microsoft.com/office/drawing/2014/main" xmlns="" id="{740CDCCE-2B1D-424B-976F-880BD66FF59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295" name="Picture 3476">
          <a:extLst>
            <a:ext uri="{FF2B5EF4-FFF2-40B4-BE49-F238E27FC236}">
              <a16:creationId xmlns:a16="http://schemas.microsoft.com/office/drawing/2014/main" xmlns="" id="{D1B1C0A2-F548-4D04-80C9-1E104EA3CCF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296" name="Picture 3477">
          <a:extLst>
            <a:ext uri="{FF2B5EF4-FFF2-40B4-BE49-F238E27FC236}">
              <a16:creationId xmlns:a16="http://schemas.microsoft.com/office/drawing/2014/main" xmlns="" id="{90D821CB-012D-40ED-B45F-27B746B21B3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297" name="Picture 3478">
          <a:extLst>
            <a:ext uri="{FF2B5EF4-FFF2-40B4-BE49-F238E27FC236}">
              <a16:creationId xmlns:a16="http://schemas.microsoft.com/office/drawing/2014/main" xmlns="" id="{00A56F2A-1C8E-45C6-BDF3-7CE9E149FB2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298" name="Picture 3479">
          <a:extLst>
            <a:ext uri="{FF2B5EF4-FFF2-40B4-BE49-F238E27FC236}">
              <a16:creationId xmlns:a16="http://schemas.microsoft.com/office/drawing/2014/main" xmlns="" id="{DB3DF26B-EE4E-4007-AA3E-25E4B2E9AA1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299" name="Picture 3480">
          <a:extLst>
            <a:ext uri="{FF2B5EF4-FFF2-40B4-BE49-F238E27FC236}">
              <a16:creationId xmlns:a16="http://schemas.microsoft.com/office/drawing/2014/main" xmlns="" id="{1B59B0B6-9A9A-483A-B2BA-265742D1FDE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300" name="Picture 3481">
          <a:extLst>
            <a:ext uri="{FF2B5EF4-FFF2-40B4-BE49-F238E27FC236}">
              <a16:creationId xmlns:a16="http://schemas.microsoft.com/office/drawing/2014/main" xmlns="" id="{F8ED9A33-7492-4BC5-A16F-FAE0F52D0CA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301" name="Picture 3482">
          <a:extLst>
            <a:ext uri="{FF2B5EF4-FFF2-40B4-BE49-F238E27FC236}">
              <a16:creationId xmlns:a16="http://schemas.microsoft.com/office/drawing/2014/main" xmlns="" id="{7A527A06-9271-4AC6-A676-557CD1BC4F9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302" name="Picture 3483">
          <a:extLst>
            <a:ext uri="{FF2B5EF4-FFF2-40B4-BE49-F238E27FC236}">
              <a16:creationId xmlns:a16="http://schemas.microsoft.com/office/drawing/2014/main" xmlns="" id="{4D4CBEF0-86A5-4518-BFB9-642E329CF71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303" name="Picture 3484">
          <a:extLst>
            <a:ext uri="{FF2B5EF4-FFF2-40B4-BE49-F238E27FC236}">
              <a16:creationId xmlns:a16="http://schemas.microsoft.com/office/drawing/2014/main" xmlns="" id="{3460BAB4-C35F-4CE4-9ED2-A0F87B92539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304" name="Picture 3485">
          <a:extLst>
            <a:ext uri="{FF2B5EF4-FFF2-40B4-BE49-F238E27FC236}">
              <a16:creationId xmlns:a16="http://schemas.microsoft.com/office/drawing/2014/main" xmlns="" id="{F05B7D45-C5A8-48C7-91C3-96548BD5718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305" name="Picture 3486">
          <a:extLst>
            <a:ext uri="{FF2B5EF4-FFF2-40B4-BE49-F238E27FC236}">
              <a16:creationId xmlns:a16="http://schemas.microsoft.com/office/drawing/2014/main" xmlns="" id="{827E6B7E-D77F-46C0-ABB1-08C8209EDC4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306" name="Picture 3487">
          <a:extLst>
            <a:ext uri="{FF2B5EF4-FFF2-40B4-BE49-F238E27FC236}">
              <a16:creationId xmlns:a16="http://schemas.microsoft.com/office/drawing/2014/main" xmlns="" id="{74EC6E79-3BAC-4E92-BB28-5974F818C1E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307" name="Picture 3488">
          <a:extLst>
            <a:ext uri="{FF2B5EF4-FFF2-40B4-BE49-F238E27FC236}">
              <a16:creationId xmlns:a16="http://schemas.microsoft.com/office/drawing/2014/main" xmlns="" id="{7E8C1C56-44AF-4403-8902-63AFF57ECAC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308" name="Picture 3489">
          <a:extLst>
            <a:ext uri="{FF2B5EF4-FFF2-40B4-BE49-F238E27FC236}">
              <a16:creationId xmlns:a16="http://schemas.microsoft.com/office/drawing/2014/main" xmlns="" id="{2A03E237-7534-41CE-ACBA-A5C470BB2E8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309" name="Picture 3490">
          <a:extLst>
            <a:ext uri="{FF2B5EF4-FFF2-40B4-BE49-F238E27FC236}">
              <a16:creationId xmlns:a16="http://schemas.microsoft.com/office/drawing/2014/main" xmlns="" id="{3FB9AECE-A725-4D48-A8DA-B39C9841F2C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310" name="Picture 3491">
          <a:extLst>
            <a:ext uri="{FF2B5EF4-FFF2-40B4-BE49-F238E27FC236}">
              <a16:creationId xmlns:a16="http://schemas.microsoft.com/office/drawing/2014/main" xmlns="" id="{BA7C8C70-167A-45F5-BDF0-62AF93ACDAF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311" name="Picture 3492">
          <a:extLst>
            <a:ext uri="{FF2B5EF4-FFF2-40B4-BE49-F238E27FC236}">
              <a16:creationId xmlns:a16="http://schemas.microsoft.com/office/drawing/2014/main" xmlns="" id="{11237630-94A4-4623-94FE-58B6A3DF80C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312" name="Picture 3493">
          <a:extLst>
            <a:ext uri="{FF2B5EF4-FFF2-40B4-BE49-F238E27FC236}">
              <a16:creationId xmlns:a16="http://schemas.microsoft.com/office/drawing/2014/main" xmlns="" id="{5E081A8F-CDAE-498B-A502-FF51BE90518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313" name="Picture 3494">
          <a:extLst>
            <a:ext uri="{FF2B5EF4-FFF2-40B4-BE49-F238E27FC236}">
              <a16:creationId xmlns:a16="http://schemas.microsoft.com/office/drawing/2014/main" xmlns="" id="{B41288E5-967B-4EAD-A7D8-C0F05EA0C91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314" name="Picture 3495">
          <a:extLst>
            <a:ext uri="{FF2B5EF4-FFF2-40B4-BE49-F238E27FC236}">
              <a16:creationId xmlns:a16="http://schemas.microsoft.com/office/drawing/2014/main" xmlns="" id="{B84ADF81-CADD-477B-8B17-F571435C239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315" name="Picture 3496">
          <a:extLst>
            <a:ext uri="{FF2B5EF4-FFF2-40B4-BE49-F238E27FC236}">
              <a16:creationId xmlns:a16="http://schemas.microsoft.com/office/drawing/2014/main" xmlns="" id="{FC692168-1F56-4E08-B687-6B768CFA1B6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316" name="Picture 3497">
          <a:extLst>
            <a:ext uri="{FF2B5EF4-FFF2-40B4-BE49-F238E27FC236}">
              <a16:creationId xmlns:a16="http://schemas.microsoft.com/office/drawing/2014/main" xmlns="" id="{8E8F26C0-2664-4A87-9DA2-29186EB53D2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317" name="Picture 3498">
          <a:extLst>
            <a:ext uri="{FF2B5EF4-FFF2-40B4-BE49-F238E27FC236}">
              <a16:creationId xmlns:a16="http://schemas.microsoft.com/office/drawing/2014/main" xmlns="" id="{A7E55A5D-2085-46CB-BCCB-259DDBAF31F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318" name="Picture 3499">
          <a:extLst>
            <a:ext uri="{FF2B5EF4-FFF2-40B4-BE49-F238E27FC236}">
              <a16:creationId xmlns:a16="http://schemas.microsoft.com/office/drawing/2014/main" xmlns="" id="{CCA84543-AEAD-4843-853F-768192D1737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319" name="Picture 3500">
          <a:extLst>
            <a:ext uri="{FF2B5EF4-FFF2-40B4-BE49-F238E27FC236}">
              <a16:creationId xmlns:a16="http://schemas.microsoft.com/office/drawing/2014/main" xmlns="" id="{BF5767E5-DA2A-4EB0-A8A9-53E1CC5247C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320" name="Picture 3501">
          <a:extLst>
            <a:ext uri="{FF2B5EF4-FFF2-40B4-BE49-F238E27FC236}">
              <a16:creationId xmlns:a16="http://schemas.microsoft.com/office/drawing/2014/main" xmlns="" id="{724F3438-8CF7-4193-ADBF-4A94C3BE2FA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321" name="Picture 3502">
          <a:extLst>
            <a:ext uri="{FF2B5EF4-FFF2-40B4-BE49-F238E27FC236}">
              <a16:creationId xmlns:a16="http://schemas.microsoft.com/office/drawing/2014/main" xmlns="" id="{95E34B80-6216-4D86-8400-1B62CDC61D6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322" name="Picture 3503">
          <a:extLst>
            <a:ext uri="{FF2B5EF4-FFF2-40B4-BE49-F238E27FC236}">
              <a16:creationId xmlns:a16="http://schemas.microsoft.com/office/drawing/2014/main" xmlns="" id="{EB294C16-2077-475B-85EA-9FE9500F618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323" name="Picture 3504">
          <a:extLst>
            <a:ext uri="{FF2B5EF4-FFF2-40B4-BE49-F238E27FC236}">
              <a16:creationId xmlns:a16="http://schemas.microsoft.com/office/drawing/2014/main" xmlns="" id="{60E44480-C193-4DF7-B06A-388A296E3D3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324" name="Picture 3505">
          <a:extLst>
            <a:ext uri="{FF2B5EF4-FFF2-40B4-BE49-F238E27FC236}">
              <a16:creationId xmlns:a16="http://schemas.microsoft.com/office/drawing/2014/main" xmlns="" id="{14F536A1-13E0-4BD6-AE38-498ED7F0F00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325" name="Picture 3506">
          <a:extLst>
            <a:ext uri="{FF2B5EF4-FFF2-40B4-BE49-F238E27FC236}">
              <a16:creationId xmlns:a16="http://schemas.microsoft.com/office/drawing/2014/main" xmlns="" id="{CB4DBD04-CD7D-4A28-8EE7-142A8656B97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326" name="Picture 3507">
          <a:extLst>
            <a:ext uri="{FF2B5EF4-FFF2-40B4-BE49-F238E27FC236}">
              <a16:creationId xmlns:a16="http://schemas.microsoft.com/office/drawing/2014/main" xmlns="" id="{73C0B75E-3516-45F3-8F81-EFADF5537BB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327" name="Picture 3508">
          <a:extLst>
            <a:ext uri="{FF2B5EF4-FFF2-40B4-BE49-F238E27FC236}">
              <a16:creationId xmlns:a16="http://schemas.microsoft.com/office/drawing/2014/main" xmlns="" id="{CFD5802C-FAB3-4C36-BC71-117481C6FB0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328" name="Picture 3509">
          <a:extLst>
            <a:ext uri="{FF2B5EF4-FFF2-40B4-BE49-F238E27FC236}">
              <a16:creationId xmlns:a16="http://schemas.microsoft.com/office/drawing/2014/main" xmlns="" id="{24A0460E-6155-494F-BD1B-69B9268D776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329" name="Picture 3510">
          <a:extLst>
            <a:ext uri="{FF2B5EF4-FFF2-40B4-BE49-F238E27FC236}">
              <a16:creationId xmlns:a16="http://schemas.microsoft.com/office/drawing/2014/main" xmlns="" id="{0E398083-CCB4-4C0C-B06A-4294CA048E2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330" name="Picture 3511">
          <a:extLst>
            <a:ext uri="{FF2B5EF4-FFF2-40B4-BE49-F238E27FC236}">
              <a16:creationId xmlns:a16="http://schemas.microsoft.com/office/drawing/2014/main" xmlns="" id="{129BE7D4-38AE-4C8F-96E1-D5022411184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331" name="Picture 3512">
          <a:extLst>
            <a:ext uri="{FF2B5EF4-FFF2-40B4-BE49-F238E27FC236}">
              <a16:creationId xmlns:a16="http://schemas.microsoft.com/office/drawing/2014/main" xmlns="" id="{2B7D82B3-5FE6-4D5F-84FE-A7A7EEF66E3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332" name="Picture 3513">
          <a:extLst>
            <a:ext uri="{FF2B5EF4-FFF2-40B4-BE49-F238E27FC236}">
              <a16:creationId xmlns:a16="http://schemas.microsoft.com/office/drawing/2014/main" xmlns="" id="{6530F00F-809F-414E-B97C-CB694066194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333" name="Picture 3514">
          <a:extLst>
            <a:ext uri="{FF2B5EF4-FFF2-40B4-BE49-F238E27FC236}">
              <a16:creationId xmlns:a16="http://schemas.microsoft.com/office/drawing/2014/main" xmlns="" id="{47A93E94-1A86-4909-BE41-47A64C37C57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334" name="Picture 3515">
          <a:extLst>
            <a:ext uri="{FF2B5EF4-FFF2-40B4-BE49-F238E27FC236}">
              <a16:creationId xmlns:a16="http://schemas.microsoft.com/office/drawing/2014/main" xmlns="" id="{5B5F969C-F8DB-4820-BC66-83B85664ABE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335" name="Picture 3516">
          <a:extLst>
            <a:ext uri="{FF2B5EF4-FFF2-40B4-BE49-F238E27FC236}">
              <a16:creationId xmlns:a16="http://schemas.microsoft.com/office/drawing/2014/main" xmlns="" id="{95EE6F03-D4BE-49D2-8D6C-47945DB8600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336" name="Picture 3517">
          <a:extLst>
            <a:ext uri="{FF2B5EF4-FFF2-40B4-BE49-F238E27FC236}">
              <a16:creationId xmlns:a16="http://schemas.microsoft.com/office/drawing/2014/main" xmlns="" id="{C4132B28-918F-4F61-B88D-1856824E6D1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337" name="Picture 3518">
          <a:extLst>
            <a:ext uri="{FF2B5EF4-FFF2-40B4-BE49-F238E27FC236}">
              <a16:creationId xmlns:a16="http://schemas.microsoft.com/office/drawing/2014/main" xmlns="" id="{49F3AC99-102B-420C-861D-FCF92F3057D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338" name="Picture 3519">
          <a:extLst>
            <a:ext uri="{FF2B5EF4-FFF2-40B4-BE49-F238E27FC236}">
              <a16:creationId xmlns:a16="http://schemas.microsoft.com/office/drawing/2014/main" xmlns="" id="{536648A8-A9D3-48A1-8FBF-EF7B6421C3C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339" name="Picture 3520">
          <a:extLst>
            <a:ext uri="{FF2B5EF4-FFF2-40B4-BE49-F238E27FC236}">
              <a16:creationId xmlns:a16="http://schemas.microsoft.com/office/drawing/2014/main" xmlns="" id="{DAA203CE-F83B-4A96-8380-8BE2D35C323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340" name="Picture 3521">
          <a:extLst>
            <a:ext uri="{FF2B5EF4-FFF2-40B4-BE49-F238E27FC236}">
              <a16:creationId xmlns:a16="http://schemas.microsoft.com/office/drawing/2014/main" xmlns="" id="{56B97172-DBA2-43DE-9462-1F48C0C5724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341" name="Picture 3522">
          <a:extLst>
            <a:ext uri="{FF2B5EF4-FFF2-40B4-BE49-F238E27FC236}">
              <a16:creationId xmlns:a16="http://schemas.microsoft.com/office/drawing/2014/main" xmlns="" id="{7A1D2C6F-F99E-466B-96DE-53DEECB9150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342" name="Picture 3523">
          <a:extLst>
            <a:ext uri="{FF2B5EF4-FFF2-40B4-BE49-F238E27FC236}">
              <a16:creationId xmlns:a16="http://schemas.microsoft.com/office/drawing/2014/main" xmlns="" id="{6892D583-269B-4BEC-96AB-4086B4E096C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343" name="Picture 3524">
          <a:extLst>
            <a:ext uri="{FF2B5EF4-FFF2-40B4-BE49-F238E27FC236}">
              <a16:creationId xmlns:a16="http://schemas.microsoft.com/office/drawing/2014/main" xmlns="" id="{FF6F56C5-0886-42E9-8C24-DC5C2919E8E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344" name="Picture 3525">
          <a:extLst>
            <a:ext uri="{FF2B5EF4-FFF2-40B4-BE49-F238E27FC236}">
              <a16:creationId xmlns:a16="http://schemas.microsoft.com/office/drawing/2014/main" xmlns="" id="{FCA7D98A-4D4D-4F78-A9AB-DFFB9186017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345" name="Picture 3526">
          <a:extLst>
            <a:ext uri="{FF2B5EF4-FFF2-40B4-BE49-F238E27FC236}">
              <a16:creationId xmlns:a16="http://schemas.microsoft.com/office/drawing/2014/main" xmlns="" id="{7E56E45F-A514-48BD-8804-AC30976CE7E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346" name="Picture 3527">
          <a:extLst>
            <a:ext uri="{FF2B5EF4-FFF2-40B4-BE49-F238E27FC236}">
              <a16:creationId xmlns:a16="http://schemas.microsoft.com/office/drawing/2014/main" xmlns="" id="{B66C05F8-B8C5-4E61-B39C-62196213D54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347" name="Picture 3528">
          <a:extLst>
            <a:ext uri="{FF2B5EF4-FFF2-40B4-BE49-F238E27FC236}">
              <a16:creationId xmlns:a16="http://schemas.microsoft.com/office/drawing/2014/main" xmlns="" id="{DC8A8E5F-4F0A-4A8F-8C3B-D6171AA3577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348" name="Picture 3529">
          <a:extLst>
            <a:ext uri="{FF2B5EF4-FFF2-40B4-BE49-F238E27FC236}">
              <a16:creationId xmlns:a16="http://schemas.microsoft.com/office/drawing/2014/main" xmlns="" id="{E47DD1A2-E5DE-44B0-A1A3-5E883D4DEA1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349" name="Picture 3530">
          <a:extLst>
            <a:ext uri="{FF2B5EF4-FFF2-40B4-BE49-F238E27FC236}">
              <a16:creationId xmlns:a16="http://schemas.microsoft.com/office/drawing/2014/main" xmlns="" id="{48CEFDD5-5737-41F1-83E1-3B4F5ED46A7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350" name="Picture 3531">
          <a:extLst>
            <a:ext uri="{FF2B5EF4-FFF2-40B4-BE49-F238E27FC236}">
              <a16:creationId xmlns:a16="http://schemas.microsoft.com/office/drawing/2014/main" xmlns="" id="{853517C3-C1FB-410B-9C70-BE92B48A238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351" name="Picture 3532">
          <a:extLst>
            <a:ext uri="{FF2B5EF4-FFF2-40B4-BE49-F238E27FC236}">
              <a16:creationId xmlns:a16="http://schemas.microsoft.com/office/drawing/2014/main" xmlns="" id="{E26285FF-90F6-4F1C-AD93-9CDA4E13108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352" name="Picture 3533">
          <a:extLst>
            <a:ext uri="{FF2B5EF4-FFF2-40B4-BE49-F238E27FC236}">
              <a16:creationId xmlns:a16="http://schemas.microsoft.com/office/drawing/2014/main" xmlns="" id="{B767EDEF-4CAE-4484-8A6B-D1CEF8B7E84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353" name="Picture 3534">
          <a:extLst>
            <a:ext uri="{FF2B5EF4-FFF2-40B4-BE49-F238E27FC236}">
              <a16:creationId xmlns:a16="http://schemas.microsoft.com/office/drawing/2014/main" xmlns="" id="{73553F4B-51C6-4CC9-8288-1886D37174C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354" name="Picture 3535">
          <a:extLst>
            <a:ext uri="{FF2B5EF4-FFF2-40B4-BE49-F238E27FC236}">
              <a16:creationId xmlns:a16="http://schemas.microsoft.com/office/drawing/2014/main" xmlns="" id="{8159D3F2-6FA6-4767-A09F-F4957D90F6F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355" name="Picture 3536">
          <a:extLst>
            <a:ext uri="{FF2B5EF4-FFF2-40B4-BE49-F238E27FC236}">
              <a16:creationId xmlns:a16="http://schemas.microsoft.com/office/drawing/2014/main" xmlns="" id="{1715E71A-4BC2-469B-A7E6-DF3286A833D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356" name="Picture 3537">
          <a:extLst>
            <a:ext uri="{FF2B5EF4-FFF2-40B4-BE49-F238E27FC236}">
              <a16:creationId xmlns:a16="http://schemas.microsoft.com/office/drawing/2014/main" xmlns="" id="{5E421CCF-530E-4A18-B7CA-63304E0DC1F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357" name="Picture 3538">
          <a:extLst>
            <a:ext uri="{FF2B5EF4-FFF2-40B4-BE49-F238E27FC236}">
              <a16:creationId xmlns:a16="http://schemas.microsoft.com/office/drawing/2014/main" xmlns="" id="{24A3CA0A-26EA-4014-BCFC-0BFF9FA64D3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358" name="Picture 3539">
          <a:extLst>
            <a:ext uri="{FF2B5EF4-FFF2-40B4-BE49-F238E27FC236}">
              <a16:creationId xmlns:a16="http://schemas.microsoft.com/office/drawing/2014/main" xmlns="" id="{835AEB4E-023D-497E-AE5A-2CFB8BDCA7C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359" name="Picture 3540">
          <a:extLst>
            <a:ext uri="{FF2B5EF4-FFF2-40B4-BE49-F238E27FC236}">
              <a16:creationId xmlns:a16="http://schemas.microsoft.com/office/drawing/2014/main" xmlns="" id="{1057083E-CD8E-432C-9FD9-BA45330C8B9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360" name="Picture 3541">
          <a:extLst>
            <a:ext uri="{FF2B5EF4-FFF2-40B4-BE49-F238E27FC236}">
              <a16:creationId xmlns:a16="http://schemas.microsoft.com/office/drawing/2014/main" xmlns="" id="{F55BC1EE-2872-427D-B691-F4BBD8B206A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361" name="Picture 3542">
          <a:extLst>
            <a:ext uri="{FF2B5EF4-FFF2-40B4-BE49-F238E27FC236}">
              <a16:creationId xmlns:a16="http://schemas.microsoft.com/office/drawing/2014/main" xmlns="" id="{1CBF70C5-04E0-4B9F-88A4-2CDC7177F2F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362" name="Picture 3543">
          <a:extLst>
            <a:ext uri="{FF2B5EF4-FFF2-40B4-BE49-F238E27FC236}">
              <a16:creationId xmlns:a16="http://schemas.microsoft.com/office/drawing/2014/main" xmlns="" id="{450F98C9-4AA0-49AD-ACBB-9A366C8B12F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363" name="Picture 3544">
          <a:extLst>
            <a:ext uri="{FF2B5EF4-FFF2-40B4-BE49-F238E27FC236}">
              <a16:creationId xmlns:a16="http://schemas.microsoft.com/office/drawing/2014/main" xmlns="" id="{B4C0E093-7BA4-4C03-9F14-D1C33671A52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364" name="Picture 3545">
          <a:extLst>
            <a:ext uri="{FF2B5EF4-FFF2-40B4-BE49-F238E27FC236}">
              <a16:creationId xmlns:a16="http://schemas.microsoft.com/office/drawing/2014/main" xmlns="" id="{8C8C1374-B406-446D-9A19-DC1C2F757A1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365" name="Picture 3546">
          <a:extLst>
            <a:ext uri="{FF2B5EF4-FFF2-40B4-BE49-F238E27FC236}">
              <a16:creationId xmlns:a16="http://schemas.microsoft.com/office/drawing/2014/main" xmlns="" id="{C23874A2-41CA-4BDB-83A9-73B31CDA4EC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366" name="Picture 3547">
          <a:extLst>
            <a:ext uri="{FF2B5EF4-FFF2-40B4-BE49-F238E27FC236}">
              <a16:creationId xmlns:a16="http://schemas.microsoft.com/office/drawing/2014/main" xmlns="" id="{5C8BE650-B6A1-401E-AAAE-E0878673FAF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367" name="Picture 3548">
          <a:extLst>
            <a:ext uri="{FF2B5EF4-FFF2-40B4-BE49-F238E27FC236}">
              <a16:creationId xmlns:a16="http://schemas.microsoft.com/office/drawing/2014/main" xmlns="" id="{40A5C9DE-1473-4B12-AB97-D61DEB27FDE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368" name="Picture 3549">
          <a:extLst>
            <a:ext uri="{FF2B5EF4-FFF2-40B4-BE49-F238E27FC236}">
              <a16:creationId xmlns:a16="http://schemas.microsoft.com/office/drawing/2014/main" xmlns="" id="{4E489CA2-1C70-49F8-93AD-A1801DD24EE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369" name="Picture 3550">
          <a:extLst>
            <a:ext uri="{FF2B5EF4-FFF2-40B4-BE49-F238E27FC236}">
              <a16:creationId xmlns:a16="http://schemas.microsoft.com/office/drawing/2014/main" xmlns="" id="{CDCE7288-BC0B-4883-985C-31F020B8ECA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370" name="Picture 3551">
          <a:extLst>
            <a:ext uri="{FF2B5EF4-FFF2-40B4-BE49-F238E27FC236}">
              <a16:creationId xmlns:a16="http://schemas.microsoft.com/office/drawing/2014/main" xmlns="" id="{8BD6A72C-15DE-4E9D-96C5-4BBB2A73E08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371" name="Picture 3552">
          <a:extLst>
            <a:ext uri="{FF2B5EF4-FFF2-40B4-BE49-F238E27FC236}">
              <a16:creationId xmlns:a16="http://schemas.microsoft.com/office/drawing/2014/main" xmlns="" id="{BF8CF112-8E31-4781-BF9E-D1EDB85113E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372" name="Picture 3553">
          <a:extLst>
            <a:ext uri="{FF2B5EF4-FFF2-40B4-BE49-F238E27FC236}">
              <a16:creationId xmlns:a16="http://schemas.microsoft.com/office/drawing/2014/main" xmlns="" id="{C4815048-C4C5-4FCC-B0EC-1ACF2F761FE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373" name="Picture 3554">
          <a:extLst>
            <a:ext uri="{FF2B5EF4-FFF2-40B4-BE49-F238E27FC236}">
              <a16:creationId xmlns:a16="http://schemas.microsoft.com/office/drawing/2014/main" xmlns="" id="{D003A31E-08A6-4BA3-AEF9-4894FA54DA6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374" name="Picture 3555">
          <a:extLst>
            <a:ext uri="{FF2B5EF4-FFF2-40B4-BE49-F238E27FC236}">
              <a16:creationId xmlns:a16="http://schemas.microsoft.com/office/drawing/2014/main" xmlns="" id="{0BCFE2BE-5135-46DC-8C12-417A43184E7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375" name="Picture 3556">
          <a:extLst>
            <a:ext uri="{FF2B5EF4-FFF2-40B4-BE49-F238E27FC236}">
              <a16:creationId xmlns:a16="http://schemas.microsoft.com/office/drawing/2014/main" xmlns="" id="{70227FFD-F0A2-420A-ABB2-D1F913BA1AE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376" name="Picture 3557">
          <a:extLst>
            <a:ext uri="{FF2B5EF4-FFF2-40B4-BE49-F238E27FC236}">
              <a16:creationId xmlns:a16="http://schemas.microsoft.com/office/drawing/2014/main" xmlns="" id="{102D5D03-14C9-4009-BA07-960C9888FE9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377" name="Picture 3558">
          <a:extLst>
            <a:ext uri="{FF2B5EF4-FFF2-40B4-BE49-F238E27FC236}">
              <a16:creationId xmlns:a16="http://schemas.microsoft.com/office/drawing/2014/main" xmlns="" id="{9A71AF60-85BE-4379-8544-096753EACAC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378" name="Picture 3559">
          <a:extLst>
            <a:ext uri="{FF2B5EF4-FFF2-40B4-BE49-F238E27FC236}">
              <a16:creationId xmlns:a16="http://schemas.microsoft.com/office/drawing/2014/main" xmlns="" id="{EB0FED90-BC3F-41EA-8E11-5AFBEBFDC6F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379" name="Picture 3560">
          <a:extLst>
            <a:ext uri="{FF2B5EF4-FFF2-40B4-BE49-F238E27FC236}">
              <a16:creationId xmlns:a16="http://schemas.microsoft.com/office/drawing/2014/main" xmlns="" id="{27E1AEC3-04D9-409F-A362-9F3AD2ABCE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380" name="Picture 3561">
          <a:extLst>
            <a:ext uri="{FF2B5EF4-FFF2-40B4-BE49-F238E27FC236}">
              <a16:creationId xmlns:a16="http://schemas.microsoft.com/office/drawing/2014/main" xmlns="" id="{2C3DEB24-38CF-49E4-8779-E9AB1DCB2C6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381" name="Picture 3562">
          <a:extLst>
            <a:ext uri="{FF2B5EF4-FFF2-40B4-BE49-F238E27FC236}">
              <a16:creationId xmlns:a16="http://schemas.microsoft.com/office/drawing/2014/main" xmlns="" id="{510377CC-8C46-4BBE-921A-C51414A2706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382" name="Picture 3563">
          <a:extLst>
            <a:ext uri="{FF2B5EF4-FFF2-40B4-BE49-F238E27FC236}">
              <a16:creationId xmlns:a16="http://schemas.microsoft.com/office/drawing/2014/main" xmlns="" id="{A5ED7022-3317-4C67-8E08-A3463F28496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383" name="Picture 3564">
          <a:extLst>
            <a:ext uri="{FF2B5EF4-FFF2-40B4-BE49-F238E27FC236}">
              <a16:creationId xmlns:a16="http://schemas.microsoft.com/office/drawing/2014/main" xmlns="" id="{02ADF644-2BAE-41A0-8FEB-5816BF75AD2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384" name="Picture 3565">
          <a:extLst>
            <a:ext uri="{FF2B5EF4-FFF2-40B4-BE49-F238E27FC236}">
              <a16:creationId xmlns:a16="http://schemas.microsoft.com/office/drawing/2014/main" xmlns="" id="{01B2B248-0E09-4A6E-8DA1-A6F51AC7909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385" name="Picture 3566">
          <a:extLst>
            <a:ext uri="{FF2B5EF4-FFF2-40B4-BE49-F238E27FC236}">
              <a16:creationId xmlns:a16="http://schemas.microsoft.com/office/drawing/2014/main" xmlns="" id="{71391D4A-AF91-4F8B-8D5B-59D4CBA6698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386" name="Picture 3567">
          <a:extLst>
            <a:ext uri="{FF2B5EF4-FFF2-40B4-BE49-F238E27FC236}">
              <a16:creationId xmlns:a16="http://schemas.microsoft.com/office/drawing/2014/main" xmlns="" id="{EA999DFF-EFCF-44EB-8846-B5204BE0BD6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387" name="Picture 3568">
          <a:extLst>
            <a:ext uri="{FF2B5EF4-FFF2-40B4-BE49-F238E27FC236}">
              <a16:creationId xmlns:a16="http://schemas.microsoft.com/office/drawing/2014/main" xmlns="" id="{F4C4A6E0-CA9F-4AC2-AF80-C7EC99C7E51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388" name="Picture 3569">
          <a:extLst>
            <a:ext uri="{FF2B5EF4-FFF2-40B4-BE49-F238E27FC236}">
              <a16:creationId xmlns:a16="http://schemas.microsoft.com/office/drawing/2014/main" xmlns="" id="{A054E578-5B77-497B-BCD7-47E5FDA0B7E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389" name="Picture 3570">
          <a:extLst>
            <a:ext uri="{FF2B5EF4-FFF2-40B4-BE49-F238E27FC236}">
              <a16:creationId xmlns:a16="http://schemas.microsoft.com/office/drawing/2014/main" xmlns="" id="{6413CDD7-E44F-47ED-A3EE-1477448735C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390" name="Picture 3571">
          <a:extLst>
            <a:ext uri="{FF2B5EF4-FFF2-40B4-BE49-F238E27FC236}">
              <a16:creationId xmlns:a16="http://schemas.microsoft.com/office/drawing/2014/main" xmlns="" id="{EF024FD7-485B-40B2-8285-7A3CD4FE2EE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391" name="Picture 3572">
          <a:extLst>
            <a:ext uri="{FF2B5EF4-FFF2-40B4-BE49-F238E27FC236}">
              <a16:creationId xmlns:a16="http://schemas.microsoft.com/office/drawing/2014/main" xmlns="" id="{15DC5EAC-BBAE-4AB7-A11C-B814A6900C8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392" name="Picture 3573">
          <a:extLst>
            <a:ext uri="{FF2B5EF4-FFF2-40B4-BE49-F238E27FC236}">
              <a16:creationId xmlns:a16="http://schemas.microsoft.com/office/drawing/2014/main" xmlns="" id="{59DC27A9-EDB7-4087-A137-2E06798189E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393" name="Picture 3574">
          <a:extLst>
            <a:ext uri="{FF2B5EF4-FFF2-40B4-BE49-F238E27FC236}">
              <a16:creationId xmlns:a16="http://schemas.microsoft.com/office/drawing/2014/main" xmlns="" id="{0F471804-B003-4F1A-B8CB-8DAE5B7F99C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394" name="Picture 3575">
          <a:extLst>
            <a:ext uri="{FF2B5EF4-FFF2-40B4-BE49-F238E27FC236}">
              <a16:creationId xmlns:a16="http://schemas.microsoft.com/office/drawing/2014/main" xmlns="" id="{E98BEB6F-B3B1-4F8B-9182-F91F5F6750D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395" name="Picture 3576">
          <a:extLst>
            <a:ext uri="{FF2B5EF4-FFF2-40B4-BE49-F238E27FC236}">
              <a16:creationId xmlns:a16="http://schemas.microsoft.com/office/drawing/2014/main" xmlns="" id="{2210BCE4-D3F7-4A37-963C-4294E0B2D56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396" name="Picture 3577">
          <a:extLst>
            <a:ext uri="{FF2B5EF4-FFF2-40B4-BE49-F238E27FC236}">
              <a16:creationId xmlns:a16="http://schemas.microsoft.com/office/drawing/2014/main" xmlns="" id="{0E5B8CAD-E657-4481-92F8-EF4F8CD9415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397" name="Picture 3578">
          <a:extLst>
            <a:ext uri="{FF2B5EF4-FFF2-40B4-BE49-F238E27FC236}">
              <a16:creationId xmlns:a16="http://schemas.microsoft.com/office/drawing/2014/main" xmlns="" id="{47962475-FF3F-495D-9045-4C547B14E9E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398" name="Picture 3579">
          <a:extLst>
            <a:ext uri="{FF2B5EF4-FFF2-40B4-BE49-F238E27FC236}">
              <a16:creationId xmlns:a16="http://schemas.microsoft.com/office/drawing/2014/main" xmlns="" id="{4A9F9C2E-D4D1-426E-BE57-B8B12F06759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399" name="Picture 3580">
          <a:extLst>
            <a:ext uri="{FF2B5EF4-FFF2-40B4-BE49-F238E27FC236}">
              <a16:creationId xmlns:a16="http://schemas.microsoft.com/office/drawing/2014/main" xmlns="" id="{EC2C79CB-B28D-41F0-AF7E-D8816055C60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400" name="Picture 3581">
          <a:extLst>
            <a:ext uri="{FF2B5EF4-FFF2-40B4-BE49-F238E27FC236}">
              <a16:creationId xmlns:a16="http://schemas.microsoft.com/office/drawing/2014/main" xmlns="" id="{642F01A8-5BD8-4CF8-8CC7-E653FDF5397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401" name="Picture 3582">
          <a:extLst>
            <a:ext uri="{FF2B5EF4-FFF2-40B4-BE49-F238E27FC236}">
              <a16:creationId xmlns:a16="http://schemas.microsoft.com/office/drawing/2014/main" xmlns="" id="{9E68CEB1-2C35-474F-A4F2-DD01E573C93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402" name="Picture 3583">
          <a:extLst>
            <a:ext uri="{FF2B5EF4-FFF2-40B4-BE49-F238E27FC236}">
              <a16:creationId xmlns:a16="http://schemas.microsoft.com/office/drawing/2014/main" xmlns="" id="{F7997652-BA12-4E69-B939-D6AC967C0AF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403" name="Picture 3584">
          <a:extLst>
            <a:ext uri="{FF2B5EF4-FFF2-40B4-BE49-F238E27FC236}">
              <a16:creationId xmlns:a16="http://schemas.microsoft.com/office/drawing/2014/main" xmlns="" id="{DAB65CBE-5159-4834-AA70-A310BF5814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404" name="Picture 3585">
          <a:extLst>
            <a:ext uri="{FF2B5EF4-FFF2-40B4-BE49-F238E27FC236}">
              <a16:creationId xmlns:a16="http://schemas.microsoft.com/office/drawing/2014/main" xmlns="" id="{4B00DB8B-B64E-4337-910C-9FE0E33362A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405" name="Picture 3586">
          <a:extLst>
            <a:ext uri="{FF2B5EF4-FFF2-40B4-BE49-F238E27FC236}">
              <a16:creationId xmlns:a16="http://schemas.microsoft.com/office/drawing/2014/main" xmlns="" id="{18E9E7E2-0ADD-4D9F-84F8-302DCF3F7A6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406" name="Picture 3587">
          <a:extLst>
            <a:ext uri="{FF2B5EF4-FFF2-40B4-BE49-F238E27FC236}">
              <a16:creationId xmlns:a16="http://schemas.microsoft.com/office/drawing/2014/main" xmlns="" id="{BE26173E-4289-41AC-80B3-D3306320376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407" name="Picture 3588">
          <a:extLst>
            <a:ext uri="{FF2B5EF4-FFF2-40B4-BE49-F238E27FC236}">
              <a16:creationId xmlns:a16="http://schemas.microsoft.com/office/drawing/2014/main" xmlns="" id="{B8CEBABF-A64E-4AF7-8EAA-19BD7E4A0E9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408" name="Picture 3589">
          <a:extLst>
            <a:ext uri="{FF2B5EF4-FFF2-40B4-BE49-F238E27FC236}">
              <a16:creationId xmlns:a16="http://schemas.microsoft.com/office/drawing/2014/main" xmlns="" id="{09C1BCFC-C7F8-4447-921D-E9CD528D0A0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409" name="Picture 3590">
          <a:extLst>
            <a:ext uri="{FF2B5EF4-FFF2-40B4-BE49-F238E27FC236}">
              <a16:creationId xmlns:a16="http://schemas.microsoft.com/office/drawing/2014/main" xmlns="" id="{43C8E77E-DAB2-4411-991D-7DE6F8996A8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410" name="Picture 3591">
          <a:extLst>
            <a:ext uri="{FF2B5EF4-FFF2-40B4-BE49-F238E27FC236}">
              <a16:creationId xmlns:a16="http://schemas.microsoft.com/office/drawing/2014/main" xmlns="" id="{26B09A48-8FEE-4737-9A6B-3FD56E963CD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411" name="Picture 3592">
          <a:extLst>
            <a:ext uri="{FF2B5EF4-FFF2-40B4-BE49-F238E27FC236}">
              <a16:creationId xmlns:a16="http://schemas.microsoft.com/office/drawing/2014/main" xmlns="" id="{284040A9-E6CF-4C26-9552-9D04400D54F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412" name="Picture 3593">
          <a:extLst>
            <a:ext uri="{FF2B5EF4-FFF2-40B4-BE49-F238E27FC236}">
              <a16:creationId xmlns:a16="http://schemas.microsoft.com/office/drawing/2014/main" xmlns="" id="{081605C6-00A3-4A93-BD62-46893DCDD63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413" name="Picture 3594">
          <a:extLst>
            <a:ext uri="{FF2B5EF4-FFF2-40B4-BE49-F238E27FC236}">
              <a16:creationId xmlns:a16="http://schemas.microsoft.com/office/drawing/2014/main" xmlns="" id="{7FB9C032-9C1A-4FEA-9E88-D97A33CCD51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414" name="Picture 3595">
          <a:extLst>
            <a:ext uri="{FF2B5EF4-FFF2-40B4-BE49-F238E27FC236}">
              <a16:creationId xmlns:a16="http://schemas.microsoft.com/office/drawing/2014/main" xmlns="" id="{7C559DC6-12D6-49B0-9DED-4BB32D1B3CB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415" name="Picture 3596">
          <a:extLst>
            <a:ext uri="{FF2B5EF4-FFF2-40B4-BE49-F238E27FC236}">
              <a16:creationId xmlns:a16="http://schemas.microsoft.com/office/drawing/2014/main" xmlns="" id="{D03F4AFD-4CF7-405B-BA99-F663E888214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416" name="Picture 3597">
          <a:extLst>
            <a:ext uri="{FF2B5EF4-FFF2-40B4-BE49-F238E27FC236}">
              <a16:creationId xmlns:a16="http://schemas.microsoft.com/office/drawing/2014/main" xmlns="" id="{B9007B31-2427-48E2-98AA-4AA06AEFB2D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417" name="Picture 3598">
          <a:extLst>
            <a:ext uri="{FF2B5EF4-FFF2-40B4-BE49-F238E27FC236}">
              <a16:creationId xmlns:a16="http://schemas.microsoft.com/office/drawing/2014/main" xmlns="" id="{BF9837BE-EFB3-44CF-B6EC-E22100DC56E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418" name="Picture 3599">
          <a:extLst>
            <a:ext uri="{FF2B5EF4-FFF2-40B4-BE49-F238E27FC236}">
              <a16:creationId xmlns:a16="http://schemas.microsoft.com/office/drawing/2014/main" xmlns="" id="{305AC49B-8BE4-4222-BFC8-30A266652AD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419" name="Picture 3600">
          <a:extLst>
            <a:ext uri="{FF2B5EF4-FFF2-40B4-BE49-F238E27FC236}">
              <a16:creationId xmlns:a16="http://schemas.microsoft.com/office/drawing/2014/main" xmlns="" id="{9F38DCBE-5B11-4874-9970-199847F4B9B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420" name="Picture 3601">
          <a:extLst>
            <a:ext uri="{FF2B5EF4-FFF2-40B4-BE49-F238E27FC236}">
              <a16:creationId xmlns:a16="http://schemas.microsoft.com/office/drawing/2014/main" xmlns="" id="{DF3C1A61-F8A2-4F76-958F-97B2DA9FE1D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421" name="Picture 3602">
          <a:extLst>
            <a:ext uri="{FF2B5EF4-FFF2-40B4-BE49-F238E27FC236}">
              <a16:creationId xmlns:a16="http://schemas.microsoft.com/office/drawing/2014/main" xmlns="" id="{C4E0EFBE-FB02-4BC2-BBC2-CF8CDE854D3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422" name="Picture 3603">
          <a:extLst>
            <a:ext uri="{FF2B5EF4-FFF2-40B4-BE49-F238E27FC236}">
              <a16:creationId xmlns:a16="http://schemas.microsoft.com/office/drawing/2014/main" xmlns="" id="{D9C72697-CDDB-40B4-ADA7-C71E2FB2956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423" name="Picture 3604">
          <a:extLst>
            <a:ext uri="{FF2B5EF4-FFF2-40B4-BE49-F238E27FC236}">
              <a16:creationId xmlns:a16="http://schemas.microsoft.com/office/drawing/2014/main" xmlns="" id="{00F02F6A-833A-449D-BEDA-9770380356E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424" name="Picture 3605">
          <a:extLst>
            <a:ext uri="{FF2B5EF4-FFF2-40B4-BE49-F238E27FC236}">
              <a16:creationId xmlns:a16="http://schemas.microsoft.com/office/drawing/2014/main" xmlns="" id="{4DAA8450-25F4-4374-96CC-341A062DDF2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425" name="Picture 3606">
          <a:extLst>
            <a:ext uri="{FF2B5EF4-FFF2-40B4-BE49-F238E27FC236}">
              <a16:creationId xmlns:a16="http://schemas.microsoft.com/office/drawing/2014/main" xmlns="" id="{7E64B4DD-3433-4E75-B7AB-ACEFEFAB027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426" name="Picture 3607">
          <a:extLst>
            <a:ext uri="{FF2B5EF4-FFF2-40B4-BE49-F238E27FC236}">
              <a16:creationId xmlns:a16="http://schemas.microsoft.com/office/drawing/2014/main" xmlns="" id="{1183E395-EF5A-4075-8DC5-715720A2655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427" name="Picture 3608">
          <a:extLst>
            <a:ext uri="{FF2B5EF4-FFF2-40B4-BE49-F238E27FC236}">
              <a16:creationId xmlns:a16="http://schemas.microsoft.com/office/drawing/2014/main" xmlns="" id="{F4E90D0B-D5F2-405E-AFD6-C988D81CA5C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428" name="Picture 3609">
          <a:extLst>
            <a:ext uri="{FF2B5EF4-FFF2-40B4-BE49-F238E27FC236}">
              <a16:creationId xmlns:a16="http://schemas.microsoft.com/office/drawing/2014/main" xmlns="" id="{05DD1D4F-5571-445F-9894-27C4D747A58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429" name="Picture 3610">
          <a:extLst>
            <a:ext uri="{FF2B5EF4-FFF2-40B4-BE49-F238E27FC236}">
              <a16:creationId xmlns:a16="http://schemas.microsoft.com/office/drawing/2014/main" xmlns="" id="{A9D2230B-6F8E-4508-A685-86E4EA95016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430" name="Picture 3611">
          <a:extLst>
            <a:ext uri="{FF2B5EF4-FFF2-40B4-BE49-F238E27FC236}">
              <a16:creationId xmlns:a16="http://schemas.microsoft.com/office/drawing/2014/main" xmlns="" id="{87ABE3F6-FBF1-4B1C-9612-45347E2E093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431" name="Picture 3612">
          <a:extLst>
            <a:ext uri="{FF2B5EF4-FFF2-40B4-BE49-F238E27FC236}">
              <a16:creationId xmlns:a16="http://schemas.microsoft.com/office/drawing/2014/main" xmlns="" id="{710BDBF4-3455-4C40-BB2C-A0B17763E73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432" name="Picture 3613">
          <a:extLst>
            <a:ext uri="{FF2B5EF4-FFF2-40B4-BE49-F238E27FC236}">
              <a16:creationId xmlns:a16="http://schemas.microsoft.com/office/drawing/2014/main" xmlns="" id="{E5F29EE9-9725-414C-9167-E9439A65BC0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433" name="Picture 3614">
          <a:extLst>
            <a:ext uri="{FF2B5EF4-FFF2-40B4-BE49-F238E27FC236}">
              <a16:creationId xmlns:a16="http://schemas.microsoft.com/office/drawing/2014/main" xmlns="" id="{4A2535B7-86D4-4653-AA2B-1344058B558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434" name="Picture 3615">
          <a:extLst>
            <a:ext uri="{FF2B5EF4-FFF2-40B4-BE49-F238E27FC236}">
              <a16:creationId xmlns:a16="http://schemas.microsoft.com/office/drawing/2014/main" xmlns="" id="{8595AC39-87E5-4FA2-AB7D-ECF362CBC52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435" name="Picture 3616">
          <a:extLst>
            <a:ext uri="{FF2B5EF4-FFF2-40B4-BE49-F238E27FC236}">
              <a16:creationId xmlns:a16="http://schemas.microsoft.com/office/drawing/2014/main" xmlns="" id="{FCAAFF33-AC3E-40B7-B2ED-FD4402974DF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436" name="Picture 3617">
          <a:extLst>
            <a:ext uri="{FF2B5EF4-FFF2-40B4-BE49-F238E27FC236}">
              <a16:creationId xmlns:a16="http://schemas.microsoft.com/office/drawing/2014/main" xmlns="" id="{ABCF76E2-3055-4498-8918-FE1644F1029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437" name="Picture 3618">
          <a:extLst>
            <a:ext uri="{FF2B5EF4-FFF2-40B4-BE49-F238E27FC236}">
              <a16:creationId xmlns:a16="http://schemas.microsoft.com/office/drawing/2014/main" xmlns="" id="{DEC68BD0-EE88-42B4-8CA0-3C76F6F6E02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438" name="Picture 3619">
          <a:extLst>
            <a:ext uri="{FF2B5EF4-FFF2-40B4-BE49-F238E27FC236}">
              <a16:creationId xmlns:a16="http://schemas.microsoft.com/office/drawing/2014/main" xmlns="" id="{2CB9AC2D-C05C-4875-9747-4A8345CEAD7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439" name="Picture 3620">
          <a:extLst>
            <a:ext uri="{FF2B5EF4-FFF2-40B4-BE49-F238E27FC236}">
              <a16:creationId xmlns:a16="http://schemas.microsoft.com/office/drawing/2014/main" xmlns="" id="{BE273BA5-0B68-48F8-BD2E-DB67338D4A6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440" name="Picture 3621">
          <a:extLst>
            <a:ext uri="{FF2B5EF4-FFF2-40B4-BE49-F238E27FC236}">
              <a16:creationId xmlns:a16="http://schemas.microsoft.com/office/drawing/2014/main" xmlns="" id="{67D4CC97-4D27-4E06-9E97-18656D1D4ED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441" name="Picture 3622">
          <a:extLst>
            <a:ext uri="{FF2B5EF4-FFF2-40B4-BE49-F238E27FC236}">
              <a16:creationId xmlns:a16="http://schemas.microsoft.com/office/drawing/2014/main" xmlns="" id="{39253855-C7BD-482D-8B08-5D78B12EA63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442" name="Picture 3623">
          <a:extLst>
            <a:ext uri="{FF2B5EF4-FFF2-40B4-BE49-F238E27FC236}">
              <a16:creationId xmlns:a16="http://schemas.microsoft.com/office/drawing/2014/main" xmlns="" id="{5B327133-30E1-4778-A389-C48013F2805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443" name="Picture 3624">
          <a:extLst>
            <a:ext uri="{FF2B5EF4-FFF2-40B4-BE49-F238E27FC236}">
              <a16:creationId xmlns:a16="http://schemas.microsoft.com/office/drawing/2014/main" xmlns="" id="{C077C88C-FA4C-44C0-A292-F8E04CC57CC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444" name="Picture 3625">
          <a:extLst>
            <a:ext uri="{FF2B5EF4-FFF2-40B4-BE49-F238E27FC236}">
              <a16:creationId xmlns:a16="http://schemas.microsoft.com/office/drawing/2014/main" xmlns="" id="{F770E772-62D5-44BA-8058-2CE7A9A6864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445" name="Picture 3626">
          <a:extLst>
            <a:ext uri="{FF2B5EF4-FFF2-40B4-BE49-F238E27FC236}">
              <a16:creationId xmlns:a16="http://schemas.microsoft.com/office/drawing/2014/main" xmlns="" id="{3A98E0E7-556B-4602-9B98-D17E543ECAB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446" name="Picture 3627">
          <a:extLst>
            <a:ext uri="{FF2B5EF4-FFF2-40B4-BE49-F238E27FC236}">
              <a16:creationId xmlns:a16="http://schemas.microsoft.com/office/drawing/2014/main" xmlns="" id="{B97341DC-0157-453B-9849-50149B8262C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447" name="Picture 3628">
          <a:extLst>
            <a:ext uri="{FF2B5EF4-FFF2-40B4-BE49-F238E27FC236}">
              <a16:creationId xmlns:a16="http://schemas.microsoft.com/office/drawing/2014/main" xmlns="" id="{288E4000-8330-467A-97F6-016D7B40043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598</xdr:row>
      <xdr:rowOff>0</xdr:rowOff>
    </xdr:from>
    <xdr:ext cx="76200" cy="161925"/>
    <xdr:pic>
      <xdr:nvPicPr>
        <xdr:cNvPr id="5448" name="Picture 3629">
          <a:extLst>
            <a:ext uri="{FF2B5EF4-FFF2-40B4-BE49-F238E27FC236}">
              <a16:creationId xmlns:a16="http://schemas.microsoft.com/office/drawing/2014/main" xmlns="" id="{50CF1570-86BF-4BDD-99D0-EDFB9264740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449" name="Text Box 2">
          <a:extLst>
            <a:ext uri="{FF2B5EF4-FFF2-40B4-BE49-F238E27FC236}">
              <a16:creationId xmlns:a16="http://schemas.microsoft.com/office/drawing/2014/main" xmlns="" id="{AB9B938E-0B58-4893-BD81-EA8EDB301353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450" name="Text Box 3">
          <a:extLst>
            <a:ext uri="{FF2B5EF4-FFF2-40B4-BE49-F238E27FC236}">
              <a16:creationId xmlns:a16="http://schemas.microsoft.com/office/drawing/2014/main" xmlns="" id="{01224BF3-D4D0-465E-BB8A-DC817FFEA9D8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451" name="Text Box 4">
          <a:extLst>
            <a:ext uri="{FF2B5EF4-FFF2-40B4-BE49-F238E27FC236}">
              <a16:creationId xmlns:a16="http://schemas.microsoft.com/office/drawing/2014/main" xmlns="" id="{B5271A60-1C40-41DC-BBBE-2C5DA31DB175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452" name="Text Box 5">
          <a:extLst>
            <a:ext uri="{FF2B5EF4-FFF2-40B4-BE49-F238E27FC236}">
              <a16:creationId xmlns:a16="http://schemas.microsoft.com/office/drawing/2014/main" xmlns="" id="{E6301D47-159F-46D0-83AA-2D7CA19D484D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453" name="Text Box 6">
          <a:extLst>
            <a:ext uri="{FF2B5EF4-FFF2-40B4-BE49-F238E27FC236}">
              <a16:creationId xmlns:a16="http://schemas.microsoft.com/office/drawing/2014/main" xmlns="" id="{BC38D672-3428-4C47-8676-DD4DCE586849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454" name="Text Box 7">
          <a:extLst>
            <a:ext uri="{FF2B5EF4-FFF2-40B4-BE49-F238E27FC236}">
              <a16:creationId xmlns:a16="http://schemas.microsoft.com/office/drawing/2014/main" xmlns="" id="{29D3C74F-B751-4206-A6DA-579BBB9C2A0A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455" name="Text Box 8">
          <a:extLst>
            <a:ext uri="{FF2B5EF4-FFF2-40B4-BE49-F238E27FC236}">
              <a16:creationId xmlns:a16="http://schemas.microsoft.com/office/drawing/2014/main" xmlns="" id="{9E3AE9D4-7E2D-4F34-A0BC-2A89BA169C72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456" name="Text Box 9">
          <a:extLst>
            <a:ext uri="{FF2B5EF4-FFF2-40B4-BE49-F238E27FC236}">
              <a16:creationId xmlns:a16="http://schemas.microsoft.com/office/drawing/2014/main" xmlns="" id="{460DAF41-3590-4E08-AF4E-F5809C1691C5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457" name="Text Box 10">
          <a:extLst>
            <a:ext uri="{FF2B5EF4-FFF2-40B4-BE49-F238E27FC236}">
              <a16:creationId xmlns:a16="http://schemas.microsoft.com/office/drawing/2014/main" xmlns="" id="{827B0144-C9DE-4743-9FB6-4E315CC87B1F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458" name="Text Box 11">
          <a:extLst>
            <a:ext uri="{FF2B5EF4-FFF2-40B4-BE49-F238E27FC236}">
              <a16:creationId xmlns:a16="http://schemas.microsoft.com/office/drawing/2014/main" xmlns="" id="{7D0E5034-8044-4D59-A446-4F869EA54BFB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459" name="Text Box 12">
          <a:extLst>
            <a:ext uri="{FF2B5EF4-FFF2-40B4-BE49-F238E27FC236}">
              <a16:creationId xmlns:a16="http://schemas.microsoft.com/office/drawing/2014/main" xmlns="" id="{23842879-3667-4088-970C-3E890C6206CF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460" name="Text Box 13">
          <a:extLst>
            <a:ext uri="{FF2B5EF4-FFF2-40B4-BE49-F238E27FC236}">
              <a16:creationId xmlns:a16="http://schemas.microsoft.com/office/drawing/2014/main" xmlns="" id="{616FBD17-5420-41EF-9587-8EC1AA4AD7EA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461" name="Text Box 14">
          <a:extLst>
            <a:ext uri="{FF2B5EF4-FFF2-40B4-BE49-F238E27FC236}">
              <a16:creationId xmlns:a16="http://schemas.microsoft.com/office/drawing/2014/main" xmlns="" id="{7ADCCB7C-F8F3-4BA5-AEE0-F1BC02B89833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462" name="Text Box 15">
          <a:extLst>
            <a:ext uri="{FF2B5EF4-FFF2-40B4-BE49-F238E27FC236}">
              <a16:creationId xmlns:a16="http://schemas.microsoft.com/office/drawing/2014/main" xmlns="" id="{1DA470BC-C012-426C-BADD-45D5511D4BC8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463" name="Text Box 16">
          <a:extLst>
            <a:ext uri="{FF2B5EF4-FFF2-40B4-BE49-F238E27FC236}">
              <a16:creationId xmlns:a16="http://schemas.microsoft.com/office/drawing/2014/main" xmlns="" id="{E48CB458-C0C1-4FD4-9AAF-3B93568CF658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464" name="Text Box 17">
          <a:extLst>
            <a:ext uri="{FF2B5EF4-FFF2-40B4-BE49-F238E27FC236}">
              <a16:creationId xmlns:a16="http://schemas.microsoft.com/office/drawing/2014/main" xmlns="" id="{0A762C49-B5FA-448E-9ABD-F3E5EE1D0BF8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465" name="Text Box 18">
          <a:extLst>
            <a:ext uri="{FF2B5EF4-FFF2-40B4-BE49-F238E27FC236}">
              <a16:creationId xmlns:a16="http://schemas.microsoft.com/office/drawing/2014/main" xmlns="" id="{CDD61A97-A56C-47B6-99B9-A573B1E15442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466" name="Text Box 19">
          <a:extLst>
            <a:ext uri="{FF2B5EF4-FFF2-40B4-BE49-F238E27FC236}">
              <a16:creationId xmlns:a16="http://schemas.microsoft.com/office/drawing/2014/main" xmlns="" id="{D952CAC3-4B53-43CE-B0F5-DD738267439C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467" name="Text Box 20">
          <a:extLst>
            <a:ext uri="{FF2B5EF4-FFF2-40B4-BE49-F238E27FC236}">
              <a16:creationId xmlns:a16="http://schemas.microsoft.com/office/drawing/2014/main" xmlns="" id="{98B7D033-9FF0-4A63-B05E-B43699C59D8D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468" name="Text Box 21">
          <a:extLst>
            <a:ext uri="{FF2B5EF4-FFF2-40B4-BE49-F238E27FC236}">
              <a16:creationId xmlns:a16="http://schemas.microsoft.com/office/drawing/2014/main" xmlns="" id="{72A18B55-EF9F-45FB-8D99-FEE514C58F30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469" name="Text Box 22">
          <a:extLst>
            <a:ext uri="{FF2B5EF4-FFF2-40B4-BE49-F238E27FC236}">
              <a16:creationId xmlns:a16="http://schemas.microsoft.com/office/drawing/2014/main" xmlns="" id="{B5479CEC-43CD-4A37-A766-1751F81A93FA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470" name="Text Box 23">
          <a:extLst>
            <a:ext uri="{FF2B5EF4-FFF2-40B4-BE49-F238E27FC236}">
              <a16:creationId xmlns:a16="http://schemas.microsoft.com/office/drawing/2014/main" xmlns="" id="{B7920E0E-4EED-44E4-A689-9D455033E74D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471" name="Text Box 24">
          <a:extLst>
            <a:ext uri="{FF2B5EF4-FFF2-40B4-BE49-F238E27FC236}">
              <a16:creationId xmlns:a16="http://schemas.microsoft.com/office/drawing/2014/main" xmlns="" id="{01F390E9-430C-4D8D-A63D-EE663CC550AC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472" name="Text Box 25">
          <a:extLst>
            <a:ext uri="{FF2B5EF4-FFF2-40B4-BE49-F238E27FC236}">
              <a16:creationId xmlns:a16="http://schemas.microsoft.com/office/drawing/2014/main" xmlns="" id="{53B69D36-E4F6-483F-9271-683B313EB306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473" name="Text Box 26">
          <a:extLst>
            <a:ext uri="{FF2B5EF4-FFF2-40B4-BE49-F238E27FC236}">
              <a16:creationId xmlns:a16="http://schemas.microsoft.com/office/drawing/2014/main" xmlns="" id="{0E11FA63-05CC-46EC-A55D-F439218FFE5B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474" name="Text Box 27">
          <a:extLst>
            <a:ext uri="{FF2B5EF4-FFF2-40B4-BE49-F238E27FC236}">
              <a16:creationId xmlns:a16="http://schemas.microsoft.com/office/drawing/2014/main" xmlns="" id="{E786D194-9E2C-4502-A90B-E109A0B41BA1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475" name="Text Box 28">
          <a:extLst>
            <a:ext uri="{FF2B5EF4-FFF2-40B4-BE49-F238E27FC236}">
              <a16:creationId xmlns:a16="http://schemas.microsoft.com/office/drawing/2014/main" xmlns="" id="{1BC2A682-28DF-4A26-ABFE-5686CE695668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476" name="Text Box 29">
          <a:extLst>
            <a:ext uri="{FF2B5EF4-FFF2-40B4-BE49-F238E27FC236}">
              <a16:creationId xmlns:a16="http://schemas.microsoft.com/office/drawing/2014/main" xmlns="" id="{C7DB796B-2833-4495-A1A0-F92980466F77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477" name="Text Box 30">
          <a:extLst>
            <a:ext uri="{FF2B5EF4-FFF2-40B4-BE49-F238E27FC236}">
              <a16:creationId xmlns:a16="http://schemas.microsoft.com/office/drawing/2014/main" xmlns="" id="{38BD6E05-C53F-4D8E-9EA1-93E882A23777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478" name="Text Box 31">
          <a:extLst>
            <a:ext uri="{FF2B5EF4-FFF2-40B4-BE49-F238E27FC236}">
              <a16:creationId xmlns:a16="http://schemas.microsoft.com/office/drawing/2014/main" xmlns="" id="{B77B3FB4-F091-4157-A058-8792ECC3168C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479" name="Text Box 32">
          <a:extLst>
            <a:ext uri="{FF2B5EF4-FFF2-40B4-BE49-F238E27FC236}">
              <a16:creationId xmlns:a16="http://schemas.microsoft.com/office/drawing/2014/main" xmlns="" id="{19E604D9-CCB9-44C2-A124-10160C51FFF4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480" name="Text Box 33">
          <a:extLst>
            <a:ext uri="{FF2B5EF4-FFF2-40B4-BE49-F238E27FC236}">
              <a16:creationId xmlns:a16="http://schemas.microsoft.com/office/drawing/2014/main" xmlns="" id="{5B2C420B-D6D8-40E9-AA0F-B1426186CC30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481" name="Text Box 34">
          <a:extLst>
            <a:ext uri="{FF2B5EF4-FFF2-40B4-BE49-F238E27FC236}">
              <a16:creationId xmlns:a16="http://schemas.microsoft.com/office/drawing/2014/main" xmlns="" id="{52966497-19E0-487D-B86F-25F4AF459C56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482" name="Text Box 35">
          <a:extLst>
            <a:ext uri="{FF2B5EF4-FFF2-40B4-BE49-F238E27FC236}">
              <a16:creationId xmlns:a16="http://schemas.microsoft.com/office/drawing/2014/main" xmlns="" id="{50841F39-1285-4285-AA12-364526916DF5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483" name="Text Box 36">
          <a:extLst>
            <a:ext uri="{FF2B5EF4-FFF2-40B4-BE49-F238E27FC236}">
              <a16:creationId xmlns:a16="http://schemas.microsoft.com/office/drawing/2014/main" xmlns="" id="{1D57F5D5-6A1B-4521-87AF-BEAD5CADAD01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484" name="Text Box 37">
          <a:extLst>
            <a:ext uri="{FF2B5EF4-FFF2-40B4-BE49-F238E27FC236}">
              <a16:creationId xmlns:a16="http://schemas.microsoft.com/office/drawing/2014/main" xmlns="" id="{69DB5063-AC9B-4843-BF7F-39CF98FF0890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485" name="Text Box 38">
          <a:extLst>
            <a:ext uri="{FF2B5EF4-FFF2-40B4-BE49-F238E27FC236}">
              <a16:creationId xmlns:a16="http://schemas.microsoft.com/office/drawing/2014/main" xmlns="" id="{7CB6559C-8F87-49DA-BC4C-2EE13C24E9D3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486" name="Text Box 39">
          <a:extLst>
            <a:ext uri="{FF2B5EF4-FFF2-40B4-BE49-F238E27FC236}">
              <a16:creationId xmlns:a16="http://schemas.microsoft.com/office/drawing/2014/main" xmlns="" id="{49BA3B6F-D8E0-494C-8958-E3E7AA83228B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487" name="Text Box 40">
          <a:extLst>
            <a:ext uri="{FF2B5EF4-FFF2-40B4-BE49-F238E27FC236}">
              <a16:creationId xmlns:a16="http://schemas.microsoft.com/office/drawing/2014/main" xmlns="" id="{83D8C3DB-90EA-4B22-9860-A1EEF2B007C0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488" name="Text Box 41">
          <a:extLst>
            <a:ext uri="{FF2B5EF4-FFF2-40B4-BE49-F238E27FC236}">
              <a16:creationId xmlns:a16="http://schemas.microsoft.com/office/drawing/2014/main" xmlns="" id="{70753E20-C42B-4A73-83AC-2B55CC17F7D3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489" name="Text Box 42">
          <a:extLst>
            <a:ext uri="{FF2B5EF4-FFF2-40B4-BE49-F238E27FC236}">
              <a16:creationId xmlns:a16="http://schemas.microsoft.com/office/drawing/2014/main" xmlns="" id="{CBA70737-2190-4D4A-A289-911B6D8795FF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490" name="Text Box 43">
          <a:extLst>
            <a:ext uri="{FF2B5EF4-FFF2-40B4-BE49-F238E27FC236}">
              <a16:creationId xmlns:a16="http://schemas.microsoft.com/office/drawing/2014/main" xmlns="" id="{0673D5AD-FF6A-4CB7-ADD6-D0BC07B15E58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491" name="Text Box 44">
          <a:extLst>
            <a:ext uri="{FF2B5EF4-FFF2-40B4-BE49-F238E27FC236}">
              <a16:creationId xmlns:a16="http://schemas.microsoft.com/office/drawing/2014/main" xmlns="" id="{3F5CB805-DD43-43FD-89A4-DC67ECFD0B47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492" name="Text Box 45">
          <a:extLst>
            <a:ext uri="{FF2B5EF4-FFF2-40B4-BE49-F238E27FC236}">
              <a16:creationId xmlns:a16="http://schemas.microsoft.com/office/drawing/2014/main" xmlns="" id="{B1AE1823-45C4-4092-B8FA-2958DCEF0D7A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493" name="Text Box 46">
          <a:extLst>
            <a:ext uri="{FF2B5EF4-FFF2-40B4-BE49-F238E27FC236}">
              <a16:creationId xmlns:a16="http://schemas.microsoft.com/office/drawing/2014/main" xmlns="" id="{B6149450-DB3E-4CEC-A93B-C1C832D83A90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494" name="Text Box 47">
          <a:extLst>
            <a:ext uri="{FF2B5EF4-FFF2-40B4-BE49-F238E27FC236}">
              <a16:creationId xmlns:a16="http://schemas.microsoft.com/office/drawing/2014/main" xmlns="" id="{7DA5E863-2BFB-4566-B9FE-0FA67BD9149F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495" name="Text Box 48">
          <a:extLst>
            <a:ext uri="{FF2B5EF4-FFF2-40B4-BE49-F238E27FC236}">
              <a16:creationId xmlns:a16="http://schemas.microsoft.com/office/drawing/2014/main" xmlns="" id="{8A7E7BE3-325A-4A38-9685-C570557ED317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496" name="Text Box 49">
          <a:extLst>
            <a:ext uri="{FF2B5EF4-FFF2-40B4-BE49-F238E27FC236}">
              <a16:creationId xmlns:a16="http://schemas.microsoft.com/office/drawing/2014/main" xmlns="" id="{B92D3D7E-3159-4977-9395-96DEE4B74B3B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497" name="Text Box 50">
          <a:extLst>
            <a:ext uri="{FF2B5EF4-FFF2-40B4-BE49-F238E27FC236}">
              <a16:creationId xmlns:a16="http://schemas.microsoft.com/office/drawing/2014/main" xmlns="" id="{00B7E82B-7C30-491D-A8D9-A04779B21642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498" name="Text Box 51">
          <a:extLst>
            <a:ext uri="{FF2B5EF4-FFF2-40B4-BE49-F238E27FC236}">
              <a16:creationId xmlns:a16="http://schemas.microsoft.com/office/drawing/2014/main" xmlns="" id="{39E9B295-D158-476A-9833-C22D0B969BBA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499" name="Text Box 52">
          <a:extLst>
            <a:ext uri="{FF2B5EF4-FFF2-40B4-BE49-F238E27FC236}">
              <a16:creationId xmlns:a16="http://schemas.microsoft.com/office/drawing/2014/main" xmlns="" id="{03B58C27-8A13-4954-AEE5-9668B28EE594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500" name="Text Box 53">
          <a:extLst>
            <a:ext uri="{FF2B5EF4-FFF2-40B4-BE49-F238E27FC236}">
              <a16:creationId xmlns:a16="http://schemas.microsoft.com/office/drawing/2014/main" xmlns="" id="{36A58C47-C7DF-4ED2-8975-D2B45F18185C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501" name="Text Box 54">
          <a:extLst>
            <a:ext uri="{FF2B5EF4-FFF2-40B4-BE49-F238E27FC236}">
              <a16:creationId xmlns:a16="http://schemas.microsoft.com/office/drawing/2014/main" xmlns="" id="{06085FDD-0BE4-47C4-A736-65F2E9173045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502" name="Text Box 55">
          <a:extLst>
            <a:ext uri="{FF2B5EF4-FFF2-40B4-BE49-F238E27FC236}">
              <a16:creationId xmlns:a16="http://schemas.microsoft.com/office/drawing/2014/main" xmlns="" id="{781DD164-5AD9-4608-9C09-58D55D6FB148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503" name="Text Box 56">
          <a:extLst>
            <a:ext uri="{FF2B5EF4-FFF2-40B4-BE49-F238E27FC236}">
              <a16:creationId xmlns:a16="http://schemas.microsoft.com/office/drawing/2014/main" xmlns="" id="{72C9C80F-C2E3-411E-B962-69AA98B59744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504" name="Text Box 57">
          <a:extLst>
            <a:ext uri="{FF2B5EF4-FFF2-40B4-BE49-F238E27FC236}">
              <a16:creationId xmlns:a16="http://schemas.microsoft.com/office/drawing/2014/main" xmlns="" id="{B0F1D85B-D50B-4751-A1E9-144B9A85B70E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505" name="Text Box 58">
          <a:extLst>
            <a:ext uri="{FF2B5EF4-FFF2-40B4-BE49-F238E27FC236}">
              <a16:creationId xmlns:a16="http://schemas.microsoft.com/office/drawing/2014/main" xmlns="" id="{C160AB5B-CC17-4CC7-AF24-44B194DED998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506" name="Text Box 59">
          <a:extLst>
            <a:ext uri="{FF2B5EF4-FFF2-40B4-BE49-F238E27FC236}">
              <a16:creationId xmlns:a16="http://schemas.microsoft.com/office/drawing/2014/main" xmlns="" id="{886E2E43-0759-42F4-9F5A-EF93BAB15784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507" name="Text Box 60">
          <a:extLst>
            <a:ext uri="{FF2B5EF4-FFF2-40B4-BE49-F238E27FC236}">
              <a16:creationId xmlns:a16="http://schemas.microsoft.com/office/drawing/2014/main" xmlns="" id="{0BD264C6-2C0B-4D22-B069-11F49681C73E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508" name="Text Box 61">
          <a:extLst>
            <a:ext uri="{FF2B5EF4-FFF2-40B4-BE49-F238E27FC236}">
              <a16:creationId xmlns:a16="http://schemas.microsoft.com/office/drawing/2014/main" xmlns="" id="{94FA86D0-54D1-4C4B-B638-ED374B29F22C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509" name="Text Box 62">
          <a:extLst>
            <a:ext uri="{FF2B5EF4-FFF2-40B4-BE49-F238E27FC236}">
              <a16:creationId xmlns:a16="http://schemas.microsoft.com/office/drawing/2014/main" xmlns="" id="{FE694C1B-D5D5-4B05-9CF9-E1E62BAAE49C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510" name="Text Box 63">
          <a:extLst>
            <a:ext uri="{FF2B5EF4-FFF2-40B4-BE49-F238E27FC236}">
              <a16:creationId xmlns:a16="http://schemas.microsoft.com/office/drawing/2014/main" xmlns="" id="{AEBB4B12-A0D7-4C92-869D-D11E3EA7CCC2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511" name="Text Box 64">
          <a:extLst>
            <a:ext uri="{FF2B5EF4-FFF2-40B4-BE49-F238E27FC236}">
              <a16:creationId xmlns:a16="http://schemas.microsoft.com/office/drawing/2014/main" xmlns="" id="{573A68A2-A7D1-41DF-9D88-3595E8BB7E5F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512" name="Text Box 65">
          <a:extLst>
            <a:ext uri="{FF2B5EF4-FFF2-40B4-BE49-F238E27FC236}">
              <a16:creationId xmlns:a16="http://schemas.microsoft.com/office/drawing/2014/main" xmlns="" id="{1BCBF6F0-FAE7-40B9-931E-BC5877D3B479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513" name="Text Box 66">
          <a:extLst>
            <a:ext uri="{FF2B5EF4-FFF2-40B4-BE49-F238E27FC236}">
              <a16:creationId xmlns:a16="http://schemas.microsoft.com/office/drawing/2014/main" xmlns="" id="{ED7D9CB5-72DF-4368-A7D2-AC2A84E061FF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514" name="Text Box 67">
          <a:extLst>
            <a:ext uri="{FF2B5EF4-FFF2-40B4-BE49-F238E27FC236}">
              <a16:creationId xmlns:a16="http://schemas.microsoft.com/office/drawing/2014/main" xmlns="" id="{C9A06583-4CDD-4892-8DBE-2A322F7F5B63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515" name="Text Box 68">
          <a:extLst>
            <a:ext uri="{FF2B5EF4-FFF2-40B4-BE49-F238E27FC236}">
              <a16:creationId xmlns:a16="http://schemas.microsoft.com/office/drawing/2014/main" xmlns="" id="{7E63EF05-A1BA-43CA-A83A-FEC4A3D66DBC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516" name="Text Box 69">
          <a:extLst>
            <a:ext uri="{FF2B5EF4-FFF2-40B4-BE49-F238E27FC236}">
              <a16:creationId xmlns:a16="http://schemas.microsoft.com/office/drawing/2014/main" xmlns="" id="{7A3F5522-07D9-453F-A750-E086FC9756D3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517" name="Text Box 70">
          <a:extLst>
            <a:ext uri="{FF2B5EF4-FFF2-40B4-BE49-F238E27FC236}">
              <a16:creationId xmlns:a16="http://schemas.microsoft.com/office/drawing/2014/main" xmlns="" id="{AC8DBA03-4603-47D9-8C96-36B39E0C22DD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518" name="Text Box 71">
          <a:extLst>
            <a:ext uri="{FF2B5EF4-FFF2-40B4-BE49-F238E27FC236}">
              <a16:creationId xmlns:a16="http://schemas.microsoft.com/office/drawing/2014/main" xmlns="" id="{3894FFBD-79D4-46BA-AE22-E43B05F580D4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519" name="Text Box 72">
          <a:extLst>
            <a:ext uri="{FF2B5EF4-FFF2-40B4-BE49-F238E27FC236}">
              <a16:creationId xmlns:a16="http://schemas.microsoft.com/office/drawing/2014/main" xmlns="" id="{526F73E1-F868-450C-8487-88E95D8D2528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520" name="Text Box 73">
          <a:extLst>
            <a:ext uri="{FF2B5EF4-FFF2-40B4-BE49-F238E27FC236}">
              <a16:creationId xmlns:a16="http://schemas.microsoft.com/office/drawing/2014/main" xmlns="" id="{1FC0F5D8-2220-47A1-814C-D3B8D249AEF5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521" name="Text Box 74">
          <a:extLst>
            <a:ext uri="{FF2B5EF4-FFF2-40B4-BE49-F238E27FC236}">
              <a16:creationId xmlns:a16="http://schemas.microsoft.com/office/drawing/2014/main" xmlns="" id="{A7EF1916-83F0-48A8-91A5-25B7ECAFE6F9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522" name="Text Box 75">
          <a:extLst>
            <a:ext uri="{FF2B5EF4-FFF2-40B4-BE49-F238E27FC236}">
              <a16:creationId xmlns:a16="http://schemas.microsoft.com/office/drawing/2014/main" xmlns="" id="{7D9E5195-E263-4B17-9AEA-E5201A907D66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523" name="Text Box 76">
          <a:extLst>
            <a:ext uri="{FF2B5EF4-FFF2-40B4-BE49-F238E27FC236}">
              <a16:creationId xmlns:a16="http://schemas.microsoft.com/office/drawing/2014/main" xmlns="" id="{FE91FBBA-5826-4D79-9CBA-E30EF4A099F1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524" name="Text Box 77">
          <a:extLst>
            <a:ext uri="{FF2B5EF4-FFF2-40B4-BE49-F238E27FC236}">
              <a16:creationId xmlns:a16="http://schemas.microsoft.com/office/drawing/2014/main" xmlns="" id="{FCC3F439-7DCA-4C10-A63F-AD35B4A0FE65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525" name="Text Box 78">
          <a:extLst>
            <a:ext uri="{FF2B5EF4-FFF2-40B4-BE49-F238E27FC236}">
              <a16:creationId xmlns:a16="http://schemas.microsoft.com/office/drawing/2014/main" xmlns="" id="{83685981-321B-4500-99CC-CABC2EE8697C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526" name="Text Box 79">
          <a:extLst>
            <a:ext uri="{FF2B5EF4-FFF2-40B4-BE49-F238E27FC236}">
              <a16:creationId xmlns:a16="http://schemas.microsoft.com/office/drawing/2014/main" xmlns="" id="{D61018B2-01D7-477D-B7E0-FF37723F1967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527" name="Text Box 80">
          <a:extLst>
            <a:ext uri="{FF2B5EF4-FFF2-40B4-BE49-F238E27FC236}">
              <a16:creationId xmlns:a16="http://schemas.microsoft.com/office/drawing/2014/main" xmlns="" id="{9D4EB8D1-911D-4E58-A5A2-3D114944E199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528" name="Text Box 81">
          <a:extLst>
            <a:ext uri="{FF2B5EF4-FFF2-40B4-BE49-F238E27FC236}">
              <a16:creationId xmlns:a16="http://schemas.microsoft.com/office/drawing/2014/main" xmlns="" id="{B5E6A158-A50D-4F2A-80DE-CFE642E90B56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529" name="Text Box 82">
          <a:extLst>
            <a:ext uri="{FF2B5EF4-FFF2-40B4-BE49-F238E27FC236}">
              <a16:creationId xmlns:a16="http://schemas.microsoft.com/office/drawing/2014/main" xmlns="" id="{52388DA8-6E79-4D5B-8421-01EDC8E999FF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530" name="Text Box 83">
          <a:extLst>
            <a:ext uri="{FF2B5EF4-FFF2-40B4-BE49-F238E27FC236}">
              <a16:creationId xmlns:a16="http://schemas.microsoft.com/office/drawing/2014/main" xmlns="" id="{26546258-DD31-4D0C-AF6C-06FE4D4B4993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531" name="Text Box 84">
          <a:extLst>
            <a:ext uri="{FF2B5EF4-FFF2-40B4-BE49-F238E27FC236}">
              <a16:creationId xmlns:a16="http://schemas.microsoft.com/office/drawing/2014/main" xmlns="" id="{935EDF7C-3300-4B22-88F1-C7FFA7DE55B0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532" name="Text Box 85">
          <a:extLst>
            <a:ext uri="{FF2B5EF4-FFF2-40B4-BE49-F238E27FC236}">
              <a16:creationId xmlns:a16="http://schemas.microsoft.com/office/drawing/2014/main" xmlns="" id="{CC15E34E-59C3-44F0-AAB5-C02717E679B6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533" name="Text Box 86">
          <a:extLst>
            <a:ext uri="{FF2B5EF4-FFF2-40B4-BE49-F238E27FC236}">
              <a16:creationId xmlns:a16="http://schemas.microsoft.com/office/drawing/2014/main" xmlns="" id="{03D20DD7-9BFE-4441-8F87-BB77C7E32229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534" name="Text Box 87">
          <a:extLst>
            <a:ext uri="{FF2B5EF4-FFF2-40B4-BE49-F238E27FC236}">
              <a16:creationId xmlns:a16="http://schemas.microsoft.com/office/drawing/2014/main" xmlns="" id="{D259DDC0-0EB6-40FA-917E-9E73D5CF3641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535" name="Text Box 88">
          <a:extLst>
            <a:ext uri="{FF2B5EF4-FFF2-40B4-BE49-F238E27FC236}">
              <a16:creationId xmlns:a16="http://schemas.microsoft.com/office/drawing/2014/main" xmlns="" id="{936B6D1F-24B3-4B77-B6EE-09A3AF2BE4AE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536" name="Text Box 89">
          <a:extLst>
            <a:ext uri="{FF2B5EF4-FFF2-40B4-BE49-F238E27FC236}">
              <a16:creationId xmlns:a16="http://schemas.microsoft.com/office/drawing/2014/main" xmlns="" id="{92083B7A-9941-4064-AF4C-F970A7E220DB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537" name="Text Box 90">
          <a:extLst>
            <a:ext uri="{FF2B5EF4-FFF2-40B4-BE49-F238E27FC236}">
              <a16:creationId xmlns:a16="http://schemas.microsoft.com/office/drawing/2014/main" xmlns="" id="{1B2B9F83-0C24-4532-B349-71A52B591B5D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538" name="Text Box 91">
          <a:extLst>
            <a:ext uri="{FF2B5EF4-FFF2-40B4-BE49-F238E27FC236}">
              <a16:creationId xmlns:a16="http://schemas.microsoft.com/office/drawing/2014/main" xmlns="" id="{1FE02A7B-1A96-4AA8-97D4-834A3DD09C5A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539" name="Text Box 92">
          <a:extLst>
            <a:ext uri="{FF2B5EF4-FFF2-40B4-BE49-F238E27FC236}">
              <a16:creationId xmlns:a16="http://schemas.microsoft.com/office/drawing/2014/main" xmlns="" id="{5906E10F-1FA8-493C-B2B6-BB9E8C01085C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540" name="Text Box 93">
          <a:extLst>
            <a:ext uri="{FF2B5EF4-FFF2-40B4-BE49-F238E27FC236}">
              <a16:creationId xmlns:a16="http://schemas.microsoft.com/office/drawing/2014/main" xmlns="" id="{F1582EED-C729-4E59-B973-3ED9F439B817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541" name="Text Box 94">
          <a:extLst>
            <a:ext uri="{FF2B5EF4-FFF2-40B4-BE49-F238E27FC236}">
              <a16:creationId xmlns:a16="http://schemas.microsoft.com/office/drawing/2014/main" xmlns="" id="{596B211B-2475-4D41-8001-B8145FA6E6D3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542" name="Text Box 95">
          <a:extLst>
            <a:ext uri="{FF2B5EF4-FFF2-40B4-BE49-F238E27FC236}">
              <a16:creationId xmlns:a16="http://schemas.microsoft.com/office/drawing/2014/main" xmlns="" id="{4F3EF67D-631A-4585-BBCB-9381888D7AB8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543" name="Text Box 96">
          <a:extLst>
            <a:ext uri="{FF2B5EF4-FFF2-40B4-BE49-F238E27FC236}">
              <a16:creationId xmlns:a16="http://schemas.microsoft.com/office/drawing/2014/main" xmlns="" id="{A9E3BBA7-6B0F-4B79-88F2-03C208712408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544" name="Text Box 97">
          <a:extLst>
            <a:ext uri="{FF2B5EF4-FFF2-40B4-BE49-F238E27FC236}">
              <a16:creationId xmlns:a16="http://schemas.microsoft.com/office/drawing/2014/main" xmlns="" id="{48A5ABF9-3A17-44AC-93EB-846D738117BF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545" name="Text Box 98">
          <a:extLst>
            <a:ext uri="{FF2B5EF4-FFF2-40B4-BE49-F238E27FC236}">
              <a16:creationId xmlns:a16="http://schemas.microsoft.com/office/drawing/2014/main" xmlns="" id="{6D6EC98F-7286-4AB8-958E-2F3CE61C6305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546" name="Text Box 99">
          <a:extLst>
            <a:ext uri="{FF2B5EF4-FFF2-40B4-BE49-F238E27FC236}">
              <a16:creationId xmlns:a16="http://schemas.microsoft.com/office/drawing/2014/main" xmlns="" id="{EC2CD6AC-0F01-4EB3-A625-39EE15BC6053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547" name="Text Box 100">
          <a:extLst>
            <a:ext uri="{FF2B5EF4-FFF2-40B4-BE49-F238E27FC236}">
              <a16:creationId xmlns:a16="http://schemas.microsoft.com/office/drawing/2014/main" xmlns="" id="{2A4715F0-5309-49BC-A106-A015A6CED9B1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548" name="Text Box 101">
          <a:extLst>
            <a:ext uri="{FF2B5EF4-FFF2-40B4-BE49-F238E27FC236}">
              <a16:creationId xmlns:a16="http://schemas.microsoft.com/office/drawing/2014/main" xmlns="" id="{F63C2ED2-1742-44DC-A5B6-874A7483D7AB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549" name="Text Box 102">
          <a:extLst>
            <a:ext uri="{FF2B5EF4-FFF2-40B4-BE49-F238E27FC236}">
              <a16:creationId xmlns:a16="http://schemas.microsoft.com/office/drawing/2014/main" xmlns="" id="{B6FB3537-E9AB-4AE6-9DF9-D40FC95CF733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550" name="Text Box 103">
          <a:extLst>
            <a:ext uri="{FF2B5EF4-FFF2-40B4-BE49-F238E27FC236}">
              <a16:creationId xmlns:a16="http://schemas.microsoft.com/office/drawing/2014/main" xmlns="" id="{82BB4E3D-258A-48CB-9FE4-EEE39C2E4F09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551" name="Text Box 104">
          <a:extLst>
            <a:ext uri="{FF2B5EF4-FFF2-40B4-BE49-F238E27FC236}">
              <a16:creationId xmlns:a16="http://schemas.microsoft.com/office/drawing/2014/main" xmlns="" id="{FE7274E8-B909-4681-9972-95A5FC9CC4CC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552" name="Text Box 105">
          <a:extLst>
            <a:ext uri="{FF2B5EF4-FFF2-40B4-BE49-F238E27FC236}">
              <a16:creationId xmlns:a16="http://schemas.microsoft.com/office/drawing/2014/main" xmlns="" id="{B0C11C59-5CB2-4D1E-93B8-280C91F66124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553" name="Text Box 106">
          <a:extLst>
            <a:ext uri="{FF2B5EF4-FFF2-40B4-BE49-F238E27FC236}">
              <a16:creationId xmlns:a16="http://schemas.microsoft.com/office/drawing/2014/main" xmlns="" id="{46B9EBE6-EB8E-4A83-9489-B97BE6DDCFDC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554" name="Text Box 107">
          <a:extLst>
            <a:ext uri="{FF2B5EF4-FFF2-40B4-BE49-F238E27FC236}">
              <a16:creationId xmlns:a16="http://schemas.microsoft.com/office/drawing/2014/main" xmlns="" id="{B1E7CC08-29A4-4DA3-83AD-C22FFB639230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555" name="Text Box 108">
          <a:extLst>
            <a:ext uri="{FF2B5EF4-FFF2-40B4-BE49-F238E27FC236}">
              <a16:creationId xmlns:a16="http://schemas.microsoft.com/office/drawing/2014/main" xmlns="" id="{1B944D9C-327D-4661-B874-57BDD5859FA5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556" name="Text Box 109">
          <a:extLst>
            <a:ext uri="{FF2B5EF4-FFF2-40B4-BE49-F238E27FC236}">
              <a16:creationId xmlns:a16="http://schemas.microsoft.com/office/drawing/2014/main" xmlns="" id="{160ACD3B-3988-48AA-859F-19C570AC970A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557" name="Text Box 110">
          <a:extLst>
            <a:ext uri="{FF2B5EF4-FFF2-40B4-BE49-F238E27FC236}">
              <a16:creationId xmlns:a16="http://schemas.microsoft.com/office/drawing/2014/main" xmlns="" id="{20ADB31A-7D93-4F75-B05A-62A276FAB89C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558" name="Text Box 111">
          <a:extLst>
            <a:ext uri="{FF2B5EF4-FFF2-40B4-BE49-F238E27FC236}">
              <a16:creationId xmlns:a16="http://schemas.microsoft.com/office/drawing/2014/main" xmlns="" id="{46FB8F01-4BFC-4387-A7C9-CF42DC10B11A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559" name="Text Box 112">
          <a:extLst>
            <a:ext uri="{FF2B5EF4-FFF2-40B4-BE49-F238E27FC236}">
              <a16:creationId xmlns:a16="http://schemas.microsoft.com/office/drawing/2014/main" xmlns="" id="{3F10709A-442B-40BC-A682-B987B3AF30FD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560" name="Text Box 113">
          <a:extLst>
            <a:ext uri="{FF2B5EF4-FFF2-40B4-BE49-F238E27FC236}">
              <a16:creationId xmlns:a16="http://schemas.microsoft.com/office/drawing/2014/main" xmlns="" id="{91301FDD-CE4C-492D-9F7D-0AEC99210BA2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561" name="Text Box 114">
          <a:extLst>
            <a:ext uri="{FF2B5EF4-FFF2-40B4-BE49-F238E27FC236}">
              <a16:creationId xmlns:a16="http://schemas.microsoft.com/office/drawing/2014/main" xmlns="" id="{CA25B226-0304-4EF2-B6AD-450472FC426D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562" name="Text Box 115">
          <a:extLst>
            <a:ext uri="{FF2B5EF4-FFF2-40B4-BE49-F238E27FC236}">
              <a16:creationId xmlns:a16="http://schemas.microsoft.com/office/drawing/2014/main" xmlns="" id="{FC235AD3-D1C0-4F0E-89B7-8CFAD0CDEFC5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563" name="Text Box 116">
          <a:extLst>
            <a:ext uri="{FF2B5EF4-FFF2-40B4-BE49-F238E27FC236}">
              <a16:creationId xmlns:a16="http://schemas.microsoft.com/office/drawing/2014/main" xmlns="" id="{535CECDE-2BD0-45E5-8849-34BFDC53DBA9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564" name="Text Box 117">
          <a:extLst>
            <a:ext uri="{FF2B5EF4-FFF2-40B4-BE49-F238E27FC236}">
              <a16:creationId xmlns:a16="http://schemas.microsoft.com/office/drawing/2014/main" xmlns="" id="{70EF3CF4-3E66-4F5D-A620-4233453E72BE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565" name="Text Box 118">
          <a:extLst>
            <a:ext uri="{FF2B5EF4-FFF2-40B4-BE49-F238E27FC236}">
              <a16:creationId xmlns:a16="http://schemas.microsoft.com/office/drawing/2014/main" xmlns="" id="{0F4A0DF9-A52F-4454-9AB9-6FB8D9078239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566" name="Text Box 119">
          <a:extLst>
            <a:ext uri="{FF2B5EF4-FFF2-40B4-BE49-F238E27FC236}">
              <a16:creationId xmlns:a16="http://schemas.microsoft.com/office/drawing/2014/main" xmlns="" id="{898508D8-3C72-42C5-A93E-02472D39937E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567" name="Text Box 120">
          <a:extLst>
            <a:ext uri="{FF2B5EF4-FFF2-40B4-BE49-F238E27FC236}">
              <a16:creationId xmlns:a16="http://schemas.microsoft.com/office/drawing/2014/main" xmlns="" id="{F5345F06-CDB3-4EEB-B56A-A6C63A23D66E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568" name="Text Box 121">
          <a:extLst>
            <a:ext uri="{FF2B5EF4-FFF2-40B4-BE49-F238E27FC236}">
              <a16:creationId xmlns:a16="http://schemas.microsoft.com/office/drawing/2014/main" xmlns="" id="{2C586949-EEC0-4C77-8370-764772C20181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569" name="Text Box 122">
          <a:extLst>
            <a:ext uri="{FF2B5EF4-FFF2-40B4-BE49-F238E27FC236}">
              <a16:creationId xmlns:a16="http://schemas.microsoft.com/office/drawing/2014/main" xmlns="" id="{517FDD48-F686-4CC3-A9F9-E88FB58C5101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570" name="Text Box 123">
          <a:extLst>
            <a:ext uri="{FF2B5EF4-FFF2-40B4-BE49-F238E27FC236}">
              <a16:creationId xmlns:a16="http://schemas.microsoft.com/office/drawing/2014/main" xmlns="" id="{D9E1DB36-6305-4A77-B17F-30FB2C75D465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571" name="Text Box 124">
          <a:extLst>
            <a:ext uri="{FF2B5EF4-FFF2-40B4-BE49-F238E27FC236}">
              <a16:creationId xmlns:a16="http://schemas.microsoft.com/office/drawing/2014/main" xmlns="" id="{8892E757-1979-4D32-BB88-F8545C4B8F44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572" name="Text Box 125">
          <a:extLst>
            <a:ext uri="{FF2B5EF4-FFF2-40B4-BE49-F238E27FC236}">
              <a16:creationId xmlns:a16="http://schemas.microsoft.com/office/drawing/2014/main" xmlns="" id="{E5F3873E-E974-48BF-9654-C56AADE6DF20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573" name="Text Box 126">
          <a:extLst>
            <a:ext uri="{FF2B5EF4-FFF2-40B4-BE49-F238E27FC236}">
              <a16:creationId xmlns:a16="http://schemas.microsoft.com/office/drawing/2014/main" xmlns="" id="{F44D8795-D960-4CD7-80AF-692E39231AD6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574" name="Text Box 127">
          <a:extLst>
            <a:ext uri="{FF2B5EF4-FFF2-40B4-BE49-F238E27FC236}">
              <a16:creationId xmlns:a16="http://schemas.microsoft.com/office/drawing/2014/main" xmlns="" id="{6BC9941A-8A0B-4634-B25D-91CE3106B221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575" name="Text Box 128">
          <a:extLst>
            <a:ext uri="{FF2B5EF4-FFF2-40B4-BE49-F238E27FC236}">
              <a16:creationId xmlns:a16="http://schemas.microsoft.com/office/drawing/2014/main" xmlns="" id="{AFE34C95-4F2F-4E69-B592-A8536C6FC512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576" name="Text Box 129">
          <a:extLst>
            <a:ext uri="{FF2B5EF4-FFF2-40B4-BE49-F238E27FC236}">
              <a16:creationId xmlns:a16="http://schemas.microsoft.com/office/drawing/2014/main" xmlns="" id="{45EF43DE-CC45-4E1E-9C10-086C465EC3AD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577" name="Text Box 130">
          <a:extLst>
            <a:ext uri="{FF2B5EF4-FFF2-40B4-BE49-F238E27FC236}">
              <a16:creationId xmlns:a16="http://schemas.microsoft.com/office/drawing/2014/main" xmlns="" id="{587FFA70-43E2-4420-BE39-136E59154D48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578" name="Text Box 131">
          <a:extLst>
            <a:ext uri="{FF2B5EF4-FFF2-40B4-BE49-F238E27FC236}">
              <a16:creationId xmlns:a16="http://schemas.microsoft.com/office/drawing/2014/main" xmlns="" id="{F809025B-609D-4EAF-800C-193470C88DA9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579" name="Text Box 132">
          <a:extLst>
            <a:ext uri="{FF2B5EF4-FFF2-40B4-BE49-F238E27FC236}">
              <a16:creationId xmlns:a16="http://schemas.microsoft.com/office/drawing/2014/main" xmlns="" id="{7827B9A9-E0E7-445A-857B-544C26C1B0C1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580" name="Text Box 133">
          <a:extLst>
            <a:ext uri="{FF2B5EF4-FFF2-40B4-BE49-F238E27FC236}">
              <a16:creationId xmlns:a16="http://schemas.microsoft.com/office/drawing/2014/main" xmlns="" id="{EAD953FA-8DE7-44B7-80AF-696C8805759E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581" name="Text Box 134">
          <a:extLst>
            <a:ext uri="{FF2B5EF4-FFF2-40B4-BE49-F238E27FC236}">
              <a16:creationId xmlns:a16="http://schemas.microsoft.com/office/drawing/2014/main" xmlns="" id="{02BA451B-224E-4A46-8D1B-1B93FF62823D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582" name="Text Box 135">
          <a:extLst>
            <a:ext uri="{FF2B5EF4-FFF2-40B4-BE49-F238E27FC236}">
              <a16:creationId xmlns:a16="http://schemas.microsoft.com/office/drawing/2014/main" xmlns="" id="{2A6D47B9-4013-4C07-B5CE-A233FAD0C868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583" name="Text Box 136">
          <a:extLst>
            <a:ext uri="{FF2B5EF4-FFF2-40B4-BE49-F238E27FC236}">
              <a16:creationId xmlns:a16="http://schemas.microsoft.com/office/drawing/2014/main" xmlns="" id="{20903BDD-002A-4C40-9446-0FF1A1EA8FBC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584" name="Text Box 137">
          <a:extLst>
            <a:ext uri="{FF2B5EF4-FFF2-40B4-BE49-F238E27FC236}">
              <a16:creationId xmlns:a16="http://schemas.microsoft.com/office/drawing/2014/main" xmlns="" id="{C90472D1-DD26-4A01-A8DA-1C1056450ABF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585" name="Text Box 138">
          <a:extLst>
            <a:ext uri="{FF2B5EF4-FFF2-40B4-BE49-F238E27FC236}">
              <a16:creationId xmlns:a16="http://schemas.microsoft.com/office/drawing/2014/main" xmlns="" id="{0960D1CC-09BE-4F10-8BAA-AF2A426AB800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586" name="Text Box 139">
          <a:extLst>
            <a:ext uri="{FF2B5EF4-FFF2-40B4-BE49-F238E27FC236}">
              <a16:creationId xmlns:a16="http://schemas.microsoft.com/office/drawing/2014/main" xmlns="" id="{73458DCE-5926-4AC8-ABD4-E1DEF7D41BEA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587" name="Text Box 140">
          <a:extLst>
            <a:ext uri="{FF2B5EF4-FFF2-40B4-BE49-F238E27FC236}">
              <a16:creationId xmlns:a16="http://schemas.microsoft.com/office/drawing/2014/main" xmlns="" id="{B43762E2-4290-4915-8865-BE8958FE190D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588" name="Text Box 141">
          <a:extLst>
            <a:ext uri="{FF2B5EF4-FFF2-40B4-BE49-F238E27FC236}">
              <a16:creationId xmlns:a16="http://schemas.microsoft.com/office/drawing/2014/main" xmlns="" id="{8A699320-4B2B-4B76-8899-FAA8D7C01D58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589" name="Text Box 142">
          <a:extLst>
            <a:ext uri="{FF2B5EF4-FFF2-40B4-BE49-F238E27FC236}">
              <a16:creationId xmlns:a16="http://schemas.microsoft.com/office/drawing/2014/main" xmlns="" id="{1B050DF5-676B-424A-B565-577CED531FA9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590" name="Text Box 143">
          <a:extLst>
            <a:ext uri="{FF2B5EF4-FFF2-40B4-BE49-F238E27FC236}">
              <a16:creationId xmlns:a16="http://schemas.microsoft.com/office/drawing/2014/main" xmlns="" id="{230CA28F-1932-45D1-B2C2-B475181C05F4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591" name="Text Box 144">
          <a:extLst>
            <a:ext uri="{FF2B5EF4-FFF2-40B4-BE49-F238E27FC236}">
              <a16:creationId xmlns:a16="http://schemas.microsoft.com/office/drawing/2014/main" xmlns="" id="{020D37C8-DBFF-4848-A950-3D4D1FEDD226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592" name="Text Box 145">
          <a:extLst>
            <a:ext uri="{FF2B5EF4-FFF2-40B4-BE49-F238E27FC236}">
              <a16:creationId xmlns:a16="http://schemas.microsoft.com/office/drawing/2014/main" xmlns="" id="{D1682930-03C6-4DD9-BF90-EE764B9B574E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593" name="Text Box 146">
          <a:extLst>
            <a:ext uri="{FF2B5EF4-FFF2-40B4-BE49-F238E27FC236}">
              <a16:creationId xmlns:a16="http://schemas.microsoft.com/office/drawing/2014/main" xmlns="" id="{E436996B-9094-40C7-93E7-DDEC7B9577B6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594" name="Text Box 147">
          <a:extLst>
            <a:ext uri="{FF2B5EF4-FFF2-40B4-BE49-F238E27FC236}">
              <a16:creationId xmlns:a16="http://schemas.microsoft.com/office/drawing/2014/main" xmlns="" id="{1EAAE426-AA25-4A30-9475-1CFB7F0A6ED0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595" name="Text Box 148">
          <a:extLst>
            <a:ext uri="{FF2B5EF4-FFF2-40B4-BE49-F238E27FC236}">
              <a16:creationId xmlns:a16="http://schemas.microsoft.com/office/drawing/2014/main" xmlns="" id="{2D3B93FC-7227-4E3B-AD53-B718865673CD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596" name="Text Box 149">
          <a:extLst>
            <a:ext uri="{FF2B5EF4-FFF2-40B4-BE49-F238E27FC236}">
              <a16:creationId xmlns:a16="http://schemas.microsoft.com/office/drawing/2014/main" xmlns="" id="{4BC62352-1C04-4D26-8BD7-9A8F3F44F049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597" name="Text Box 150">
          <a:extLst>
            <a:ext uri="{FF2B5EF4-FFF2-40B4-BE49-F238E27FC236}">
              <a16:creationId xmlns:a16="http://schemas.microsoft.com/office/drawing/2014/main" xmlns="" id="{C47ADC67-BCE5-44A7-A16D-150775394ACD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598" name="Text Box 151">
          <a:extLst>
            <a:ext uri="{FF2B5EF4-FFF2-40B4-BE49-F238E27FC236}">
              <a16:creationId xmlns:a16="http://schemas.microsoft.com/office/drawing/2014/main" xmlns="" id="{72120B82-D3A4-4941-9AF0-F64399A536EE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599" name="Text Box 152">
          <a:extLst>
            <a:ext uri="{FF2B5EF4-FFF2-40B4-BE49-F238E27FC236}">
              <a16:creationId xmlns:a16="http://schemas.microsoft.com/office/drawing/2014/main" xmlns="" id="{67F53E35-CE77-4C47-B29E-62840FA91F39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600" name="Text Box 153">
          <a:extLst>
            <a:ext uri="{FF2B5EF4-FFF2-40B4-BE49-F238E27FC236}">
              <a16:creationId xmlns:a16="http://schemas.microsoft.com/office/drawing/2014/main" xmlns="" id="{80CADC93-3D8C-47EC-9E0E-F80A5B959A20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601" name="Text Box 154">
          <a:extLst>
            <a:ext uri="{FF2B5EF4-FFF2-40B4-BE49-F238E27FC236}">
              <a16:creationId xmlns:a16="http://schemas.microsoft.com/office/drawing/2014/main" xmlns="" id="{BBC4E647-2A35-4844-BF25-A150160802BF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602" name="Text Box 155">
          <a:extLst>
            <a:ext uri="{FF2B5EF4-FFF2-40B4-BE49-F238E27FC236}">
              <a16:creationId xmlns:a16="http://schemas.microsoft.com/office/drawing/2014/main" xmlns="" id="{A643C7A3-809F-426A-AC2A-BF8E593482C6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603" name="Text Box 156">
          <a:extLst>
            <a:ext uri="{FF2B5EF4-FFF2-40B4-BE49-F238E27FC236}">
              <a16:creationId xmlns:a16="http://schemas.microsoft.com/office/drawing/2014/main" xmlns="" id="{D03372F2-D636-4A1A-8F98-95E6538523C3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604" name="Text Box 157">
          <a:extLst>
            <a:ext uri="{FF2B5EF4-FFF2-40B4-BE49-F238E27FC236}">
              <a16:creationId xmlns:a16="http://schemas.microsoft.com/office/drawing/2014/main" xmlns="" id="{0C5EB094-BB82-44F7-B062-07B2CBC5FA49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605" name="Text Box 158">
          <a:extLst>
            <a:ext uri="{FF2B5EF4-FFF2-40B4-BE49-F238E27FC236}">
              <a16:creationId xmlns:a16="http://schemas.microsoft.com/office/drawing/2014/main" xmlns="" id="{E0F713BF-946D-45A6-BB9B-D1B3D194A6BE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606" name="Text Box 159">
          <a:extLst>
            <a:ext uri="{FF2B5EF4-FFF2-40B4-BE49-F238E27FC236}">
              <a16:creationId xmlns:a16="http://schemas.microsoft.com/office/drawing/2014/main" xmlns="" id="{72230D6C-A10F-42C5-87CB-52DA12A56A64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607" name="Text Box 160">
          <a:extLst>
            <a:ext uri="{FF2B5EF4-FFF2-40B4-BE49-F238E27FC236}">
              <a16:creationId xmlns:a16="http://schemas.microsoft.com/office/drawing/2014/main" xmlns="" id="{F5488060-3721-4535-A178-C9D74519F526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608" name="Text Box 161">
          <a:extLst>
            <a:ext uri="{FF2B5EF4-FFF2-40B4-BE49-F238E27FC236}">
              <a16:creationId xmlns:a16="http://schemas.microsoft.com/office/drawing/2014/main" xmlns="" id="{D78DB277-3D66-49D2-B5F1-F8635289F1E5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609" name="Text Box 162">
          <a:extLst>
            <a:ext uri="{FF2B5EF4-FFF2-40B4-BE49-F238E27FC236}">
              <a16:creationId xmlns:a16="http://schemas.microsoft.com/office/drawing/2014/main" xmlns="" id="{28B21B2F-487F-405B-AFCE-081D1DA23484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610" name="Text Box 163">
          <a:extLst>
            <a:ext uri="{FF2B5EF4-FFF2-40B4-BE49-F238E27FC236}">
              <a16:creationId xmlns:a16="http://schemas.microsoft.com/office/drawing/2014/main" xmlns="" id="{9BDB1CA0-4904-401D-8900-A1D9515859E1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611" name="Text Box 164">
          <a:extLst>
            <a:ext uri="{FF2B5EF4-FFF2-40B4-BE49-F238E27FC236}">
              <a16:creationId xmlns:a16="http://schemas.microsoft.com/office/drawing/2014/main" xmlns="" id="{30DFEAD9-173C-4E05-BEA9-5FF74FD5AD4A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612" name="Text Box 165">
          <a:extLst>
            <a:ext uri="{FF2B5EF4-FFF2-40B4-BE49-F238E27FC236}">
              <a16:creationId xmlns:a16="http://schemas.microsoft.com/office/drawing/2014/main" xmlns="" id="{0B954E62-3D21-42E6-A15F-2EC78A73EB21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613" name="Text Box 166">
          <a:extLst>
            <a:ext uri="{FF2B5EF4-FFF2-40B4-BE49-F238E27FC236}">
              <a16:creationId xmlns:a16="http://schemas.microsoft.com/office/drawing/2014/main" xmlns="" id="{0F0A8A60-602C-46E3-89BD-9A14C3BEC75C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614" name="Text Box 167">
          <a:extLst>
            <a:ext uri="{FF2B5EF4-FFF2-40B4-BE49-F238E27FC236}">
              <a16:creationId xmlns:a16="http://schemas.microsoft.com/office/drawing/2014/main" xmlns="" id="{2E589FB7-BCBB-4D5E-8AF7-7F8924DDF006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615" name="Text Box 168">
          <a:extLst>
            <a:ext uri="{FF2B5EF4-FFF2-40B4-BE49-F238E27FC236}">
              <a16:creationId xmlns:a16="http://schemas.microsoft.com/office/drawing/2014/main" xmlns="" id="{A0EF0BAE-2A9C-4AD9-8375-DA1E77B20992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616" name="Text Box 169">
          <a:extLst>
            <a:ext uri="{FF2B5EF4-FFF2-40B4-BE49-F238E27FC236}">
              <a16:creationId xmlns:a16="http://schemas.microsoft.com/office/drawing/2014/main" xmlns="" id="{BD5A6CA8-8BA6-4FE7-89AA-22B13C97D209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617" name="Text Box 170">
          <a:extLst>
            <a:ext uri="{FF2B5EF4-FFF2-40B4-BE49-F238E27FC236}">
              <a16:creationId xmlns:a16="http://schemas.microsoft.com/office/drawing/2014/main" xmlns="" id="{BFD64988-F957-4C74-9921-543B8D9FB1B8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618" name="Text Box 171">
          <a:extLst>
            <a:ext uri="{FF2B5EF4-FFF2-40B4-BE49-F238E27FC236}">
              <a16:creationId xmlns:a16="http://schemas.microsoft.com/office/drawing/2014/main" xmlns="" id="{EB820C44-23F9-4B84-8C67-C6F3EB5792C5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619" name="Text Box 172">
          <a:extLst>
            <a:ext uri="{FF2B5EF4-FFF2-40B4-BE49-F238E27FC236}">
              <a16:creationId xmlns:a16="http://schemas.microsoft.com/office/drawing/2014/main" xmlns="" id="{10A64192-460D-4F09-8A99-2F40B7938AB5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620" name="Text Box 173">
          <a:extLst>
            <a:ext uri="{FF2B5EF4-FFF2-40B4-BE49-F238E27FC236}">
              <a16:creationId xmlns:a16="http://schemas.microsoft.com/office/drawing/2014/main" xmlns="" id="{548A8896-D12A-414E-8299-1B886BA56CBC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621" name="Text Box 174">
          <a:extLst>
            <a:ext uri="{FF2B5EF4-FFF2-40B4-BE49-F238E27FC236}">
              <a16:creationId xmlns:a16="http://schemas.microsoft.com/office/drawing/2014/main" xmlns="" id="{DAFA65D8-B454-4B83-8900-C02A72EBDA2A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622" name="Text Box 175">
          <a:extLst>
            <a:ext uri="{FF2B5EF4-FFF2-40B4-BE49-F238E27FC236}">
              <a16:creationId xmlns:a16="http://schemas.microsoft.com/office/drawing/2014/main" xmlns="" id="{5468E227-0E1C-4550-9836-33E0547B2216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623" name="Text Box 176">
          <a:extLst>
            <a:ext uri="{FF2B5EF4-FFF2-40B4-BE49-F238E27FC236}">
              <a16:creationId xmlns:a16="http://schemas.microsoft.com/office/drawing/2014/main" xmlns="" id="{CA93CEA1-450C-4590-94F5-27F2169E22AC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624" name="Text Box 177">
          <a:extLst>
            <a:ext uri="{FF2B5EF4-FFF2-40B4-BE49-F238E27FC236}">
              <a16:creationId xmlns:a16="http://schemas.microsoft.com/office/drawing/2014/main" xmlns="" id="{AEC4297D-7391-4CE9-AE6C-30817984011F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625" name="Text Box 178">
          <a:extLst>
            <a:ext uri="{FF2B5EF4-FFF2-40B4-BE49-F238E27FC236}">
              <a16:creationId xmlns:a16="http://schemas.microsoft.com/office/drawing/2014/main" xmlns="" id="{C0CD8C62-64E4-47A4-9128-9F4B61314AD0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626" name="Text Box 179">
          <a:extLst>
            <a:ext uri="{FF2B5EF4-FFF2-40B4-BE49-F238E27FC236}">
              <a16:creationId xmlns:a16="http://schemas.microsoft.com/office/drawing/2014/main" xmlns="" id="{AE5D19FB-052E-4353-9A1C-B5CCBEACDD1B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627" name="Text Box 180">
          <a:extLst>
            <a:ext uri="{FF2B5EF4-FFF2-40B4-BE49-F238E27FC236}">
              <a16:creationId xmlns:a16="http://schemas.microsoft.com/office/drawing/2014/main" xmlns="" id="{09497260-38BB-42C4-9FCF-9C6ECD06A7B0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628" name="Text Box 181">
          <a:extLst>
            <a:ext uri="{FF2B5EF4-FFF2-40B4-BE49-F238E27FC236}">
              <a16:creationId xmlns:a16="http://schemas.microsoft.com/office/drawing/2014/main" xmlns="" id="{359B6126-3717-4103-8839-F82FA91C8D90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629" name="Text Box 182">
          <a:extLst>
            <a:ext uri="{FF2B5EF4-FFF2-40B4-BE49-F238E27FC236}">
              <a16:creationId xmlns:a16="http://schemas.microsoft.com/office/drawing/2014/main" xmlns="" id="{D9D88260-0CF2-45AD-9C83-F9145BD3A85C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630" name="Text Box 183">
          <a:extLst>
            <a:ext uri="{FF2B5EF4-FFF2-40B4-BE49-F238E27FC236}">
              <a16:creationId xmlns:a16="http://schemas.microsoft.com/office/drawing/2014/main" xmlns="" id="{0F05B147-E968-4AF7-BDB5-5DDF5F1A46FB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631" name="Text Box 184">
          <a:extLst>
            <a:ext uri="{FF2B5EF4-FFF2-40B4-BE49-F238E27FC236}">
              <a16:creationId xmlns:a16="http://schemas.microsoft.com/office/drawing/2014/main" xmlns="" id="{01C9FC62-8796-46CA-9132-065F1126C084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632" name="Text Box 185">
          <a:extLst>
            <a:ext uri="{FF2B5EF4-FFF2-40B4-BE49-F238E27FC236}">
              <a16:creationId xmlns:a16="http://schemas.microsoft.com/office/drawing/2014/main" xmlns="" id="{43C910DE-F6B4-419E-ABA3-E5C688D12B17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633" name="Text Box 186">
          <a:extLst>
            <a:ext uri="{FF2B5EF4-FFF2-40B4-BE49-F238E27FC236}">
              <a16:creationId xmlns:a16="http://schemas.microsoft.com/office/drawing/2014/main" xmlns="" id="{2043FCD0-5898-4736-9E32-F2B79E3E8364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634" name="Text Box 187">
          <a:extLst>
            <a:ext uri="{FF2B5EF4-FFF2-40B4-BE49-F238E27FC236}">
              <a16:creationId xmlns:a16="http://schemas.microsoft.com/office/drawing/2014/main" xmlns="" id="{8774F460-E8D8-4251-B443-5DFE96F4BAE6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635" name="Text Box 188">
          <a:extLst>
            <a:ext uri="{FF2B5EF4-FFF2-40B4-BE49-F238E27FC236}">
              <a16:creationId xmlns:a16="http://schemas.microsoft.com/office/drawing/2014/main" xmlns="" id="{34681EA9-8B65-46A0-BE30-11740460DCA3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636" name="Text Box 189">
          <a:extLst>
            <a:ext uri="{FF2B5EF4-FFF2-40B4-BE49-F238E27FC236}">
              <a16:creationId xmlns:a16="http://schemas.microsoft.com/office/drawing/2014/main" xmlns="" id="{327AB4D2-631C-49F4-8389-A58E494A7D31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637" name="Text Box 190">
          <a:extLst>
            <a:ext uri="{FF2B5EF4-FFF2-40B4-BE49-F238E27FC236}">
              <a16:creationId xmlns:a16="http://schemas.microsoft.com/office/drawing/2014/main" xmlns="" id="{345CBBB0-DEC4-4402-998A-42E0F9FA0795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638" name="Text Box 191">
          <a:extLst>
            <a:ext uri="{FF2B5EF4-FFF2-40B4-BE49-F238E27FC236}">
              <a16:creationId xmlns:a16="http://schemas.microsoft.com/office/drawing/2014/main" xmlns="" id="{36E6547F-874D-412A-A6AB-BDC89FC67621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639" name="Text Box 192">
          <a:extLst>
            <a:ext uri="{FF2B5EF4-FFF2-40B4-BE49-F238E27FC236}">
              <a16:creationId xmlns:a16="http://schemas.microsoft.com/office/drawing/2014/main" xmlns="" id="{3327B6E6-1046-4366-83D1-8282B9CEFAC0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640" name="Text Box 193">
          <a:extLst>
            <a:ext uri="{FF2B5EF4-FFF2-40B4-BE49-F238E27FC236}">
              <a16:creationId xmlns:a16="http://schemas.microsoft.com/office/drawing/2014/main" xmlns="" id="{F15FD77C-E035-459A-91C4-F6866A9726D3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641" name="Text Box 194">
          <a:extLst>
            <a:ext uri="{FF2B5EF4-FFF2-40B4-BE49-F238E27FC236}">
              <a16:creationId xmlns:a16="http://schemas.microsoft.com/office/drawing/2014/main" xmlns="" id="{30AC2DCF-89A2-4E64-8D47-6F9F23397F3B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642" name="Text Box 195">
          <a:extLst>
            <a:ext uri="{FF2B5EF4-FFF2-40B4-BE49-F238E27FC236}">
              <a16:creationId xmlns:a16="http://schemas.microsoft.com/office/drawing/2014/main" xmlns="" id="{AE22A1EB-3950-4EBE-87B4-FEC3FE71EA14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643" name="Text Box 196">
          <a:extLst>
            <a:ext uri="{FF2B5EF4-FFF2-40B4-BE49-F238E27FC236}">
              <a16:creationId xmlns:a16="http://schemas.microsoft.com/office/drawing/2014/main" xmlns="" id="{2E6F1913-63BD-4D24-A164-8FEA6C099C16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644" name="Text Box 197">
          <a:extLst>
            <a:ext uri="{FF2B5EF4-FFF2-40B4-BE49-F238E27FC236}">
              <a16:creationId xmlns:a16="http://schemas.microsoft.com/office/drawing/2014/main" xmlns="" id="{B0D6B3CF-21A9-4974-AA8C-372C4D4DADEE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645" name="Text Box 198">
          <a:extLst>
            <a:ext uri="{FF2B5EF4-FFF2-40B4-BE49-F238E27FC236}">
              <a16:creationId xmlns:a16="http://schemas.microsoft.com/office/drawing/2014/main" xmlns="" id="{841C38B0-09E6-4020-BF33-BCCB611AFDC8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646" name="Text Box 199">
          <a:extLst>
            <a:ext uri="{FF2B5EF4-FFF2-40B4-BE49-F238E27FC236}">
              <a16:creationId xmlns:a16="http://schemas.microsoft.com/office/drawing/2014/main" xmlns="" id="{A4324CF5-4691-42C7-BBF5-D8486A907B78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647" name="Text Box 200">
          <a:extLst>
            <a:ext uri="{FF2B5EF4-FFF2-40B4-BE49-F238E27FC236}">
              <a16:creationId xmlns:a16="http://schemas.microsoft.com/office/drawing/2014/main" xmlns="" id="{816961CC-EEC6-4F05-B479-BDD4143CB67C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648" name="Text Box 201">
          <a:extLst>
            <a:ext uri="{FF2B5EF4-FFF2-40B4-BE49-F238E27FC236}">
              <a16:creationId xmlns:a16="http://schemas.microsoft.com/office/drawing/2014/main" xmlns="" id="{A34642A8-F32E-464A-B73B-B689ED524411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649" name="Text Box 202">
          <a:extLst>
            <a:ext uri="{FF2B5EF4-FFF2-40B4-BE49-F238E27FC236}">
              <a16:creationId xmlns:a16="http://schemas.microsoft.com/office/drawing/2014/main" xmlns="" id="{1368D497-58C9-4768-B72C-CBC1EE9045A9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650" name="Text Box 203">
          <a:extLst>
            <a:ext uri="{FF2B5EF4-FFF2-40B4-BE49-F238E27FC236}">
              <a16:creationId xmlns:a16="http://schemas.microsoft.com/office/drawing/2014/main" xmlns="" id="{D972070F-F72E-4ABC-A390-ED2D3A207556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651" name="Text Box 204">
          <a:extLst>
            <a:ext uri="{FF2B5EF4-FFF2-40B4-BE49-F238E27FC236}">
              <a16:creationId xmlns:a16="http://schemas.microsoft.com/office/drawing/2014/main" xmlns="" id="{D3E7FA4D-5742-44A4-A283-1F801A0A588A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652" name="Text Box 205">
          <a:extLst>
            <a:ext uri="{FF2B5EF4-FFF2-40B4-BE49-F238E27FC236}">
              <a16:creationId xmlns:a16="http://schemas.microsoft.com/office/drawing/2014/main" xmlns="" id="{4393C26B-825B-46A8-9F04-75B347265CFB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653" name="Text Box 206">
          <a:extLst>
            <a:ext uri="{FF2B5EF4-FFF2-40B4-BE49-F238E27FC236}">
              <a16:creationId xmlns:a16="http://schemas.microsoft.com/office/drawing/2014/main" xmlns="" id="{0E1AD432-43D3-4088-A1EE-5420AB9D7B27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654" name="Text Box 207">
          <a:extLst>
            <a:ext uri="{FF2B5EF4-FFF2-40B4-BE49-F238E27FC236}">
              <a16:creationId xmlns:a16="http://schemas.microsoft.com/office/drawing/2014/main" xmlns="" id="{9B70F624-7BEC-4692-B643-43B7D95981CA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655" name="Text Box 208">
          <a:extLst>
            <a:ext uri="{FF2B5EF4-FFF2-40B4-BE49-F238E27FC236}">
              <a16:creationId xmlns:a16="http://schemas.microsoft.com/office/drawing/2014/main" xmlns="" id="{F5EF69FB-C87B-4C46-9536-2538CB1DC7DF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656" name="Text Box 209">
          <a:extLst>
            <a:ext uri="{FF2B5EF4-FFF2-40B4-BE49-F238E27FC236}">
              <a16:creationId xmlns:a16="http://schemas.microsoft.com/office/drawing/2014/main" xmlns="" id="{EF26321C-F9F4-4713-BB1A-D6758799A706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657" name="Text Box 210">
          <a:extLst>
            <a:ext uri="{FF2B5EF4-FFF2-40B4-BE49-F238E27FC236}">
              <a16:creationId xmlns:a16="http://schemas.microsoft.com/office/drawing/2014/main" xmlns="" id="{BF5118E3-A995-449A-BB7A-0D98F7C5C475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658" name="Text Box 211">
          <a:extLst>
            <a:ext uri="{FF2B5EF4-FFF2-40B4-BE49-F238E27FC236}">
              <a16:creationId xmlns:a16="http://schemas.microsoft.com/office/drawing/2014/main" xmlns="" id="{5FDE9CDF-472E-4C35-B86D-C95C7F27E365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659" name="Text Box 212">
          <a:extLst>
            <a:ext uri="{FF2B5EF4-FFF2-40B4-BE49-F238E27FC236}">
              <a16:creationId xmlns:a16="http://schemas.microsoft.com/office/drawing/2014/main" xmlns="" id="{B4D4952F-1A46-432B-BAF0-2D1F2E0E2FEB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660" name="Text Box 213">
          <a:extLst>
            <a:ext uri="{FF2B5EF4-FFF2-40B4-BE49-F238E27FC236}">
              <a16:creationId xmlns:a16="http://schemas.microsoft.com/office/drawing/2014/main" xmlns="" id="{57C5FDD2-3848-4613-991F-A8D8C2977CA9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661" name="Text Box 214">
          <a:extLst>
            <a:ext uri="{FF2B5EF4-FFF2-40B4-BE49-F238E27FC236}">
              <a16:creationId xmlns:a16="http://schemas.microsoft.com/office/drawing/2014/main" xmlns="" id="{8301A94B-01AE-43F1-943F-31282E845926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662" name="Text Box 215">
          <a:extLst>
            <a:ext uri="{FF2B5EF4-FFF2-40B4-BE49-F238E27FC236}">
              <a16:creationId xmlns:a16="http://schemas.microsoft.com/office/drawing/2014/main" xmlns="" id="{51DE55C9-72DE-4BC7-BC5A-A6B35BAEA47D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663" name="Text Box 216">
          <a:extLst>
            <a:ext uri="{FF2B5EF4-FFF2-40B4-BE49-F238E27FC236}">
              <a16:creationId xmlns:a16="http://schemas.microsoft.com/office/drawing/2014/main" xmlns="" id="{B2C21C4C-D924-4F57-8574-1CC72E6871DF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664" name="Text Box 217">
          <a:extLst>
            <a:ext uri="{FF2B5EF4-FFF2-40B4-BE49-F238E27FC236}">
              <a16:creationId xmlns:a16="http://schemas.microsoft.com/office/drawing/2014/main" xmlns="" id="{CC27AE8D-183B-4C98-B3E7-D2D605B89E81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665" name="Text Box 218">
          <a:extLst>
            <a:ext uri="{FF2B5EF4-FFF2-40B4-BE49-F238E27FC236}">
              <a16:creationId xmlns:a16="http://schemas.microsoft.com/office/drawing/2014/main" xmlns="" id="{2BDE7E97-C449-43A9-AAA0-79D4F9C6086B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666" name="Text Box 219">
          <a:extLst>
            <a:ext uri="{FF2B5EF4-FFF2-40B4-BE49-F238E27FC236}">
              <a16:creationId xmlns:a16="http://schemas.microsoft.com/office/drawing/2014/main" xmlns="" id="{AE70C2CF-ED23-4F20-B99F-478032661C0E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667" name="Text Box 220">
          <a:extLst>
            <a:ext uri="{FF2B5EF4-FFF2-40B4-BE49-F238E27FC236}">
              <a16:creationId xmlns:a16="http://schemas.microsoft.com/office/drawing/2014/main" xmlns="" id="{33B7C293-5473-4C86-954A-5F5AD07714FA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668" name="Text Box 221">
          <a:extLst>
            <a:ext uri="{FF2B5EF4-FFF2-40B4-BE49-F238E27FC236}">
              <a16:creationId xmlns:a16="http://schemas.microsoft.com/office/drawing/2014/main" xmlns="" id="{FDFC4242-F294-45E7-B24D-F901C333E4E1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669" name="Text Box 222">
          <a:extLst>
            <a:ext uri="{FF2B5EF4-FFF2-40B4-BE49-F238E27FC236}">
              <a16:creationId xmlns:a16="http://schemas.microsoft.com/office/drawing/2014/main" xmlns="" id="{DE64B496-4F40-4DF2-8800-645E8653AB00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670" name="Text Box 223">
          <a:extLst>
            <a:ext uri="{FF2B5EF4-FFF2-40B4-BE49-F238E27FC236}">
              <a16:creationId xmlns:a16="http://schemas.microsoft.com/office/drawing/2014/main" xmlns="" id="{B9462D34-DBF1-4117-A6B6-C509E47389BE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671" name="Text Box 224">
          <a:extLst>
            <a:ext uri="{FF2B5EF4-FFF2-40B4-BE49-F238E27FC236}">
              <a16:creationId xmlns:a16="http://schemas.microsoft.com/office/drawing/2014/main" xmlns="" id="{691E327B-6E42-439A-8507-16DED9F724EA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672" name="Text Box 225">
          <a:extLst>
            <a:ext uri="{FF2B5EF4-FFF2-40B4-BE49-F238E27FC236}">
              <a16:creationId xmlns:a16="http://schemas.microsoft.com/office/drawing/2014/main" xmlns="" id="{5A3C24B2-2D2E-4F99-98B3-A03C37A79665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673" name="Text Box 226">
          <a:extLst>
            <a:ext uri="{FF2B5EF4-FFF2-40B4-BE49-F238E27FC236}">
              <a16:creationId xmlns:a16="http://schemas.microsoft.com/office/drawing/2014/main" xmlns="" id="{60050A66-6365-46A9-BC5A-0CB8E21B42CE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674" name="Text Box 227">
          <a:extLst>
            <a:ext uri="{FF2B5EF4-FFF2-40B4-BE49-F238E27FC236}">
              <a16:creationId xmlns:a16="http://schemas.microsoft.com/office/drawing/2014/main" xmlns="" id="{2CECE755-02C5-4E50-A904-2BDB30D315B8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675" name="Text Box 228">
          <a:extLst>
            <a:ext uri="{FF2B5EF4-FFF2-40B4-BE49-F238E27FC236}">
              <a16:creationId xmlns:a16="http://schemas.microsoft.com/office/drawing/2014/main" xmlns="" id="{86094EA5-B0E6-4849-BB2C-EFAF08F1EF0D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676" name="Text Box 229">
          <a:extLst>
            <a:ext uri="{FF2B5EF4-FFF2-40B4-BE49-F238E27FC236}">
              <a16:creationId xmlns:a16="http://schemas.microsoft.com/office/drawing/2014/main" xmlns="" id="{FB04F8DD-5724-4A33-9713-D264463E2966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677" name="Text Box 230">
          <a:extLst>
            <a:ext uri="{FF2B5EF4-FFF2-40B4-BE49-F238E27FC236}">
              <a16:creationId xmlns:a16="http://schemas.microsoft.com/office/drawing/2014/main" xmlns="" id="{1CACBA0C-A378-4C1A-B5D0-C973158C0B43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678" name="Text Box 231">
          <a:extLst>
            <a:ext uri="{FF2B5EF4-FFF2-40B4-BE49-F238E27FC236}">
              <a16:creationId xmlns:a16="http://schemas.microsoft.com/office/drawing/2014/main" xmlns="" id="{6C8E2694-BCAB-4270-897A-CC49CF62115B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679" name="Text Box 232">
          <a:extLst>
            <a:ext uri="{FF2B5EF4-FFF2-40B4-BE49-F238E27FC236}">
              <a16:creationId xmlns:a16="http://schemas.microsoft.com/office/drawing/2014/main" xmlns="" id="{F41A1EA6-8CA4-48BC-8A24-84C45FF91503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680" name="Text Box 233">
          <a:extLst>
            <a:ext uri="{FF2B5EF4-FFF2-40B4-BE49-F238E27FC236}">
              <a16:creationId xmlns:a16="http://schemas.microsoft.com/office/drawing/2014/main" xmlns="" id="{5E8BE459-38C0-4392-A646-BE8BBA09389A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681" name="Text Box 234">
          <a:extLst>
            <a:ext uri="{FF2B5EF4-FFF2-40B4-BE49-F238E27FC236}">
              <a16:creationId xmlns:a16="http://schemas.microsoft.com/office/drawing/2014/main" xmlns="" id="{36E9C137-2AA5-46F8-8724-58C8F9413CD5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682" name="Text Box 235">
          <a:extLst>
            <a:ext uri="{FF2B5EF4-FFF2-40B4-BE49-F238E27FC236}">
              <a16:creationId xmlns:a16="http://schemas.microsoft.com/office/drawing/2014/main" xmlns="" id="{4EA146F7-4AB7-4853-AEDE-565F955FCD03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683" name="Text Box 236">
          <a:extLst>
            <a:ext uri="{FF2B5EF4-FFF2-40B4-BE49-F238E27FC236}">
              <a16:creationId xmlns:a16="http://schemas.microsoft.com/office/drawing/2014/main" xmlns="" id="{0C358EA0-A856-4113-B838-10F66F323759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684" name="Text Box 237">
          <a:extLst>
            <a:ext uri="{FF2B5EF4-FFF2-40B4-BE49-F238E27FC236}">
              <a16:creationId xmlns:a16="http://schemas.microsoft.com/office/drawing/2014/main" xmlns="" id="{64D1B163-C59C-4BC9-8580-6B9802B1CE84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685" name="Text Box 238">
          <a:extLst>
            <a:ext uri="{FF2B5EF4-FFF2-40B4-BE49-F238E27FC236}">
              <a16:creationId xmlns:a16="http://schemas.microsoft.com/office/drawing/2014/main" xmlns="" id="{1AC23E5B-ACBA-4F3B-B08A-3196741C8CDA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686" name="Text Box 239">
          <a:extLst>
            <a:ext uri="{FF2B5EF4-FFF2-40B4-BE49-F238E27FC236}">
              <a16:creationId xmlns:a16="http://schemas.microsoft.com/office/drawing/2014/main" xmlns="" id="{67D107A4-872E-4332-ABC0-8C9D0FA8128E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687" name="Text Box 240">
          <a:extLst>
            <a:ext uri="{FF2B5EF4-FFF2-40B4-BE49-F238E27FC236}">
              <a16:creationId xmlns:a16="http://schemas.microsoft.com/office/drawing/2014/main" xmlns="" id="{BCEF571B-8A39-4598-A98A-C755A7EDC2A0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688" name="Text Box 241">
          <a:extLst>
            <a:ext uri="{FF2B5EF4-FFF2-40B4-BE49-F238E27FC236}">
              <a16:creationId xmlns:a16="http://schemas.microsoft.com/office/drawing/2014/main" xmlns="" id="{0B1E9D95-26DE-452D-AD0A-EEB9DAD9D034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689" name="Text Box 242">
          <a:extLst>
            <a:ext uri="{FF2B5EF4-FFF2-40B4-BE49-F238E27FC236}">
              <a16:creationId xmlns:a16="http://schemas.microsoft.com/office/drawing/2014/main" xmlns="" id="{9BBAAB4E-950A-43E9-BFDB-184C21582903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690" name="Text Box 243">
          <a:extLst>
            <a:ext uri="{FF2B5EF4-FFF2-40B4-BE49-F238E27FC236}">
              <a16:creationId xmlns:a16="http://schemas.microsoft.com/office/drawing/2014/main" xmlns="" id="{E4074820-D808-4185-8567-84ABAD12026F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691" name="Text Box 244">
          <a:extLst>
            <a:ext uri="{FF2B5EF4-FFF2-40B4-BE49-F238E27FC236}">
              <a16:creationId xmlns:a16="http://schemas.microsoft.com/office/drawing/2014/main" xmlns="" id="{FBAF8ABA-5294-4AD8-9758-1FCB99E0D61E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692" name="Text Box 245">
          <a:extLst>
            <a:ext uri="{FF2B5EF4-FFF2-40B4-BE49-F238E27FC236}">
              <a16:creationId xmlns:a16="http://schemas.microsoft.com/office/drawing/2014/main" xmlns="" id="{EDA83D5E-B7D6-40C3-BF9A-450E45F1267B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693" name="Text Box 246">
          <a:extLst>
            <a:ext uri="{FF2B5EF4-FFF2-40B4-BE49-F238E27FC236}">
              <a16:creationId xmlns:a16="http://schemas.microsoft.com/office/drawing/2014/main" xmlns="" id="{4CE98F5C-2638-4870-A0E9-EE7357F96BC8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694" name="Text Box 247">
          <a:extLst>
            <a:ext uri="{FF2B5EF4-FFF2-40B4-BE49-F238E27FC236}">
              <a16:creationId xmlns:a16="http://schemas.microsoft.com/office/drawing/2014/main" xmlns="" id="{385B92D7-40B0-4F18-84B1-51B81B59390B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695" name="Text Box 248">
          <a:extLst>
            <a:ext uri="{FF2B5EF4-FFF2-40B4-BE49-F238E27FC236}">
              <a16:creationId xmlns:a16="http://schemas.microsoft.com/office/drawing/2014/main" xmlns="" id="{09B5617B-3752-4EE3-A3FC-2E6329F2558B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696" name="Text Box 249">
          <a:extLst>
            <a:ext uri="{FF2B5EF4-FFF2-40B4-BE49-F238E27FC236}">
              <a16:creationId xmlns:a16="http://schemas.microsoft.com/office/drawing/2014/main" xmlns="" id="{0125A97A-913A-466C-889C-75B65630A3F4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697" name="Text Box 250">
          <a:extLst>
            <a:ext uri="{FF2B5EF4-FFF2-40B4-BE49-F238E27FC236}">
              <a16:creationId xmlns:a16="http://schemas.microsoft.com/office/drawing/2014/main" xmlns="" id="{0C4F6185-C4A9-4ADB-A3EA-9219E5F20C48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698" name="Text Box 251">
          <a:extLst>
            <a:ext uri="{FF2B5EF4-FFF2-40B4-BE49-F238E27FC236}">
              <a16:creationId xmlns:a16="http://schemas.microsoft.com/office/drawing/2014/main" xmlns="" id="{F1DF37EC-FB1D-47A3-87BF-382A06BB41C6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699" name="Text Box 252">
          <a:extLst>
            <a:ext uri="{FF2B5EF4-FFF2-40B4-BE49-F238E27FC236}">
              <a16:creationId xmlns:a16="http://schemas.microsoft.com/office/drawing/2014/main" xmlns="" id="{023BE7F3-202D-428D-AD01-0628EFB7F066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700" name="Text Box 253">
          <a:extLst>
            <a:ext uri="{FF2B5EF4-FFF2-40B4-BE49-F238E27FC236}">
              <a16:creationId xmlns:a16="http://schemas.microsoft.com/office/drawing/2014/main" xmlns="" id="{0136F9E0-25C8-44AD-A00B-FBAE17C8B650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701" name="Text Box 254">
          <a:extLst>
            <a:ext uri="{FF2B5EF4-FFF2-40B4-BE49-F238E27FC236}">
              <a16:creationId xmlns:a16="http://schemas.microsoft.com/office/drawing/2014/main" xmlns="" id="{1CC0DDA4-A84A-473D-9F4F-75D08769EA9A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702" name="Text Box 255">
          <a:extLst>
            <a:ext uri="{FF2B5EF4-FFF2-40B4-BE49-F238E27FC236}">
              <a16:creationId xmlns:a16="http://schemas.microsoft.com/office/drawing/2014/main" xmlns="" id="{2592064D-645A-4129-BECE-26933753A0EE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703" name="Text Box 256">
          <a:extLst>
            <a:ext uri="{FF2B5EF4-FFF2-40B4-BE49-F238E27FC236}">
              <a16:creationId xmlns:a16="http://schemas.microsoft.com/office/drawing/2014/main" xmlns="" id="{03CDEB59-D9C2-4C8F-8413-F19CDC0341CD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704" name="Text Box 257">
          <a:extLst>
            <a:ext uri="{FF2B5EF4-FFF2-40B4-BE49-F238E27FC236}">
              <a16:creationId xmlns:a16="http://schemas.microsoft.com/office/drawing/2014/main" xmlns="" id="{C553E64E-18F7-4880-99C2-20B88B024F18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705" name="Text Box 258">
          <a:extLst>
            <a:ext uri="{FF2B5EF4-FFF2-40B4-BE49-F238E27FC236}">
              <a16:creationId xmlns:a16="http://schemas.microsoft.com/office/drawing/2014/main" xmlns="" id="{4A0CDBA3-6EF9-4BE1-AB34-49DEDCC0E62B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706" name="Text Box 259">
          <a:extLst>
            <a:ext uri="{FF2B5EF4-FFF2-40B4-BE49-F238E27FC236}">
              <a16:creationId xmlns:a16="http://schemas.microsoft.com/office/drawing/2014/main" xmlns="" id="{5E67DD20-8C56-48E7-9B8D-CD7E2CB41327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707" name="Text Box 260">
          <a:extLst>
            <a:ext uri="{FF2B5EF4-FFF2-40B4-BE49-F238E27FC236}">
              <a16:creationId xmlns:a16="http://schemas.microsoft.com/office/drawing/2014/main" xmlns="" id="{8FB97BF2-7A1A-4981-AFF5-109CA7162BEC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708" name="Text Box 261">
          <a:extLst>
            <a:ext uri="{FF2B5EF4-FFF2-40B4-BE49-F238E27FC236}">
              <a16:creationId xmlns:a16="http://schemas.microsoft.com/office/drawing/2014/main" xmlns="" id="{335406B6-2494-4EEF-837B-CB2D78F1952E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709" name="Text Box 262">
          <a:extLst>
            <a:ext uri="{FF2B5EF4-FFF2-40B4-BE49-F238E27FC236}">
              <a16:creationId xmlns:a16="http://schemas.microsoft.com/office/drawing/2014/main" xmlns="" id="{D911D817-1349-4EDE-9546-E53A38873604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710" name="Text Box 263">
          <a:extLst>
            <a:ext uri="{FF2B5EF4-FFF2-40B4-BE49-F238E27FC236}">
              <a16:creationId xmlns:a16="http://schemas.microsoft.com/office/drawing/2014/main" xmlns="" id="{A5025B53-3099-4E31-AFF5-9F21884706E8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711" name="Text Box 264">
          <a:extLst>
            <a:ext uri="{FF2B5EF4-FFF2-40B4-BE49-F238E27FC236}">
              <a16:creationId xmlns:a16="http://schemas.microsoft.com/office/drawing/2014/main" xmlns="" id="{0A761ADC-2CD2-420B-9853-E4B173273E4B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712" name="Text Box 265">
          <a:extLst>
            <a:ext uri="{FF2B5EF4-FFF2-40B4-BE49-F238E27FC236}">
              <a16:creationId xmlns:a16="http://schemas.microsoft.com/office/drawing/2014/main" xmlns="" id="{CFBBEB01-F55D-4471-B6FE-96EA99E217BC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713" name="Text Box 266">
          <a:extLst>
            <a:ext uri="{FF2B5EF4-FFF2-40B4-BE49-F238E27FC236}">
              <a16:creationId xmlns:a16="http://schemas.microsoft.com/office/drawing/2014/main" xmlns="" id="{361CE817-97E1-4032-B108-9950EFC9AC89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714" name="Text Box 267">
          <a:extLst>
            <a:ext uri="{FF2B5EF4-FFF2-40B4-BE49-F238E27FC236}">
              <a16:creationId xmlns:a16="http://schemas.microsoft.com/office/drawing/2014/main" xmlns="" id="{585C051F-777D-4C65-9FB5-7934C511DA3F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715" name="Text Box 268">
          <a:extLst>
            <a:ext uri="{FF2B5EF4-FFF2-40B4-BE49-F238E27FC236}">
              <a16:creationId xmlns:a16="http://schemas.microsoft.com/office/drawing/2014/main" xmlns="" id="{2F9EFD6A-0BAE-4B67-A395-AB0CC59EA2D2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716" name="Text Box 269">
          <a:extLst>
            <a:ext uri="{FF2B5EF4-FFF2-40B4-BE49-F238E27FC236}">
              <a16:creationId xmlns:a16="http://schemas.microsoft.com/office/drawing/2014/main" xmlns="" id="{2B1D8ACE-CE8B-4A9C-B108-800BADFA3BED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717" name="Text Box 270">
          <a:extLst>
            <a:ext uri="{FF2B5EF4-FFF2-40B4-BE49-F238E27FC236}">
              <a16:creationId xmlns:a16="http://schemas.microsoft.com/office/drawing/2014/main" xmlns="" id="{34BC857A-7599-4E35-9C88-42B0F7C8D04B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718" name="Text Box 271">
          <a:extLst>
            <a:ext uri="{FF2B5EF4-FFF2-40B4-BE49-F238E27FC236}">
              <a16:creationId xmlns:a16="http://schemas.microsoft.com/office/drawing/2014/main" xmlns="" id="{EF1C3DE2-4323-4D0B-BFBE-BD7001A4AADF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719" name="Text Box 272">
          <a:extLst>
            <a:ext uri="{FF2B5EF4-FFF2-40B4-BE49-F238E27FC236}">
              <a16:creationId xmlns:a16="http://schemas.microsoft.com/office/drawing/2014/main" xmlns="" id="{9E1E1F88-868B-4B6B-BC9F-A2EE6C1F9620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720" name="Text Box 273">
          <a:extLst>
            <a:ext uri="{FF2B5EF4-FFF2-40B4-BE49-F238E27FC236}">
              <a16:creationId xmlns:a16="http://schemas.microsoft.com/office/drawing/2014/main" xmlns="" id="{8ACF128A-29CB-4B98-A7CE-ADF3A9DE359B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721" name="Text Box 274">
          <a:extLst>
            <a:ext uri="{FF2B5EF4-FFF2-40B4-BE49-F238E27FC236}">
              <a16:creationId xmlns:a16="http://schemas.microsoft.com/office/drawing/2014/main" xmlns="" id="{740854AA-9946-47EA-9E56-F4689C5CBF7F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722" name="Text Box 275">
          <a:extLst>
            <a:ext uri="{FF2B5EF4-FFF2-40B4-BE49-F238E27FC236}">
              <a16:creationId xmlns:a16="http://schemas.microsoft.com/office/drawing/2014/main" xmlns="" id="{F96DEF47-645C-465E-B42F-BD08C02F93CA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723" name="Text Box 276">
          <a:extLst>
            <a:ext uri="{FF2B5EF4-FFF2-40B4-BE49-F238E27FC236}">
              <a16:creationId xmlns:a16="http://schemas.microsoft.com/office/drawing/2014/main" xmlns="" id="{7417F316-0994-42CD-A802-FECC99449DB4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724" name="Text Box 277">
          <a:extLst>
            <a:ext uri="{FF2B5EF4-FFF2-40B4-BE49-F238E27FC236}">
              <a16:creationId xmlns:a16="http://schemas.microsoft.com/office/drawing/2014/main" xmlns="" id="{6337422F-1399-4F2F-9EBF-04F62311A4CF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725" name="Text Box 278">
          <a:extLst>
            <a:ext uri="{FF2B5EF4-FFF2-40B4-BE49-F238E27FC236}">
              <a16:creationId xmlns:a16="http://schemas.microsoft.com/office/drawing/2014/main" xmlns="" id="{CF6BE5D3-DAEE-4DC2-9798-45BAB182F1D8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726" name="Text Box 279">
          <a:extLst>
            <a:ext uri="{FF2B5EF4-FFF2-40B4-BE49-F238E27FC236}">
              <a16:creationId xmlns:a16="http://schemas.microsoft.com/office/drawing/2014/main" xmlns="" id="{2C60989F-CC18-4288-B8E1-B169C4458D10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727" name="Text Box 280">
          <a:extLst>
            <a:ext uri="{FF2B5EF4-FFF2-40B4-BE49-F238E27FC236}">
              <a16:creationId xmlns:a16="http://schemas.microsoft.com/office/drawing/2014/main" xmlns="" id="{16F978FB-2EEB-4BE9-9336-614DDC35ADB6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728" name="Text Box 281">
          <a:extLst>
            <a:ext uri="{FF2B5EF4-FFF2-40B4-BE49-F238E27FC236}">
              <a16:creationId xmlns:a16="http://schemas.microsoft.com/office/drawing/2014/main" xmlns="" id="{1B845080-B34F-420C-B764-87021C029B05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729" name="Text Box 282">
          <a:extLst>
            <a:ext uri="{FF2B5EF4-FFF2-40B4-BE49-F238E27FC236}">
              <a16:creationId xmlns:a16="http://schemas.microsoft.com/office/drawing/2014/main" xmlns="" id="{226F4CE5-1673-4ED9-B52E-9CE381E7E560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730" name="Text Box 283">
          <a:extLst>
            <a:ext uri="{FF2B5EF4-FFF2-40B4-BE49-F238E27FC236}">
              <a16:creationId xmlns:a16="http://schemas.microsoft.com/office/drawing/2014/main" xmlns="" id="{E7AD504B-CAA6-486C-BDDF-F35917AA4F21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731" name="Text Box 284">
          <a:extLst>
            <a:ext uri="{FF2B5EF4-FFF2-40B4-BE49-F238E27FC236}">
              <a16:creationId xmlns:a16="http://schemas.microsoft.com/office/drawing/2014/main" xmlns="" id="{9C6683C8-947C-4448-9A11-D781015C6BB2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732" name="Text Box 285">
          <a:extLst>
            <a:ext uri="{FF2B5EF4-FFF2-40B4-BE49-F238E27FC236}">
              <a16:creationId xmlns:a16="http://schemas.microsoft.com/office/drawing/2014/main" xmlns="" id="{DC904C96-5778-4D2B-AC35-A1D605A2B1AA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733" name="Text Box 286">
          <a:extLst>
            <a:ext uri="{FF2B5EF4-FFF2-40B4-BE49-F238E27FC236}">
              <a16:creationId xmlns:a16="http://schemas.microsoft.com/office/drawing/2014/main" xmlns="" id="{04094A7B-20E6-4571-8784-012BE583822A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734" name="Text Box 287">
          <a:extLst>
            <a:ext uri="{FF2B5EF4-FFF2-40B4-BE49-F238E27FC236}">
              <a16:creationId xmlns:a16="http://schemas.microsoft.com/office/drawing/2014/main" xmlns="" id="{26ED708C-DBEC-407C-B8F1-83509B23B92C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735" name="Text Box 288">
          <a:extLst>
            <a:ext uri="{FF2B5EF4-FFF2-40B4-BE49-F238E27FC236}">
              <a16:creationId xmlns:a16="http://schemas.microsoft.com/office/drawing/2014/main" xmlns="" id="{9F7D3A35-4EB7-4B35-8740-C8A6B25BC937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736" name="Text Box 289">
          <a:extLst>
            <a:ext uri="{FF2B5EF4-FFF2-40B4-BE49-F238E27FC236}">
              <a16:creationId xmlns:a16="http://schemas.microsoft.com/office/drawing/2014/main" xmlns="" id="{156EECD2-E77F-474F-B1D0-A267931C945D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737" name="Text Box 290">
          <a:extLst>
            <a:ext uri="{FF2B5EF4-FFF2-40B4-BE49-F238E27FC236}">
              <a16:creationId xmlns:a16="http://schemas.microsoft.com/office/drawing/2014/main" xmlns="" id="{2627F1BE-9B57-41CB-BD6E-CD93FF51DBA7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738" name="Text Box 291">
          <a:extLst>
            <a:ext uri="{FF2B5EF4-FFF2-40B4-BE49-F238E27FC236}">
              <a16:creationId xmlns:a16="http://schemas.microsoft.com/office/drawing/2014/main" xmlns="" id="{1E4868CD-3166-40F8-803C-B18AE15FECA7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739" name="Text Box 292">
          <a:extLst>
            <a:ext uri="{FF2B5EF4-FFF2-40B4-BE49-F238E27FC236}">
              <a16:creationId xmlns:a16="http://schemas.microsoft.com/office/drawing/2014/main" xmlns="" id="{D328B399-079E-40F9-B040-FCEAD222ECC8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740" name="Text Box 293">
          <a:extLst>
            <a:ext uri="{FF2B5EF4-FFF2-40B4-BE49-F238E27FC236}">
              <a16:creationId xmlns:a16="http://schemas.microsoft.com/office/drawing/2014/main" xmlns="" id="{6C2F54A2-CD0B-42BF-AEFA-CDB662D5B608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741" name="Text Box 294">
          <a:extLst>
            <a:ext uri="{FF2B5EF4-FFF2-40B4-BE49-F238E27FC236}">
              <a16:creationId xmlns:a16="http://schemas.microsoft.com/office/drawing/2014/main" xmlns="" id="{781687FB-F484-48CD-AB4B-B2699AEA835C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742" name="Text Box 295">
          <a:extLst>
            <a:ext uri="{FF2B5EF4-FFF2-40B4-BE49-F238E27FC236}">
              <a16:creationId xmlns:a16="http://schemas.microsoft.com/office/drawing/2014/main" xmlns="" id="{894660AD-8375-4034-8DD1-BC7256808ACA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743" name="Text Box 296">
          <a:extLst>
            <a:ext uri="{FF2B5EF4-FFF2-40B4-BE49-F238E27FC236}">
              <a16:creationId xmlns:a16="http://schemas.microsoft.com/office/drawing/2014/main" xmlns="" id="{D0087100-0BD0-4FEE-B0BA-E7481DAFA5F1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744" name="Text Box 297">
          <a:extLst>
            <a:ext uri="{FF2B5EF4-FFF2-40B4-BE49-F238E27FC236}">
              <a16:creationId xmlns:a16="http://schemas.microsoft.com/office/drawing/2014/main" xmlns="" id="{03DC4786-9550-4C08-93D1-25C6A974C1AE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745" name="Text Box 298">
          <a:extLst>
            <a:ext uri="{FF2B5EF4-FFF2-40B4-BE49-F238E27FC236}">
              <a16:creationId xmlns:a16="http://schemas.microsoft.com/office/drawing/2014/main" xmlns="" id="{D4A079C8-EC00-42FD-9107-B06FE69A03CB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746" name="Text Box 299">
          <a:extLst>
            <a:ext uri="{FF2B5EF4-FFF2-40B4-BE49-F238E27FC236}">
              <a16:creationId xmlns:a16="http://schemas.microsoft.com/office/drawing/2014/main" xmlns="" id="{8EA177B0-633D-43E7-A1C4-568DC411BFB2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747" name="Text Box 300">
          <a:extLst>
            <a:ext uri="{FF2B5EF4-FFF2-40B4-BE49-F238E27FC236}">
              <a16:creationId xmlns:a16="http://schemas.microsoft.com/office/drawing/2014/main" xmlns="" id="{9FEFCE7B-05B1-49FA-9CB9-38020C421CBB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748" name="Text Box 301">
          <a:extLst>
            <a:ext uri="{FF2B5EF4-FFF2-40B4-BE49-F238E27FC236}">
              <a16:creationId xmlns:a16="http://schemas.microsoft.com/office/drawing/2014/main" xmlns="" id="{D0CECF5F-9A03-41BD-A81A-8D67D0BF28AE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749" name="Text Box 302">
          <a:extLst>
            <a:ext uri="{FF2B5EF4-FFF2-40B4-BE49-F238E27FC236}">
              <a16:creationId xmlns:a16="http://schemas.microsoft.com/office/drawing/2014/main" xmlns="" id="{CBA14F1C-C4A4-41C3-B2D4-AC3C7C25D829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750" name="Text Box 303">
          <a:extLst>
            <a:ext uri="{FF2B5EF4-FFF2-40B4-BE49-F238E27FC236}">
              <a16:creationId xmlns:a16="http://schemas.microsoft.com/office/drawing/2014/main" xmlns="" id="{379F4F25-DD65-4249-B4F8-31600EFAB965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751" name="Text Box 304">
          <a:extLst>
            <a:ext uri="{FF2B5EF4-FFF2-40B4-BE49-F238E27FC236}">
              <a16:creationId xmlns:a16="http://schemas.microsoft.com/office/drawing/2014/main" xmlns="" id="{18ECE1E6-CD0D-4CDB-AF53-A2BF6C2DC392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752" name="Text Box 305">
          <a:extLst>
            <a:ext uri="{FF2B5EF4-FFF2-40B4-BE49-F238E27FC236}">
              <a16:creationId xmlns:a16="http://schemas.microsoft.com/office/drawing/2014/main" xmlns="" id="{478576BE-A354-4786-AF83-7D7431FED623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753" name="Text Box 306">
          <a:extLst>
            <a:ext uri="{FF2B5EF4-FFF2-40B4-BE49-F238E27FC236}">
              <a16:creationId xmlns:a16="http://schemas.microsoft.com/office/drawing/2014/main" xmlns="" id="{7A7062EB-8E1B-4A71-A7C8-76930AE751A4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754" name="Text Box 307">
          <a:extLst>
            <a:ext uri="{FF2B5EF4-FFF2-40B4-BE49-F238E27FC236}">
              <a16:creationId xmlns:a16="http://schemas.microsoft.com/office/drawing/2014/main" xmlns="" id="{C101E2D0-99CD-41E6-8890-86F45EDCE465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755" name="Text Box 308">
          <a:extLst>
            <a:ext uri="{FF2B5EF4-FFF2-40B4-BE49-F238E27FC236}">
              <a16:creationId xmlns:a16="http://schemas.microsoft.com/office/drawing/2014/main" xmlns="" id="{939E3C94-3CD1-46E2-B0D0-53EB029EDC60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756" name="Text Box 309">
          <a:extLst>
            <a:ext uri="{FF2B5EF4-FFF2-40B4-BE49-F238E27FC236}">
              <a16:creationId xmlns:a16="http://schemas.microsoft.com/office/drawing/2014/main" xmlns="" id="{660103BD-6AF3-471E-8962-E94C46CAFD08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757" name="Text Box 310">
          <a:extLst>
            <a:ext uri="{FF2B5EF4-FFF2-40B4-BE49-F238E27FC236}">
              <a16:creationId xmlns:a16="http://schemas.microsoft.com/office/drawing/2014/main" xmlns="" id="{59E2AB79-1FF6-4F1B-9362-59AF2860976E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758" name="Text Box 311">
          <a:extLst>
            <a:ext uri="{FF2B5EF4-FFF2-40B4-BE49-F238E27FC236}">
              <a16:creationId xmlns:a16="http://schemas.microsoft.com/office/drawing/2014/main" xmlns="" id="{79D89C37-4ADF-4C6A-AA1A-C25B1BAF5892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759" name="Text Box 312">
          <a:extLst>
            <a:ext uri="{FF2B5EF4-FFF2-40B4-BE49-F238E27FC236}">
              <a16:creationId xmlns:a16="http://schemas.microsoft.com/office/drawing/2014/main" xmlns="" id="{69989609-40C7-444E-B73A-CA515DE826DB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760" name="Text Box 313">
          <a:extLst>
            <a:ext uri="{FF2B5EF4-FFF2-40B4-BE49-F238E27FC236}">
              <a16:creationId xmlns:a16="http://schemas.microsoft.com/office/drawing/2014/main" xmlns="" id="{7C492622-CB5B-4DB0-A5C3-BE3E1EC28FB1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761" name="Text Box 314">
          <a:extLst>
            <a:ext uri="{FF2B5EF4-FFF2-40B4-BE49-F238E27FC236}">
              <a16:creationId xmlns:a16="http://schemas.microsoft.com/office/drawing/2014/main" xmlns="" id="{62867A9A-7BA9-42CE-9508-A0661A5F6DA5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762" name="Text Box 315">
          <a:extLst>
            <a:ext uri="{FF2B5EF4-FFF2-40B4-BE49-F238E27FC236}">
              <a16:creationId xmlns:a16="http://schemas.microsoft.com/office/drawing/2014/main" xmlns="" id="{09161099-A155-4217-95DD-0A033ACD42C2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763" name="Text Box 316">
          <a:extLst>
            <a:ext uri="{FF2B5EF4-FFF2-40B4-BE49-F238E27FC236}">
              <a16:creationId xmlns:a16="http://schemas.microsoft.com/office/drawing/2014/main" xmlns="" id="{94370330-8FB8-4C8A-8356-CE365D68FC3F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764" name="Text Box 317">
          <a:extLst>
            <a:ext uri="{FF2B5EF4-FFF2-40B4-BE49-F238E27FC236}">
              <a16:creationId xmlns:a16="http://schemas.microsoft.com/office/drawing/2014/main" xmlns="" id="{90FCA603-F729-4B6A-9639-2CE0C61B3D9D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765" name="Text Box 318">
          <a:extLst>
            <a:ext uri="{FF2B5EF4-FFF2-40B4-BE49-F238E27FC236}">
              <a16:creationId xmlns:a16="http://schemas.microsoft.com/office/drawing/2014/main" xmlns="" id="{2BFC6ADE-54E9-4580-B41C-76E09FDABFC3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766" name="Text Box 319">
          <a:extLst>
            <a:ext uri="{FF2B5EF4-FFF2-40B4-BE49-F238E27FC236}">
              <a16:creationId xmlns:a16="http://schemas.microsoft.com/office/drawing/2014/main" xmlns="" id="{BE7EF4A3-631A-4A6D-BAF6-6EBCB5869033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767" name="Text Box 320">
          <a:extLst>
            <a:ext uri="{FF2B5EF4-FFF2-40B4-BE49-F238E27FC236}">
              <a16:creationId xmlns:a16="http://schemas.microsoft.com/office/drawing/2014/main" xmlns="" id="{895BC66D-EE75-4F50-8751-CF2F12482EA9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768" name="Text Box 321">
          <a:extLst>
            <a:ext uri="{FF2B5EF4-FFF2-40B4-BE49-F238E27FC236}">
              <a16:creationId xmlns:a16="http://schemas.microsoft.com/office/drawing/2014/main" xmlns="" id="{7EF8C5B2-66D2-4AB4-A312-879B1B9C4ED1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769" name="Text Box 322">
          <a:extLst>
            <a:ext uri="{FF2B5EF4-FFF2-40B4-BE49-F238E27FC236}">
              <a16:creationId xmlns:a16="http://schemas.microsoft.com/office/drawing/2014/main" xmlns="" id="{09A68D9C-5ED4-412E-8C6D-90640CB91FB5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770" name="Text Box 323">
          <a:extLst>
            <a:ext uri="{FF2B5EF4-FFF2-40B4-BE49-F238E27FC236}">
              <a16:creationId xmlns:a16="http://schemas.microsoft.com/office/drawing/2014/main" xmlns="" id="{EE895110-BE62-4197-B0F4-2FEEB7DFE0FC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771" name="Text Box 324">
          <a:extLst>
            <a:ext uri="{FF2B5EF4-FFF2-40B4-BE49-F238E27FC236}">
              <a16:creationId xmlns:a16="http://schemas.microsoft.com/office/drawing/2014/main" xmlns="" id="{3055828E-8201-4E5E-948E-82CC8297CE1E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772" name="Text Box 325">
          <a:extLst>
            <a:ext uri="{FF2B5EF4-FFF2-40B4-BE49-F238E27FC236}">
              <a16:creationId xmlns:a16="http://schemas.microsoft.com/office/drawing/2014/main" xmlns="" id="{079EA19B-48B7-4760-8475-27298DC6CBEC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773" name="Text Box 326">
          <a:extLst>
            <a:ext uri="{FF2B5EF4-FFF2-40B4-BE49-F238E27FC236}">
              <a16:creationId xmlns:a16="http://schemas.microsoft.com/office/drawing/2014/main" xmlns="" id="{5A4D44CE-BEE2-4745-8BB0-E92C304C9693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774" name="Text Box 327">
          <a:extLst>
            <a:ext uri="{FF2B5EF4-FFF2-40B4-BE49-F238E27FC236}">
              <a16:creationId xmlns:a16="http://schemas.microsoft.com/office/drawing/2014/main" xmlns="" id="{D23D379A-5F7C-4299-A8E8-ABDAF0377C48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775" name="Text Box 328">
          <a:extLst>
            <a:ext uri="{FF2B5EF4-FFF2-40B4-BE49-F238E27FC236}">
              <a16:creationId xmlns:a16="http://schemas.microsoft.com/office/drawing/2014/main" xmlns="" id="{98741B05-0265-4A1B-9633-3F6FCA6EB486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776" name="Text Box 329">
          <a:extLst>
            <a:ext uri="{FF2B5EF4-FFF2-40B4-BE49-F238E27FC236}">
              <a16:creationId xmlns:a16="http://schemas.microsoft.com/office/drawing/2014/main" xmlns="" id="{A2D7492F-736B-4DDD-8055-8A4961620A42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777" name="Text Box 330">
          <a:extLst>
            <a:ext uri="{FF2B5EF4-FFF2-40B4-BE49-F238E27FC236}">
              <a16:creationId xmlns:a16="http://schemas.microsoft.com/office/drawing/2014/main" xmlns="" id="{702DC91F-7AA0-48EE-AB27-7B3FDEC41640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778" name="Text Box 331">
          <a:extLst>
            <a:ext uri="{FF2B5EF4-FFF2-40B4-BE49-F238E27FC236}">
              <a16:creationId xmlns:a16="http://schemas.microsoft.com/office/drawing/2014/main" xmlns="" id="{729A13D1-1041-4E89-BA5A-12347D790905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779" name="Text Box 332">
          <a:extLst>
            <a:ext uri="{FF2B5EF4-FFF2-40B4-BE49-F238E27FC236}">
              <a16:creationId xmlns:a16="http://schemas.microsoft.com/office/drawing/2014/main" xmlns="" id="{7D21F999-2622-4929-B1B4-2F264671EF5E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780" name="Text Box 333">
          <a:extLst>
            <a:ext uri="{FF2B5EF4-FFF2-40B4-BE49-F238E27FC236}">
              <a16:creationId xmlns:a16="http://schemas.microsoft.com/office/drawing/2014/main" xmlns="" id="{3B2B1097-577C-454B-B580-ECA1EE20A6F1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781" name="Text Box 334">
          <a:extLst>
            <a:ext uri="{FF2B5EF4-FFF2-40B4-BE49-F238E27FC236}">
              <a16:creationId xmlns:a16="http://schemas.microsoft.com/office/drawing/2014/main" xmlns="" id="{9D9B272B-06D6-4FAD-8299-E605267D836C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782" name="Text Box 335">
          <a:extLst>
            <a:ext uri="{FF2B5EF4-FFF2-40B4-BE49-F238E27FC236}">
              <a16:creationId xmlns:a16="http://schemas.microsoft.com/office/drawing/2014/main" xmlns="" id="{10BC37A0-38FC-4311-96E0-C2E3A44A9444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783" name="Text Box 336">
          <a:extLst>
            <a:ext uri="{FF2B5EF4-FFF2-40B4-BE49-F238E27FC236}">
              <a16:creationId xmlns:a16="http://schemas.microsoft.com/office/drawing/2014/main" xmlns="" id="{937306E6-29E0-4979-A830-250596383E62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784" name="Text Box 337">
          <a:extLst>
            <a:ext uri="{FF2B5EF4-FFF2-40B4-BE49-F238E27FC236}">
              <a16:creationId xmlns:a16="http://schemas.microsoft.com/office/drawing/2014/main" xmlns="" id="{256F5BA4-76A0-44B9-9EDF-21EB78C1A333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785" name="Text Box 338">
          <a:extLst>
            <a:ext uri="{FF2B5EF4-FFF2-40B4-BE49-F238E27FC236}">
              <a16:creationId xmlns:a16="http://schemas.microsoft.com/office/drawing/2014/main" xmlns="" id="{7B0808A1-435E-4D19-BDDC-A034AF2FF206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786" name="Text Box 339">
          <a:extLst>
            <a:ext uri="{FF2B5EF4-FFF2-40B4-BE49-F238E27FC236}">
              <a16:creationId xmlns:a16="http://schemas.microsoft.com/office/drawing/2014/main" xmlns="" id="{65CAE46A-77FD-46A5-A090-DFD469A20D3C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787" name="Text Box 340">
          <a:extLst>
            <a:ext uri="{FF2B5EF4-FFF2-40B4-BE49-F238E27FC236}">
              <a16:creationId xmlns:a16="http://schemas.microsoft.com/office/drawing/2014/main" xmlns="" id="{2CB5C2F8-65DD-41FB-8DCF-F60BBD2B4A1A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788" name="Text Box 341">
          <a:extLst>
            <a:ext uri="{FF2B5EF4-FFF2-40B4-BE49-F238E27FC236}">
              <a16:creationId xmlns:a16="http://schemas.microsoft.com/office/drawing/2014/main" xmlns="" id="{DAC58C23-0F5C-4557-9363-5B9BF0D775FF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789" name="Text Box 342">
          <a:extLst>
            <a:ext uri="{FF2B5EF4-FFF2-40B4-BE49-F238E27FC236}">
              <a16:creationId xmlns:a16="http://schemas.microsoft.com/office/drawing/2014/main" xmlns="" id="{E9150B55-362F-45E9-A9F5-469522B66FA7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790" name="Text Box 343">
          <a:extLst>
            <a:ext uri="{FF2B5EF4-FFF2-40B4-BE49-F238E27FC236}">
              <a16:creationId xmlns:a16="http://schemas.microsoft.com/office/drawing/2014/main" xmlns="" id="{E8EFF1A0-F9D7-4C34-954B-FBF13D7308B8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791" name="Text Box 344">
          <a:extLst>
            <a:ext uri="{FF2B5EF4-FFF2-40B4-BE49-F238E27FC236}">
              <a16:creationId xmlns:a16="http://schemas.microsoft.com/office/drawing/2014/main" xmlns="" id="{7D3155C6-A3FE-4820-A505-9D5FA22DF89F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792" name="Text Box 345">
          <a:extLst>
            <a:ext uri="{FF2B5EF4-FFF2-40B4-BE49-F238E27FC236}">
              <a16:creationId xmlns:a16="http://schemas.microsoft.com/office/drawing/2014/main" xmlns="" id="{163F00B5-5500-4690-B36F-B6B6524A307F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793" name="Text Box 346">
          <a:extLst>
            <a:ext uri="{FF2B5EF4-FFF2-40B4-BE49-F238E27FC236}">
              <a16:creationId xmlns:a16="http://schemas.microsoft.com/office/drawing/2014/main" xmlns="" id="{C1EFA9E8-545D-4080-87F5-20568D9D4EC8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794" name="Text Box 347">
          <a:extLst>
            <a:ext uri="{FF2B5EF4-FFF2-40B4-BE49-F238E27FC236}">
              <a16:creationId xmlns:a16="http://schemas.microsoft.com/office/drawing/2014/main" xmlns="" id="{769370A6-80B2-4CDD-A1DC-2DAEF0B6FE25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795" name="Text Box 348">
          <a:extLst>
            <a:ext uri="{FF2B5EF4-FFF2-40B4-BE49-F238E27FC236}">
              <a16:creationId xmlns:a16="http://schemas.microsoft.com/office/drawing/2014/main" xmlns="" id="{FAEBA5F3-89C4-4515-92B0-F61A3AA473CD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796" name="Text Box 349">
          <a:extLst>
            <a:ext uri="{FF2B5EF4-FFF2-40B4-BE49-F238E27FC236}">
              <a16:creationId xmlns:a16="http://schemas.microsoft.com/office/drawing/2014/main" xmlns="" id="{F734DA7F-351B-4864-8859-7F4A64FD41A3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797" name="Text Box 350">
          <a:extLst>
            <a:ext uri="{FF2B5EF4-FFF2-40B4-BE49-F238E27FC236}">
              <a16:creationId xmlns:a16="http://schemas.microsoft.com/office/drawing/2014/main" xmlns="" id="{BD8AF665-BE59-44F9-B2FE-9C567EFEC4C5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798" name="Text Box 351">
          <a:extLst>
            <a:ext uri="{FF2B5EF4-FFF2-40B4-BE49-F238E27FC236}">
              <a16:creationId xmlns:a16="http://schemas.microsoft.com/office/drawing/2014/main" xmlns="" id="{9AF811FE-2663-41B2-BBF8-8D9D13AE5CE9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799" name="Text Box 352">
          <a:extLst>
            <a:ext uri="{FF2B5EF4-FFF2-40B4-BE49-F238E27FC236}">
              <a16:creationId xmlns:a16="http://schemas.microsoft.com/office/drawing/2014/main" xmlns="" id="{5327D312-A286-41D4-9D3F-8D817B23ABCE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800" name="Text Box 353">
          <a:extLst>
            <a:ext uri="{FF2B5EF4-FFF2-40B4-BE49-F238E27FC236}">
              <a16:creationId xmlns:a16="http://schemas.microsoft.com/office/drawing/2014/main" xmlns="" id="{C276996C-1D24-4AD2-918D-0EB512B2526F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801" name="Text Box 354">
          <a:extLst>
            <a:ext uri="{FF2B5EF4-FFF2-40B4-BE49-F238E27FC236}">
              <a16:creationId xmlns:a16="http://schemas.microsoft.com/office/drawing/2014/main" xmlns="" id="{773B833E-4529-4B93-BBEC-58AB2922DD5F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802" name="Text Box 355">
          <a:extLst>
            <a:ext uri="{FF2B5EF4-FFF2-40B4-BE49-F238E27FC236}">
              <a16:creationId xmlns:a16="http://schemas.microsoft.com/office/drawing/2014/main" xmlns="" id="{B684D33B-B129-48AA-AE8C-0449182F5E5D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803" name="Text Box 356">
          <a:extLst>
            <a:ext uri="{FF2B5EF4-FFF2-40B4-BE49-F238E27FC236}">
              <a16:creationId xmlns:a16="http://schemas.microsoft.com/office/drawing/2014/main" xmlns="" id="{8AAA6974-E25A-4FE2-BB1C-E50C65BCFF1A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804" name="Text Box 357">
          <a:extLst>
            <a:ext uri="{FF2B5EF4-FFF2-40B4-BE49-F238E27FC236}">
              <a16:creationId xmlns:a16="http://schemas.microsoft.com/office/drawing/2014/main" xmlns="" id="{9A60AA19-680E-4D87-9A83-206F7F69A860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805" name="Text Box 358">
          <a:extLst>
            <a:ext uri="{FF2B5EF4-FFF2-40B4-BE49-F238E27FC236}">
              <a16:creationId xmlns:a16="http://schemas.microsoft.com/office/drawing/2014/main" xmlns="" id="{0A4AAE17-D63C-4C8D-8DE5-C5FD5F45F78B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806" name="Text Box 359">
          <a:extLst>
            <a:ext uri="{FF2B5EF4-FFF2-40B4-BE49-F238E27FC236}">
              <a16:creationId xmlns:a16="http://schemas.microsoft.com/office/drawing/2014/main" xmlns="" id="{B6D34F25-B38F-4C21-9074-316D02F35263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807" name="Text Box 360">
          <a:extLst>
            <a:ext uri="{FF2B5EF4-FFF2-40B4-BE49-F238E27FC236}">
              <a16:creationId xmlns:a16="http://schemas.microsoft.com/office/drawing/2014/main" xmlns="" id="{39A32BA2-A8D4-4A5C-8851-FBCB5C20D31A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808" name="Text Box 361">
          <a:extLst>
            <a:ext uri="{FF2B5EF4-FFF2-40B4-BE49-F238E27FC236}">
              <a16:creationId xmlns:a16="http://schemas.microsoft.com/office/drawing/2014/main" xmlns="" id="{E4009BEA-6807-47BA-923E-7236C5FF7BB7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809" name="Text Box 362">
          <a:extLst>
            <a:ext uri="{FF2B5EF4-FFF2-40B4-BE49-F238E27FC236}">
              <a16:creationId xmlns:a16="http://schemas.microsoft.com/office/drawing/2014/main" xmlns="" id="{E804BF52-11CD-4BE9-901F-0DEA7AE924A9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810" name="Text Box 363">
          <a:extLst>
            <a:ext uri="{FF2B5EF4-FFF2-40B4-BE49-F238E27FC236}">
              <a16:creationId xmlns:a16="http://schemas.microsoft.com/office/drawing/2014/main" xmlns="" id="{2BC81B4F-0C60-480D-9758-BE00AFD0ED82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811" name="Text Box 364">
          <a:extLst>
            <a:ext uri="{FF2B5EF4-FFF2-40B4-BE49-F238E27FC236}">
              <a16:creationId xmlns:a16="http://schemas.microsoft.com/office/drawing/2014/main" xmlns="" id="{056A827E-8AD4-4EF5-8455-516E2EF0BB79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812" name="Text Box 365">
          <a:extLst>
            <a:ext uri="{FF2B5EF4-FFF2-40B4-BE49-F238E27FC236}">
              <a16:creationId xmlns:a16="http://schemas.microsoft.com/office/drawing/2014/main" xmlns="" id="{D84B4AB4-EE80-447A-B584-1EA3222DF3D0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813" name="Text Box 366">
          <a:extLst>
            <a:ext uri="{FF2B5EF4-FFF2-40B4-BE49-F238E27FC236}">
              <a16:creationId xmlns:a16="http://schemas.microsoft.com/office/drawing/2014/main" xmlns="" id="{FAEE791C-B3C5-4C52-8D40-14AB7CA99714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814" name="Text Box 367">
          <a:extLst>
            <a:ext uri="{FF2B5EF4-FFF2-40B4-BE49-F238E27FC236}">
              <a16:creationId xmlns:a16="http://schemas.microsoft.com/office/drawing/2014/main" xmlns="" id="{789147B4-ABBF-42C5-B543-20B4383B37C9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815" name="Text Box 368">
          <a:extLst>
            <a:ext uri="{FF2B5EF4-FFF2-40B4-BE49-F238E27FC236}">
              <a16:creationId xmlns:a16="http://schemas.microsoft.com/office/drawing/2014/main" xmlns="" id="{C401DD73-819F-430E-8E67-56ECCFF5AC72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816" name="Text Box 369">
          <a:extLst>
            <a:ext uri="{FF2B5EF4-FFF2-40B4-BE49-F238E27FC236}">
              <a16:creationId xmlns:a16="http://schemas.microsoft.com/office/drawing/2014/main" xmlns="" id="{E1E3EFC1-B7C2-4E98-B3C6-E72134C9B9E7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817" name="Text Box 370">
          <a:extLst>
            <a:ext uri="{FF2B5EF4-FFF2-40B4-BE49-F238E27FC236}">
              <a16:creationId xmlns:a16="http://schemas.microsoft.com/office/drawing/2014/main" xmlns="" id="{2732016C-8DC0-4D37-B639-696286F8C58C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818" name="Text Box 371">
          <a:extLst>
            <a:ext uri="{FF2B5EF4-FFF2-40B4-BE49-F238E27FC236}">
              <a16:creationId xmlns:a16="http://schemas.microsoft.com/office/drawing/2014/main" xmlns="" id="{8122F78E-8618-4C2A-AA54-6B6A377BA936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819" name="Text Box 372">
          <a:extLst>
            <a:ext uri="{FF2B5EF4-FFF2-40B4-BE49-F238E27FC236}">
              <a16:creationId xmlns:a16="http://schemas.microsoft.com/office/drawing/2014/main" xmlns="" id="{08B69724-CFB6-4B8D-82BB-A629A635F134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820" name="Text Box 373">
          <a:extLst>
            <a:ext uri="{FF2B5EF4-FFF2-40B4-BE49-F238E27FC236}">
              <a16:creationId xmlns:a16="http://schemas.microsoft.com/office/drawing/2014/main" xmlns="" id="{C403099D-BFB6-49D4-A76A-2CD4BB313768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821" name="Text Box 374">
          <a:extLst>
            <a:ext uri="{FF2B5EF4-FFF2-40B4-BE49-F238E27FC236}">
              <a16:creationId xmlns:a16="http://schemas.microsoft.com/office/drawing/2014/main" xmlns="" id="{E31062B8-3D41-452F-915C-A5122D94AC99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822" name="Text Box 375">
          <a:extLst>
            <a:ext uri="{FF2B5EF4-FFF2-40B4-BE49-F238E27FC236}">
              <a16:creationId xmlns:a16="http://schemas.microsoft.com/office/drawing/2014/main" xmlns="" id="{A3EBA191-73C1-4BAC-B74C-75E0B9595EE5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823" name="Text Box 376">
          <a:extLst>
            <a:ext uri="{FF2B5EF4-FFF2-40B4-BE49-F238E27FC236}">
              <a16:creationId xmlns:a16="http://schemas.microsoft.com/office/drawing/2014/main" xmlns="" id="{28E66FB0-0EA4-4D8E-9538-3A88D69B7AC3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824" name="Text Box 377">
          <a:extLst>
            <a:ext uri="{FF2B5EF4-FFF2-40B4-BE49-F238E27FC236}">
              <a16:creationId xmlns:a16="http://schemas.microsoft.com/office/drawing/2014/main" xmlns="" id="{C3A7F19D-7825-419F-8017-6BA9F1342EAA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825" name="Text Box 378">
          <a:extLst>
            <a:ext uri="{FF2B5EF4-FFF2-40B4-BE49-F238E27FC236}">
              <a16:creationId xmlns:a16="http://schemas.microsoft.com/office/drawing/2014/main" xmlns="" id="{3C86C2FB-F6B7-4906-A46A-C646FDE2BDBD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826" name="Text Box 379">
          <a:extLst>
            <a:ext uri="{FF2B5EF4-FFF2-40B4-BE49-F238E27FC236}">
              <a16:creationId xmlns:a16="http://schemas.microsoft.com/office/drawing/2014/main" xmlns="" id="{718FB13F-3759-4EA2-BF4A-E4267A772ED9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827" name="Text Box 380">
          <a:extLst>
            <a:ext uri="{FF2B5EF4-FFF2-40B4-BE49-F238E27FC236}">
              <a16:creationId xmlns:a16="http://schemas.microsoft.com/office/drawing/2014/main" xmlns="" id="{F569CA73-2511-4D67-98CB-214C55A328D8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828" name="Text Box 381">
          <a:extLst>
            <a:ext uri="{FF2B5EF4-FFF2-40B4-BE49-F238E27FC236}">
              <a16:creationId xmlns:a16="http://schemas.microsoft.com/office/drawing/2014/main" xmlns="" id="{3C7216A2-3F3E-4560-A570-C95D7BCE1431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829" name="Text Box 382">
          <a:extLst>
            <a:ext uri="{FF2B5EF4-FFF2-40B4-BE49-F238E27FC236}">
              <a16:creationId xmlns:a16="http://schemas.microsoft.com/office/drawing/2014/main" xmlns="" id="{EEB90822-652C-4D99-849D-078D6B124724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830" name="Text Box 383">
          <a:extLst>
            <a:ext uri="{FF2B5EF4-FFF2-40B4-BE49-F238E27FC236}">
              <a16:creationId xmlns:a16="http://schemas.microsoft.com/office/drawing/2014/main" xmlns="" id="{F2193E65-1B73-464D-A078-C8BBF2766A03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831" name="Text Box 384">
          <a:extLst>
            <a:ext uri="{FF2B5EF4-FFF2-40B4-BE49-F238E27FC236}">
              <a16:creationId xmlns:a16="http://schemas.microsoft.com/office/drawing/2014/main" xmlns="" id="{E85D524E-8210-4207-81C0-3ED0861145FD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832" name="Text Box 385">
          <a:extLst>
            <a:ext uri="{FF2B5EF4-FFF2-40B4-BE49-F238E27FC236}">
              <a16:creationId xmlns:a16="http://schemas.microsoft.com/office/drawing/2014/main" xmlns="" id="{FE02A2CA-74E5-4FEF-8301-14D4C0575D50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833" name="Text Box 386">
          <a:extLst>
            <a:ext uri="{FF2B5EF4-FFF2-40B4-BE49-F238E27FC236}">
              <a16:creationId xmlns:a16="http://schemas.microsoft.com/office/drawing/2014/main" xmlns="" id="{44D3D7D7-2BAA-43D4-B482-C8A3E0FA07B1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834" name="Text Box 387">
          <a:extLst>
            <a:ext uri="{FF2B5EF4-FFF2-40B4-BE49-F238E27FC236}">
              <a16:creationId xmlns:a16="http://schemas.microsoft.com/office/drawing/2014/main" xmlns="" id="{9FCE3542-FEC5-45B1-9604-8BA75075628A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835" name="Text Box 388">
          <a:extLst>
            <a:ext uri="{FF2B5EF4-FFF2-40B4-BE49-F238E27FC236}">
              <a16:creationId xmlns:a16="http://schemas.microsoft.com/office/drawing/2014/main" xmlns="" id="{F299B939-1A4D-4119-811D-7941C8C0377C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836" name="Text Box 389">
          <a:extLst>
            <a:ext uri="{FF2B5EF4-FFF2-40B4-BE49-F238E27FC236}">
              <a16:creationId xmlns:a16="http://schemas.microsoft.com/office/drawing/2014/main" xmlns="" id="{5D00B122-9215-4266-AB21-D704E9AFC66E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837" name="Text Box 390">
          <a:extLst>
            <a:ext uri="{FF2B5EF4-FFF2-40B4-BE49-F238E27FC236}">
              <a16:creationId xmlns:a16="http://schemas.microsoft.com/office/drawing/2014/main" xmlns="" id="{3C0E0840-46B8-41A2-B37C-F89CFDB5EF0A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838" name="Text Box 391">
          <a:extLst>
            <a:ext uri="{FF2B5EF4-FFF2-40B4-BE49-F238E27FC236}">
              <a16:creationId xmlns:a16="http://schemas.microsoft.com/office/drawing/2014/main" xmlns="" id="{C9FC50A9-385E-43B2-A8F4-32670F8AF9E1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839" name="Text Box 392">
          <a:extLst>
            <a:ext uri="{FF2B5EF4-FFF2-40B4-BE49-F238E27FC236}">
              <a16:creationId xmlns:a16="http://schemas.microsoft.com/office/drawing/2014/main" xmlns="" id="{1D86BC11-6DE8-4013-A947-BB8B18B3DB73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840" name="Text Box 393">
          <a:extLst>
            <a:ext uri="{FF2B5EF4-FFF2-40B4-BE49-F238E27FC236}">
              <a16:creationId xmlns:a16="http://schemas.microsoft.com/office/drawing/2014/main" xmlns="" id="{8968B707-B117-4E97-AB73-158C2ED139D8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841" name="Text Box 394">
          <a:extLst>
            <a:ext uri="{FF2B5EF4-FFF2-40B4-BE49-F238E27FC236}">
              <a16:creationId xmlns:a16="http://schemas.microsoft.com/office/drawing/2014/main" xmlns="" id="{DC6E21FF-C478-46C1-B407-52A9E75AD625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842" name="Text Box 395">
          <a:extLst>
            <a:ext uri="{FF2B5EF4-FFF2-40B4-BE49-F238E27FC236}">
              <a16:creationId xmlns:a16="http://schemas.microsoft.com/office/drawing/2014/main" xmlns="" id="{557EDD93-E058-4A4E-9BD4-03052513B0F3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843" name="Text Box 396">
          <a:extLst>
            <a:ext uri="{FF2B5EF4-FFF2-40B4-BE49-F238E27FC236}">
              <a16:creationId xmlns:a16="http://schemas.microsoft.com/office/drawing/2014/main" xmlns="" id="{417E297E-7483-4EAC-955F-6A085DCBE07F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844" name="Text Box 397">
          <a:extLst>
            <a:ext uri="{FF2B5EF4-FFF2-40B4-BE49-F238E27FC236}">
              <a16:creationId xmlns:a16="http://schemas.microsoft.com/office/drawing/2014/main" xmlns="" id="{ECE33B46-D409-4ED6-9C99-3D0B1EE47F1C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845" name="Text Box 398">
          <a:extLst>
            <a:ext uri="{FF2B5EF4-FFF2-40B4-BE49-F238E27FC236}">
              <a16:creationId xmlns:a16="http://schemas.microsoft.com/office/drawing/2014/main" xmlns="" id="{9C653E0A-9DA2-451F-B6AB-6FF1F5173D1F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846" name="Text Box 399">
          <a:extLst>
            <a:ext uri="{FF2B5EF4-FFF2-40B4-BE49-F238E27FC236}">
              <a16:creationId xmlns:a16="http://schemas.microsoft.com/office/drawing/2014/main" xmlns="" id="{77F8B9C5-0946-4DA9-9E50-3D32ECBDF02C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847" name="Text Box 400">
          <a:extLst>
            <a:ext uri="{FF2B5EF4-FFF2-40B4-BE49-F238E27FC236}">
              <a16:creationId xmlns:a16="http://schemas.microsoft.com/office/drawing/2014/main" xmlns="" id="{806A5451-820C-494D-9707-18491969D4F4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848" name="Text Box 401">
          <a:extLst>
            <a:ext uri="{FF2B5EF4-FFF2-40B4-BE49-F238E27FC236}">
              <a16:creationId xmlns:a16="http://schemas.microsoft.com/office/drawing/2014/main" xmlns="" id="{88FD5C79-DFCB-4228-A4C8-9C10A2D01BDE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849" name="Text Box 402">
          <a:extLst>
            <a:ext uri="{FF2B5EF4-FFF2-40B4-BE49-F238E27FC236}">
              <a16:creationId xmlns:a16="http://schemas.microsoft.com/office/drawing/2014/main" xmlns="" id="{39F6D132-DAB4-423A-9ADD-F532FE405318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850" name="Text Box 403">
          <a:extLst>
            <a:ext uri="{FF2B5EF4-FFF2-40B4-BE49-F238E27FC236}">
              <a16:creationId xmlns:a16="http://schemas.microsoft.com/office/drawing/2014/main" xmlns="" id="{A52F0844-79F6-41A6-8A5A-DF8F6AA84219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851" name="Text Box 404">
          <a:extLst>
            <a:ext uri="{FF2B5EF4-FFF2-40B4-BE49-F238E27FC236}">
              <a16:creationId xmlns:a16="http://schemas.microsoft.com/office/drawing/2014/main" xmlns="" id="{A627DA3C-6F5C-474B-9E34-5FDECCA75C63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852" name="Text Box 405">
          <a:extLst>
            <a:ext uri="{FF2B5EF4-FFF2-40B4-BE49-F238E27FC236}">
              <a16:creationId xmlns:a16="http://schemas.microsoft.com/office/drawing/2014/main" xmlns="" id="{7E0DFCB3-34DB-47E8-B852-699A9C81DD0F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853" name="Text Box 406">
          <a:extLst>
            <a:ext uri="{FF2B5EF4-FFF2-40B4-BE49-F238E27FC236}">
              <a16:creationId xmlns:a16="http://schemas.microsoft.com/office/drawing/2014/main" xmlns="" id="{5CE0C67D-3F3A-4651-85B4-958A22D46B61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854" name="Text Box 407">
          <a:extLst>
            <a:ext uri="{FF2B5EF4-FFF2-40B4-BE49-F238E27FC236}">
              <a16:creationId xmlns:a16="http://schemas.microsoft.com/office/drawing/2014/main" xmlns="" id="{25B0C9E9-269C-4098-A4B2-721CDE683FCD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855" name="Text Box 408">
          <a:extLst>
            <a:ext uri="{FF2B5EF4-FFF2-40B4-BE49-F238E27FC236}">
              <a16:creationId xmlns:a16="http://schemas.microsoft.com/office/drawing/2014/main" xmlns="" id="{72F25EBD-D95D-4F7C-B41B-6A7F9F1484AA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856" name="Text Box 409">
          <a:extLst>
            <a:ext uri="{FF2B5EF4-FFF2-40B4-BE49-F238E27FC236}">
              <a16:creationId xmlns:a16="http://schemas.microsoft.com/office/drawing/2014/main" xmlns="" id="{6052BDD0-2809-4B3B-9F92-4524961BC2BF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857" name="Text Box 410">
          <a:extLst>
            <a:ext uri="{FF2B5EF4-FFF2-40B4-BE49-F238E27FC236}">
              <a16:creationId xmlns:a16="http://schemas.microsoft.com/office/drawing/2014/main" xmlns="" id="{A3FBA6EE-12F0-4127-BDE6-9CB2B50B32EA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858" name="Text Box 411">
          <a:extLst>
            <a:ext uri="{FF2B5EF4-FFF2-40B4-BE49-F238E27FC236}">
              <a16:creationId xmlns:a16="http://schemas.microsoft.com/office/drawing/2014/main" xmlns="" id="{747A2F53-D415-42C1-81E4-E653169925DC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859" name="Text Box 412">
          <a:extLst>
            <a:ext uri="{FF2B5EF4-FFF2-40B4-BE49-F238E27FC236}">
              <a16:creationId xmlns:a16="http://schemas.microsoft.com/office/drawing/2014/main" xmlns="" id="{88DE95D2-470D-44F3-9CA6-583D17E0F38E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860" name="Text Box 413">
          <a:extLst>
            <a:ext uri="{FF2B5EF4-FFF2-40B4-BE49-F238E27FC236}">
              <a16:creationId xmlns:a16="http://schemas.microsoft.com/office/drawing/2014/main" xmlns="" id="{640F8B9D-31DB-4EF4-B726-098EED6FFDA6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861" name="Text Box 414">
          <a:extLst>
            <a:ext uri="{FF2B5EF4-FFF2-40B4-BE49-F238E27FC236}">
              <a16:creationId xmlns:a16="http://schemas.microsoft.com/office/drawing/2014/main" xmlns="" id="{2CF25821-4FB3-4B57-A65B-DB07B8953304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862" name="Text Box 415">
          <a:extLst>
            <a:ext uri="{FF2B5EF4-FFF2-40B4-BE49-F238E27FC236}">
              <a16:creationId xmlns:a16="http://schemas.microsoft.com/office/drawing/2014/main" xmlns="" id="{8DA1BA80-52AF-4A8E-9DED-DEE50B03BCF2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863" name="Text Box 416">
          <a:extLst>
            <a:ext uri="{FF2B5EF4-FFF2-40B4-BE49-F238E27FC236}">
              <a16:creationId xmlns:a16="http://schemas.microsoft.com/office/drawing/2014/main" xmlns="" id="{4EB5784C-EB00-4ABB-B82E-978B04903F76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864" name="Text Box 417">
          <a:extLst>
            <a:ext uri="{FF2B5EF4-FFF2-40B4-BE49-F238E27FC236}">
              <a16:creationId xmlns:a16="http://schemas.microsoft.com/office/drawing/2014/main" xmlns="" id="{A4CF6F6F-C862-4268-A6B4-D91BFAADEF37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865" name="Text Box 418">
          <a:extLst>
            <a:ext uri="{FF2B5EF4-FFF2-40B4-BE49-F238E27FC236}">
              <a16:creationId xmlns:a16="http://schemas.microsoft.com/office/drawing/2014/main" xmlns="" id="{1834B874-87B7-4A08-B2EA-60F23B8FC538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866" name="Text Box 419">
          <a:extLst>
            <a:ext uri="{FF2B5EF4-FFF2-40B4-BE49-F238E27FC236}">
              <a16:creationId xmlns:a16="http://schemas.microsoft.com/office/drawing/2014/main" xmlns="" id="{3028A105-2E6C-4E82-8845-28BE8A656F75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867" name="Text Box 420">
          <a:extLst>
            <a:ext uri="{FF2B5EF4-FFF2-40B4-BE49-F238E27FC236}">
              <a16:creationId xmlns:a16="http://schemas.microsoft.com/office/drawing/2014/main" xmlns="" id="{3F011B39-98C3-4D27-A1E9-20F8F011EE04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868" name="Text Box 421">
          <a:extLst>
            <a:ext uri="{FF2B5EF4-FFF2-40B4-BE49-F238E27FC236}">
              <a16:creationId xmlns:a16="http://schemas.microsoft.com/office/drawing/2014/main" xmlns="" id="{AFA4368A-3881-420E-8C80-B1F918D741D7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869" name="Text Box 422">
          <a:extLst>
            <a:ext uri="{FF2B5EF4-FFF2-40B4-BE49-F238E27FC236}">
              <a16:creationId xmlns:a16="http://schemas.microsoft.com/office/drawing/2014/main" xmlns="" id="{D64ABE85-D34A-48D4-981B-1483DC2E17FD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870" name="Text Box 423">
          <a:extLst>
            <a:ext uri="{FF2B5EF4-FFF2-40B4-BE49-F238E27FC236}">
              <a16:creationId xmlns:a16="http://schemas.microsoft.com/office/drawing/2014/main" xmlns="" id="{F1BEC445-8303-429A-B53A-DF192C16275E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871" name="Text Box 424">
          <a:extLst>
            <a:ext uri="{FF2B5EF4-FFF2-40B4-BE49-F238E27FC236}">
              <a16:creationId xmlns:a16="http://schemas.microsoft.com/office/drawing/2014/main" xmlns="" id="{56ACB09E-5C77-4EA5-A330-8910EEE01BCC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872" name="Text Box 425">
          <a:extLst>
            <a:ext uri="{FF2B5EF4-FFF2-40B4-BE49-F238E27FC236}">
              <a16:creationId xmlns:a16="http://schemas.microsoft.com/office/drawing/2014/main" xmlns="" id="{FEE89D9F-AE95-426F-B11E-E5B30D743CB4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873" name="Text Box 426">
          <a:extLst>
            <a:ext uri="{FF2B5EF4-FFF2-40B4-BE49-F238E27FC236}">
              <a16:creationId xmlns:a16="http://schemas.microsoft.com/office/drawing/2014/main" xmlns="" id="{8FF208DE-4B62-405F-A8DA-2D167BECA4B7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874" name="Text Box 427">
          <a:extLst>
            <a:ext uri="{FF2B5EF4-FFF2-40B4-BE49-F238E27FC236}">
              <a16:creationId xmlns:a16="http://schemas.microsoft.com/office/drawing/2014/main" xmlns="" id="{88D6EB65-E7C0-4EE3-B6B2-77C579BE6835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875" name="Text Box 428">
          <a:extLst>
            <a:ext uri="{FF2B5EF4-FFF2-40B4-BE49-F238E27FC236}">
              <a16:creationId xmlns:a16="http://schemas.microsoft.com/office/drawing/2014/main" xmlns="" id="{5DEECA7A-22CC-4D0E-ABDF-578085940AE7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876" name="Text Box 429">
          <a:extLst>
            <a:ext uri="{FF2B5EF4-FFF2-40B4-BE49-F238E27FC236}">
              <a16:creationId xmlns:a16="http://schemas.microsoft.com/office/drawing/2014/main" xmlns="" id="{529BC404-C4F1-4C9F-BC57-473426D102D3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877" name="Text Box 430">
          <a:extLst>
            <a:ext uri="{FF2B5EF4-FFF2-40B4-BE49-F238E27FC236}">
              <a16:creationId xmlns:a16="http://schemas.microsoft.com/office/drawing/2014/main" xmlns="" id="{6F1C573A-5227-4816-836A-E0902AD1A196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878" name="Text Box 431">
          <a:extLst>
            <a:ext uri="{FF2B5EF4-FFF2-40B4-BE49-F238E27FC236}">
              <a16:creationId xmlns:a16="http://schemas.microsoft.com/office/drawing/2014/main" xmlns="" id="{67D058CF-F391-4D98-9A80-736863F165EB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879" name="Text Box 432">
          <a:extLst>
            <a:ext uri="{FF2B5EF4-FFF2-40B4-BE49-F238E27FC236}">
              <a16:creationId xmlns:a16="http://schemas.microsoft.com/office/drawing/2014/main" xmlns="" id="{CD7DCBB9-EBE0-4E87-B65D-9189C07C0B04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880" name="Text Box 433">
          <a:extLst>
            <a:ext uri="{FF2B5EF4-FFF2-40B4-BE49-F238E27FC236}">
              <a16:creationId xmlns:a16="http://schemas.microsoft.com/office/drawing/2014/main" xmlns="" id="{F672FD0F-90AC-4354-8BDA-94FB9589E337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881" name="Text Box 434">
          <a:extLst>
            <a:ext uri="{FF2B5EF4-FFF2-40B4-BE49-F238E27FC236}">
              <a16:creationId xmlns:a16="http://schemas.microsoft.com/office/drawing/2014/main" xmlns="" id="{563E6222-2606-4096-AB4B-9DD54827551C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882" name="Text Box 435">
          <a:extLst>
            <a:ext uri="{FF2B5EF4-FFF2-40B4-BE49-F238E27FC236}">
              <a16:creationId xmlns:a16="http://schemas.microsoft.com/office/drawing/2014/main" xmlns="" id="{CA401E88-A80D-4F9E-BBBF-4751495FD32C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883" name="Text Box 436">
          <a:extLst>
            <a:ext uri="{FF2B5EF4-FFF2-40B4-BE49-F238E27FC236}">
              <a16:creationId xmlns:a16="http://schemas.microsoft.com/office/drawing/2014/main" xmlns="" id="{05770D66-B8A2-42F0-9923-E776DFC96639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884" name="Text Box 437">
          <a:extLst>
            <a:ext uri="{FF2B5EF4-FFF2-40B4-BE49-F238E27FC236}">
              <a16:creationId xmlns:a16="http://schemas.microsoft.com/office/drawing/2014/main" xmlns="" id="{F3176AC7-FCC2-41AC-A849-37E64F9404F7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885" name="Text Box 438">
          <a:extLst>
            <a:ext uri="{FF2B5EF4-FFF2-40B4-BE49-F238E27FC236}">
              <a16:creationId xmlns:a16="http://schemas.microsoft.com/office/drawing/2014/main" xmlns="" id="{CEA3757A-AF0D-4C14-91F4-628B9A1EFA9D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886" name="Text Box 439">
          <a:extLst>
            <a:ext uri="{FF2B5EF4-FFF2-40B4-BE49-F238E27FC236}">
              <a16:creationId xmlns:a16="http://schemas.microsoft.com/office/drawing/2014/main" xmlns="" id="{F72207A1-8069-4F8C-8038-1FF6F14CBF04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887" name="Text Box 440">
          <a:extLst>
            <a:ext uri="{FF2B5EF4-FFF2-40B4-BE49-F238E27FC236}">
              <a16:creationId xmlns:a16="http://schemas.microsoft.com/office/drawing/2014/main" xmlns="" id="{A412AB62-DCBD-4579-BB08-8612F2798D2A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888" name="Text Box 441">
          <a:extLst>
            <a:ext uri="{FF2B5EF4-FFF2-40B4-BE49-F238E27FC236}">
              <a16:creationId xmlns:a16="http://schemas.microsoft.com/office/drawing/2014/main" xmlns="" id="{4D1F6A3F-798F-4F9C-B75D-07D748B2D86D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889" name="Text Box 442">
          <a:extLst>
            <a:ext uri="{FF2B5EF4-FFF2-40B4-BE49-F238E27FC236}">
              <a16:creationId xmlns:a16="http://schemas.microsoft.com/office/drawing/2014/main" xmlns="" id="{B71BF44A-55E9-482D-9DB6-780BD9067D44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890" name="Text Box 443">
          <a:extLst>
            <a:ext uri="{FF2B5EF4-FFF2-40B4-BE49-F238E27FC236}">
              <a16:creationId xmlns:a16="http://schemas.microsoft.com/office/drawing/2014/main" xmlns="" id="{ECDE73C8-697D-4823-BC1B-B046DCBA0EE3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891" name="Text Box 444">
          <a:extLst>
            <a:ext uri="{FF2B5EF4-FFF2-40B4-BE49-F238E27FC236}">
              <a16:creationId xmlns:a16="http://schemas.microsoft.com/office/drawing/2014/main" xmlns="" id="{1E0AB9E7-BD30-4F05-B244-3179FC82074F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892" name="Text Box 445">
          <a:extLst>
            <a:ext uri="{FF2B5EF4-FFF2-40B4-BE49-F238E27FC236}">
              <a16:creationId xmlns:a16="http://schemas.microsoft.com/office/drawing/2014/main" xmlns="" id="{3154F01B-9FE0-40DC-852A-CBE02819CBB7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893" name="Text Box 446">
          <a:extLst>
            <a:ext uri="{FF2B5EF4-FFF2-40B4-BE49-F238E27FC236}">
              <a16:creationId xmlns:a16="http://schemas.microsoft.com/office/drawing/2014/main" xmlns="" id="{85AEB793-BE40-48CF-9ACD-EFC02609A62F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894" name="Text Box 447">
          <a:extLst>
            <a:ext uri="{FF2B5EF4-FFF2-40B4-BE49-F238E27FC236}">
              <a16:creationId xmlns:a16="http://schemas.microsoft.com/office/drawing/2014/main" xmlns="" id="{4A0F36CB-C8FE-4C22-A6F8-8BAF61DAE755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895" name="Text Box 448">
          <a:extLst>
            <a:ext uri="{FF2B5EF4-FFF2-40B4-BE49-F238E27FC236}">
              <a16:creationId xmlns:a16="http://schemas.microsoft.com/office/drawing/2014/main" xmlns="" id="{946E1534-C35E-4AB5-A77A-8CDC6114CFD0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896" name="Text Box 449">
          <a:extLst>
            <a:ext uri="{FF2B5EF4-FFF2-40B4-BE49-F238E27FC236}">
              <a16:creationId xmlns:a16="http://schemas.microsoft.com/office/drawing/2014/main" xmlns="" id="{E62A33F8-CBA4-4C9F-B8BF-24C358D8918D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897" name="Text Box 450">
          <a:extLst>
            <a:ext uri="{FF2B5EF4-FFF2-40B4-BE49-F238E27FC236}">
              <a16:creationId xmlns:a16="http://schemas.microsoft.com/office/drawing/2014/main" xmlns="" id="{634EC227-621B-44C0-B5BE-561C0CAF7771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898" name="Text Box 451">
          <a:extLst>
            <a:ext uri="{FF2B5EF4-FFF2-40B4-BE49-F238E27FC236}">
              <a16:creationId xmlns:a16="http://schemas.microsoft.com/office/drawing/2014/main" xmlns="" id="{AB11E1D9-FDED-4DCD-8A57-B33A3BCFFE40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899" name="Text Box 452">
          <a:extLst>
            <a:ext uri="{FF2B5EF4-FFF2-40B4-BE49-F238E27FC236}">
              <a16:creationId xmlns:a16="http://schemas.microsoft.com/office/drawing/2014/main" xmlns="" id="{8D7C4511-C4B8-436B-9EBD-7D0422F54555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900" name="Text Box 453">
          <a:extLst>
            <a:ext uri="{FF2B5EF4-FFF2-40B4-BE49-F238E27FC236}">
              <a16:creationId xmlns:a16="http://schemas.microsoft.com/office/drawing/2014/main" xmlns="" id="{B0A525AA-36C2-4FD5-8414-90FC091D8110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901" name="Text Box 454">
          <a:extLst>
            <a:ext uri="{FF2B5EF4-FFF2-40B4-BE49-F238E27FC236}">
              <a16:creationId xmlns:a16="http://schemas.microsoft.com/office/drawing/2014/main" xmlns="" id="{213AF1D9-4AA3-4D63-A32C-D82832C02B3B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902" name="Text Box 455">
          <a:extLst>
            <a:ext uri="{FF2B5EF4-FFF2-40B4-BE49-F238E27FC236}">
              <a16:creationId xmlns:a16="http://schemas.microsoft.com/office/drawing/2014/main" xmlns="" id="{DD8AC241-35A7-45AB-A24E-4129CD4D9AC2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903" name="Text Box 456">
          <a:extLst>
            <a:ext uri="{FF2B5EF4-FFF2-40B4-BE49-F238E27FC236}">
              <a16:creationId xmlns:a16="http://schemas.microsoft.com/office/drawing/2014/main" xmlns="" id="{71C6E223-CDE2-404F-91B1-758D33828A54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904" name="Text Box 457">
          <a:extLst>
            <a:ext uri="{FF2B5EF4-FFF2-40B4-BE49-F238E27FC236}">
              <a16:creationId xmlns:a16="http://schemas.microsoft.com/office/drawing/2014/main" xmlns="" id="{F2F2F38A-2832-431D-B545-F0B657A80C3E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905" name="Text Box 458">
          <a:extLst>
            <a:ext uri="{FF2B5EF4-FFF2-40B4-BE49-F238E27FC236}">
              <a16:creationId xmlns:a16="http://schemas.microsoft.com/office/drawing/2014/main" xmlns="" id="{F319471B-4499-4BDC-A331-01A36D1DF02A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906" name="Text Box 459">
          <a:extLst>
            <a:ext uri="{FF2B5EF4-FFF2-40B4-BE49-F238E27FC236}">
              <a16:creationId xmlns:a16="http://schemas.microsoft.com/office/drawing/2014/main" xmlns="" id="{8D829C8F-6EC7-4D5E-8AF2-FE732BDDAC22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907" name="Text Box 460">
          <a:extLst>
            <a:ext uri="{FF2B5EF4-FFF2-40B4-BE49-F238E27FC236}">
              <a16:creationId xmlns:a16="http://schemas.microsoft.com/office/drawing/2014/main" xmlns="" id="{CC3566C0-2CE4-4649-ADD9-FF7E31D99897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908" name="Text Box 461">
          <a:extLst>
            <a:ext uri="{FF2B5EF4-FFF2-40B4-BE49-F238E27FC236}">
              <a16:creationId xmlns:a16="http://schemas.microsoft.com/office/drawing/2014/main" xmlns="" id="{746E8DA4-8DDE-4307-80BE-76C78B15C964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909" name="Text Box 462">
          <a:extLst>
            <a:ext uri="{FF2B5EF4-FFF2-40B4-BE49-F238E27FC236}">
              <a16:creationId xmlns:a16="http://schemas.microsoft.com/office/drawing/2014/main" xmlns="" id="{AF3CFF8D-1375-435B-88B4-4A0A165963C8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910" name="Text Box 463">
          <a:extLst>
            <a:ext uri="{FF2B5EF4-FFF2-40B4-BE49-F238E27FC236}">
              <a16:creationId xmlns:a16="http://schemas.microsoft.com/office/drawing/2014/main" xmlns="" id="{67679636-DE4F-4E91-8494-76D551405CD9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911" name="Text Box 464">
          <a:extLst>
            <a:ext uri="{FF2B5EF4-FFF2-40B4-BE49-F238E27FC236}">
              <a16:creationId xmlns:a16="http://schemas.microsoft.com/office/drawing/2014/main" xmlns="" id="{7EBD6542-F086-4E5C-BDB5-9A821D889BCC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912" name="Text Box 465">
          <a:extLst>
            <a:ext uri="{FF2B5EF4-FFF2-40B4-BE49-F238E27FC236}">
              <a16:creationId xmlns:a16="http://schemas.microsoft.com/office/drawing/2014/main" xmlns="" id="{F333CDDD-C4AA-457B-B6A1-8A731570E8CB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913" name="Text Box 466">
          <a:extLst>
            <a:ext uri="{FF2B5EF4-FFF2-40B4-BE49-F238E27FC236}">
              <a16:creationId xmlns:a16="http://schemas.microsoft.com/office/drawing/2014/main" xmlns="" id="{316A53F6-9B1E-409D-87A3-C94DCAD42F7D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914" name="Text Box 467">
          <a:extLst>
            <a:ext uri="{FF2B5EF4-FFF2-40B4-BE49-F238E27FC236}">
              <a16:creationId xmlns:a16="http://schemas.microsoft.com/office/drawing/2014/main" xmlns="" id="{96698D45-751B-4EA7-B805-3B9C334E99AE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915" name="Text Box 468">
          <a:extLst>
            <a:ext uri="{FF2B5EF4-FFF2-40B4-BE49-F238E27FC236}">
              <a16:creationId xmlns:a16="http://schemas.microsoft.com/office/drawing/2014/main" xmlns="" id="{E7017305-ECB6-488B-A43D-F160146A7EF3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916" name="Text Box 469">
          <a:extLst>
            <a:ext uri="{FF2B5EF4-FFF2-40B4-BE49-F238E27FC236}">
              <a16:creationId xmlns:a16="http://schemas.microsoft.com/office/drawing/2014/main" xmlns="" id="{EBB045ED-C1D8-491F-8F6B-B346AE7CDA9C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917" name="Text Box 470">
          <a:extLst>
            <a:ext uri="{FF2B5EF4-FFF2-40B4-BE49-F238E27FC236}">
              <a16:creationId xmlns:a16="http://schemas.microsoft.com/office/drawing/2014/main" xmlns="" id="{68B3CDEF-9A5F-404C-9964-0B2B40E81D0D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918" name="Text Box 471">
          <a:extLst>
            <a:ext uri="{FF2B5EF4-FFF2-40B4-BE49-F238E27FC236}">
              <a16:creationId xmlns:a16="http://schemas.microsoft.com/office/drawing/2014/main" xmlns="" id="{CB0B7F83-EAF2-4ABD-A7EF-9A3B39D5DD5C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919" name="Text Box 472">
          <a:extLst>
            <a:ext uri="{FF2B5EF4-FFF2-40B4-BE49-F238E27FC236}">
              <a16:creationId xmlns:a16="http://schemas.microsoft.com/office/drawing/2014/main" xmlns="" id="{7CDAFDE8-5796-4B7E-8938-2473C67EBE81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920" name="Text Box 473">
          <a:extLst>
            <a:ext uri="{FF2B5EF4-FFF2-40B4-BE49-F238E27FC236}">
              <a16:creationId xmlns:a16="http://schemas.microsoft.com/office/drawing/2014/main" xmlns="" id="{6B660A3B-2239-4E25-83B0-230F27215572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921" name="Text Box 474">
          <a:extLst>
            <a:ext uri="{FF2B5EF4-FFF2-40B4-BE49-F238E27FC236}">
              <a16:creationId xmlns:a16="http://schemas.microsoft.com/office/drawing/2014/main" xmlns="" id="{E58F71F7-DF58-47D6-87DE-C2625A530873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922" name="Text Box 475">
          <a:extLst>
            <a:ext uri="{FF2B5EF4-FFF2-40B4-BE49-F238E27FC236}">
              <a16:creationId xmlns:a16="http://schemas.microsoft.com/office/drawing/2014/main" xmlns="" id="{D21A3C33-8237-42AA-A700-5FC1C29AD019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923" name="Text Box 476">
          <a:extLst>
            <a:ext uri="{FF2B5EF4-FFF2-40B4-BE49-F238E27FC236}">
              <a16:creationId xmlns:a16="http://schemas.microsoft.com/office/drawing/2014/main" xmlns="" id="{0683E5F3-CE66-403E-A399-8035835F6325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924" name="Text Box 477">
          <a:extLst>
            <a:ext uri="{FF2B5EF4-FFF2-40B4-BE49-F238E27FC236}">
              <a16:creationId xmlns:a16="http://schemas.microsoft.com/office/drawing/2014/main" xmlns="" id="{D7BB5090-91BD-4E39-BF36-7F24FAC4C3BA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925" name="Text Box 478">
          <a:extLst>
            <a:ext uri="{FF2B5EF4-FFF2-40B4-BE49-F238E27FC236}">
              <a16:creationId xmlns:a16="http://schemas.microsoft.com/office/drawing/2014/main" xmlns="" id="{1EB93CEC-3BDA-4B80-9AD5-0EFC1F3DC8AA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926" name="Text Box 479">
          <a:extLst>
            <a:ext uri="{FF2B5EF4-FFF2-40B4-BE49-F238E27FC236}">
              <a16:creationId xmlns:a16="http://schemas.microsoft.com/office/drawing/2014/main" xmlns="" id="{CDE03F4D-F303-4D30-A0A2-64E9B8C74B3A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927" name="Text Box 480">
          <a:extLst>
            <a:ext uri="{FF2B5EF4-FFF2-40B4-BE49-F238E27FC236}">
              <a16:creationId xmlns:a16="http://schemas.microsoft.com/office/drawing/2014/main" xmlns="" id="{57ECA6AC-0FB2-4281-BA4B-F63A8EA9F00B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928" name="Text Box 481">
          <a:extLst>
            <a:ext uri="{FF2B5EF4-FFF2-40B4-BE49-F238E27FC236}">
              <a16:creationId xmlns:a16="http://schemas.microsoft.com/office/drawing/2014/main" xmlns="" id="{D0C8A935-43C0-44A6-844F-CCB3358B3140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929" name="Text Box 482">
          <a:extLst>
            <a:ext uri="{FF2B5EF4-FFF2-40B4-BE49-F238E27FC236}">
              <a16:creationId xmlns:a16="http://schemas.microsoft.com/office/drawing/2014/main" xmlns="" id="{E45E15FE-7B34-4D85-85E5-DB88559ADAD3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930" name="Text Box 483">
          <a:extLst>
            <a:ext uri="{FF2B5EF4-FFF2-40B4-BE49-F238E27FC236}">
              <a16:creationId xmlns:a16="http://schemas.microsoft.com/office/drawing/2014/main" xmlns="" id="{4CB917FE-8DCA-484C-8B21-7FDFD4B6D737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931" name="Text Box 484">
          <a:extLst>
            <a:ext uri="{FF2B5EF4-FFF2-40B4-BE49-F238E27FC236}">
              <a16:creationId xmlns:a16="http://schemas.microsoft.com/office/drawing/2014/main" xmlns="" id="{09677E02-2A65-4F62-A52C-82CCCA03A904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932" name="Text Box 485">
          <a:extLst>
            <a:ext uri="{FF2B5EF4-FFF2-40B4-BE49-F238E27FC236}">
              <a16:creationId xmlns:a16="http://schemas.microsoft.com/office/drawing/2014/main" xmlns="" id="{95C8FFC2-4007-4EE3-BC0C-1D04A764E384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933" name="Text Box 486">
          <a:extLst>
            <a:ext uri="{FF2B5EF4-FFF2-40B4-BE49-F238E27FC236}">
              <a16:creationId xmlns:a16="http://schemas.microsoft.com/office/drawing/2014/main" xmlns="" id="{FF5B9E1E-FC64-4939-8077-1F559FE81F4B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934" name="Text Box 487">
          <a:extLst>
            <a:ext uri="{FF2B5EF4-FFF2-40B4-BE49-F238E27FC236}">
              <a16:creationId xmlns:a16="http://schemas.microsoft.com/office/drawing/2014/main" xmlns="" id="{8C37ED29-EFB8-4D28-BD53-681CC6784478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935" name="Text Box 488">
          <a:extLst>
            <a:ext uri="{FF2B5EF4-FFF2-40B4-BE49-F238E27FC236}">
              <a16:creationId xmlns:a16="http://schemas.microsoft.com/office/drawing/2014/main" xmlns="" id="{7C939BD1-86F7-46E4-95C8-A30C6CB018A4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936" name="Text Box 489">
          <a:extLst>
            <a:ext uri="{FF2B5EF4-FFF2-40B4-BE49-F238E27FC236}">
              <a16:creationId xmlns:a16="http://schemas.microsoft.com/office/drawing/2014/main" xmlns="" id="{713BB141-D7DD-4BB1-A1CD-44FCA789C80F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937" name="Text Box 490">
          <a:extLst>
            <a:ext uri="{FF2B5EF4-FFF2-40B4-BE49-F238E27FC236}">
              <a16:creationId xmlns:a16="http://schemas.microsoft.com/office/drawing/2014/main" xmlns="" id="{D859BA82-326F-4CB7-A773-287691343CFD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938" name="Text Box 491">
          <a:extLst>
            <a:ext uri="{FF2B5EF4-FFF2-40B4-BE49-F238E27FC236}">
              <a16:creationId xmlns:a16="http://schemas.microsoft.com/office/drawing/2014/main" xmlns="" id="{A87F64C9-9F97-418F-8078-1388F3A0F4CA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939" name="Text Box 492">
          <a:extLst>
            <a:ext uri="{FF2B5EF4-FFF2-40B4-BE49-F238E27FC236}">
              <a16:creationId xmlns:a16="http://schemas.microsoft.com/office/drawing/2014/main" xmlns="" id="{847DC83C-4875-47FE-B00A-4261E1BED91B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940" name="Text Box 493">
          <a:extLst>
            <a:ext uri="{FF2B5EF4-FFF2-40B4-BE49-F238E27FC236}">
              <a16:creationId xmlns:a16="http://schemas.microsoft.com/office/drawing/2014/main" xmlns="" id="{71A1FFC0-107E-4AFD-BB64-A7CE3552AA82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941" name="Text Box 494">
          <a:extLst>
            <a:ext uri="{FF2B5EF4-FFF2-40B4-BE49-F238E27FC236}">
              <a16:creationId xmlns:a16="http://schemas.microsoft.com/office/drawing/2014/main" xmlns="" id="{D82F9E78-6E00-41ED-BB20-D466C25A6F79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942" name="Text Box 495">
          <a:extLst>
            <a:ext uri="{FF2B5EF4-FFF2-40B4-BE49-F238E27FC236}">
              <a16:creationId xmlns:a16="http://schemas.microsoft.com/office/drawing/2014/main" xmlns="" id="{A3F993A2-430D-4592-82F5-CF0737196E56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943" name="Text Box 496">
          <a:extLst>
            <a:ext uri="{FF2B5EF4-FFF2-40B4-BE49-F238E27FC236}">
              <a16:creationId xmlns:a16="http://schemas.microsoft.com/office/drawing/2014/main" xmlns="" id="{4714BEFC-BAA6-4AF5-A5D2-764587CFE0C1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944" name="Text Box 497">
          <a:extLst>
            <a:ext uri="{FF2B5EF4-FFF2-40B4-BE49-F238E27FC236}">
              <a16:creationId xmlns:a16="http://schemas.microsoft.com/office/drawing/2014/main" xmlns="" id="{3E21879E-25FE-412C-8C1F-DBCA20BEA0B9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945" name="Text Box 498">
          <a:extLst>
            <a:ext uri="{FF2B5EF4-FFF2-40B4-BE49-F238E27FC236}">
              <a16:creationId xmlns:a16="http://schemas.microsoft.com/office/drawing/2014/main" xmlns="" id="{F35101CE-045F-45A7-980F-E92C9EEEB530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946" name="Text Box 499">
          <a:extLst>
            <a:ext uri="{FF2B5EF4-FFF2-40B4-BE49-F238E27FC236}">
              <a16:creationId xmlns:a16="http://schemas.microsoft.com/office/drawing/2014/main" xmlns="" id="{E70A3A55-22BF-412B-A9BB-5B3CF5F4C073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947" name="Text Box 500">
          <a:extLst>
            <a:ext uri="{FF2B5EF4-FFF2-40B4-BE49-F238E27FC236}">
              <a16:creationId xmlns:a16="http://schemas.microsoft.com/office/drawing/2014/main" xmlns="" id="{18E346BC-C2E1-466C-ADB6-20051A12E0D7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948" name="Text Box 501">
          <a:extLst>
            <a:ext uri="{FF2B5EF4-FFF2-40B4-BE49-F238E27FC236}">
              <a16:creationId xmlns:a16="http://schemas.microsoft.com/office/drawing/2014/main" xmlns="" id="{BA3A5074-03D9-4D50-A60E-9A9F59EA6E14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949" name="Text Box 502">
          <a:extLst>
            <a:ext uri="{FF2B5EF4-FFF2-40B4-BE49-F238E27FC236}">
              <a16:creationId xmlns:a16="http://schemas.microsoft.com/office/drawing/2014/main" xmlns="" id="{AD75010F-1387-4CDA-8D56-CC629A6D9821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950" name="Text Box 503">
          <a:extLst>
            <a:ext uri="{FF2B5EF4-FFF2-40B4-BE49-F238E27FC236}">
              <a16:creationId xmlns:a16="http://schemas.microsoft.com/office/drawing/2014/main" xmlns="" id="{C64606D0-A71F-4F96-9D3D-BA3641CC397C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951" name="Text Box 504">
          <a:extLst>
            <a:ext uri="{FF2B5EF4-FFF2-40B4-BE49-F238E27FC236}">
              <a16:creationId xmlns:a16="http://schemas.microsoft.com/office/drawing/2014/main" xmlns="" id="{B3260F97-ADE5-4ECB-8A1F-734D3273C7E4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952" name="Text Box 505">
          <a:extLst>
            <a:ext uri="{FF2B5EF4-FFF2-40B4-BE49-F238E27FC236}">
              <a16:creationId xmlns:a16="http://schemas.microsoft.com/office/drawing/2014/main" xmlns="" id="{83DDCACA-2F0D-4FE0-ADCD-8488B36D2FEC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953" name="Text Box 506">
          <a:extLst>
            <a:ext uri="{FF2B5EF4-FFF2-40B4-BE49-F238E27FC236}">
              <a16:creationId xmlns:a16="http://schemas.microsoft.com/office/drawing/2014/main" xmlns="" id="{C36BD477-0FA0-4FF8-A265-96FF143574F2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954" name="Text Box 507">
          <a:extLst>
            <a:ext uri="{FF2B5EF4-FFF2-40B4-BE49-F238E27FC236}">
              <a16:creationId xmlns:a16="http://schemas.microsoft.com/office/drawing/2014/main" xmlns="" id="{FA9F3FAB-1624-4F15-BB21-86A11AAA33C1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955" name="Text Box 508">
          <a:extLst>
            <a:ext uri="{FF2B5EF4-FFF2-40B4-BE49-F238E27FC236}">
              <a16:creationId xmlns:a16="http://schemas.microsoft.com/office/drawing/2014/main" xmlns="" id="{35A2FC48-22AC-4634-A042-956076C232A3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956" name="Text Box 509">
          <a:extLst>
            <a:ext uri="{FF2B5EF4-FFF2-40B4-BE49-F238E27FC236}">
              <a16:creationId xmlns:a16="http://schemas.microsoft.com/office/drawing/2014/main" xmlns="" id="{37B47311-83FB-4BD0-8B47-664EA90AB65F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957" name="Text Box 510">
          <a:extLst>
            <a:ext uri="{FF2B5EF4-FFF2-40B4-BE49-F238E27FC236}">
              <a16:creationId xmlns:a16="http://schemas.microsoft.com/office/drawing/2014/main" xmlns="" id="{790044E0-8653-42E4-96D1-F58758D69035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958" name="Text Box 511">
          <a:extLst>
            <a:ext uri="{FF2B5EF4-FFF2-40B4-BE49-F238E27FC236}">
              <a16:creationId xmlns:a16="http://schemas.microsoft.com/office/drawing/2014/main" xmlns="" id="{FDF851E8-A444-45E6-800E-EEC9174CC585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959" name="Text Box 512">
          <a:extLst>
            <a:ext uri="{FF2B5EF4-FFF2-40B4-BE49-F238E27FC236}">
              <a16:creationId xmlns:a16="http://schemas.microsoft.com/office/drawing/2014/main" xmlns="" id="{EE79362E-E87F-4077-8DE9-A7F279F92B29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960" name="Text Box 513">
          <a:extLst>
            <a:ext uri="{FF2B5EF4-FFF2-40B4-BE49-F238E27FC236}">
              <a16:creationId xmlns:a16="http://schemas.microsoft.com/office/drawing/2014/main" xmlns="" id="{C82AC118-4663-42F4-AC0C-A4932CD8570C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961" name="Text Box 514">
          <a:extLst>
            <a:ext uri="{FF2B5EF4-FFF2-40B4-BE49-F238E27FC236}">
              <a16:creationId xmlns:a16="http://schemas.microsoft.com/office/drawing/2014/main" xmlns="" id="{0CF72E5B-69B7-4ACD-8880-EEFA82C972CB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962" name="Text Box 515">
          <a:extLst>
            <a:ext uri="{FF2B5EF4-FFF2-40B4-BE49-F238E27FC236}">
              <a16:creationId xmlns:a16="http://schemas.microsoft.com/office/drawing/2014/main" xmlns="" id="{7F81B5FF-2A0F-42A2-BE60-FF95B79686E6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963" name="Text Box 516">
          <a:extLst>
            <a:ext uri="{FF2B5EF4-FFF2-40B4-BE49-F238E27FC236}">
              <a16:creationId xmlns:a16="http://schemas.microsoft.com/office/drawing/2014/main" xmlns="" id="{E6250B77-BE33-47F5-BCB4-08C9E5743EA3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964" name="Text Box 517">
          <a:extLst>
            <a:ext uri="{FF2B5EF4-FFF2-40B4-BE49-F238E27FC236}">
              <a16:creationId xmlns:a16="http://schemas.microsoft.com/office/drawing/2014/main" xmlns="" id="{04D623EC-39C3-4008-8142-0BCF0FC8C1C6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965" name="Text Box 518">
          <a:extLst>
            <a:ext uri="{FF2B5EF4-FFF2-40B4-BE49-F238E27FC236}">
              <a16:creationId xmlns:a16="http://schemas.microsoft.com/office/drawing/2014/main" xmlns="" id="{C431D018-00F2-4E7B-A1DB-49B6C2AA7F9E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966" name="Text Box 519">
          <a:extLst>
            <a:ext uri="{FF2B5EF4-FFF2-40B4-BE49-F238E27FC236}">
              <a16:creationId xmlns:a16="http://schemas.microsoft.com/office/drawing/2014/main" xmlns="" id="{6B91124B-2D5D-41A2-BC1D-0844A98FDD62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967" name="Text Box 520">
          <a:extLst>
            <a:ext uri="{FF2B5EF4-FFF2-40B4-BE49-F238E27FC236}">
              <a16:creationId xmlns:a16="http://schemas.microsoft.com/office/drawing/2014/main" xmlns="" id="{E89D789C-CA59-407A-B789-8D29127B77AB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968" name="Text Box 521">
          <a:extLst>
            <a:ext uri="{FF2B5EF4-FFF2-40B4-BE49-F238E27FC236}">
              <a16:creationId xmlns:a16="http://schemas.microsoft.com/office/drawing/2014/main" xmlns="" id="{9FB4DE53-A915-4C67-9E30-C6DB8D8638B1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969" name="Text Box 522">
          <a:extLst>
            <a:ext uri="{FF2B5EF4-FFF2-40B4-BE49-F238E27FC236}">
              <a16:creationId xmlns:a16="http://schemas.microsoft.com/office/drawing/2014/main" xmlns="" id="{6444CEDC-97BC-4072-995F-228D9A4F71D1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970" name="Text Box 523">
          <a:extLst>
            <a:ext uri="{FF2B5EF4-FFF2-40B4-BE49-F238E27FC236}">
              <a16:creationId xmlns:a16="http://schemas.microsoft.com/office/drawing/2014/main" xmlns="" id="{24FB949F-EBA5-4C2F-A1ED-9F042267CB23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971" name="Text Box 524">
          <a:extLst>
            <a:ext uri="{FF2B5EF4-FFF2-40B4-BE49-F238E27FC236}">
              <a16:creationId xmlns:a16="http://schemas.microsoft.com/office/drawing/2014/main" xmlns="" id="{7565B452-3F71-404B-B597-C3AB27DB12A8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972" name="Text Box 525">
          <a:extLst>
            <a:ext uri="{FF2B5EF4-FFF2-40B4-BE49-F238E27FC236}">
              <a16:creationId xmlns:a16="http://schemas.microsoft.com/office/drawing/2014/main" xmlns="" id="{D1F87197-B409-4C8F-9240-F1BFBB214D12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973" name="Text Box 526">
          <a:extLst>
            <a:ext uri="{FF2B5EF4-FFF2-40B4-BE49-F238E27FC236}">
              <a16:creationId xmlns:a16="http://schemas.microsoft.com/office/drawing/2014/main" xmlns="" id="{FD6D5674-B1D9-4F1F-BA25-3622E009F6E1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974" name="Text Box 527">
          <a:extLst>
            <a:ext uri="{FF2B5EF4-FFF2-40B4-BE49-F238E27FC236}">
              <a16:creationId xmlns:a16="http://schemas.microsoft.com/office/drawing/2014/main" xmlns="" id="{A4CB055D-7402-473A-B42D-D6879499883D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975" name="Text Box 528">
          <a:extLst>
            <a:ext uri="{FF2B5EF4-FFF2-40B4-BE49-F238E27FC236}">
              <a16:creationId xmlns:a16="http://schemas.microsoft.com/office/drawing/2014/main" xmlns="" id="{390ACE3B-E13C-4C62-B457-459E324D7296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976" name="Text Box 529">
          <a:extLst>
            <a:ext uri="{FF2B5EF4-FFF2-40B4-BE49-F238E27FC236}">
              <a16:creationId xmlns:a16="http://schemas.microsoft.com/office/drawing/2014/main" xmlns="" id="{23A663AA-F621-42D2-A6AF-CED69D6D4EEF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977" name="Text Box 530">
          <a:extLst>
            <a:ext uri="{FF2B5EF4-FFF2-40B4-BE49-F238E27FC236}">
              <a16:creationId xmlns:a16="http://schemas.microsoft.com/office/drawing/2014/main" xmlns="" id="{C48C3757-C05B-4340-90F1-575647FE7575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978" name="Text Box 531">
          <a:extLst>
            <a:ext uri="{FF2B5EF4-FFF2-40B4-BE49-F238E27FC236}">
              <a16:creationId xmlns:a16="http://schemas.microsoft.com/office/drawing/2014/main" xmlns="" id="{F92BA77A-54A3-45FA-B50A-9F5CB84FF203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979" name="Text Box 532">
          <a:extLst>
            <a:ext uri="{FF2B5EF4-FFF2-40B4-BE49-F238E27FC236}">
              <a16:creationId xmlns:a16="http://schemas.microsoft.com/office/drawing/2014/main" xmlns="" id="{1F92C6AE-4C5D-48D5-AE21-5D71425F66CE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980" name="Text Box 533">
          <a:extLst>
            <a:ext uri="{FF2B5EF4-FFF2-40B4-BE49-F238E27FC236}">
              <a16:creationId xmlns:a16="http://schemas.microsoft.com/office/drawing/2014/main" xmlns="" id="{F5394715-E79F-44FD-98BD-54972614601C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981" name="Text Box 534">
          <a:extLst>
            <a:ext uri="{FF2B5EF4-FFF2-40B4-BE49-F238E27FC236}">
              <a16:creationId xmlns:a16="http://schemas.microsoft.com/office/drawing/2014/main" xmlns="" id="{4922554B-52FC-4E4E-8C84-0FCB5BB1D481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982" name="Text Box 535">
          <a:extLst>
            <a:ext uri="{FF2B5EF4-FFF2-40B4-BE49-F238E27FC236}">
              <a16:creationId xmlns:a16="http://schemas.microsoft.com/office/drawing/2014/main" xmlns="" id="{8BAB7DE9-4958-4F76-B3C7-EDB3ECE5A0BF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983" name="Text Box 536">
          <a:extLst>
            <a:ext uri="{FF2B5EF4-FFF2-40B4-BE49-F238E27FC236}">
              <a16:creationId xmlns:a16="http://schemas.microsoft.com/office/drawing/2014/main" xmlns="" id="{F0FA256A-BFC1-4643-B5F7-C6B4A74173EA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984" name="Text Box 537">
          <a:extLst>
            <a:ext uri="{FF2B5EF4-FFF2-40B4-BE49-F238E27FC236}">
              <a16:creationId xmlns:a16="http://schemas.microsoft.com/office/drawing/2014/main" xmlns="" id="{E81B791F-9F0D-4C5F-B60C-EDB3B975F0C8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985" name="Text Box 538">
          <a:extLst>
            <a:ext uri="{FF2B5EF4-FFF2-40B4-BE49-F238E27FC236}">
              <a16:creationId xmlns:a16="http://schemas.microsoft.com/office/drawing/2014/main" xmlns="" id="{790EA864-A132-4594-85C7-C4E19D9D1995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986" name="Text Box 539">
          <a:extLst>
            <a:ext uri="{FF2B5EF4-FFF2-40B4-BE49-F238E27FC236}">
              <a16:creationId xmlns:a16="http://schemas.microsoft.com/office/drawing/2014/main" xmlns="" id="{5F9C7DF7-B3EE-4017-AFC4-FE17C78B1ED8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987" name="Text Box 540">
          <a:extLst>
            <a:ext uri="{FF2B5EF4-FFF2-40B4-BE49-F238E27FC236}">
              <a16:creationId xmlns:a16="http://schemas.microsoft.com/office/drawing/2014/main" xmlns="" id="{9076D823-2DD7-4B89-9A34-C2928B40D265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988" name="Text Box 541">
          <a:extLst>
            <a:ext uri="{FF2B5EF4-FFF2-40B4-BE49-F238E27FC236}">
              <a16:creationId xmlns:a16="http://schemas.microsoft.com/office/drawing/2014/main" xmlns="" id="{292CEF35-A941-4783-84F2-65ABD61CB3F1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989" name="Text Box 542">
          <a:extLst>
            <a:ext uri="{FF2B5EF4-FFF2-40B4-BE49-F238E27FC236}">
              <a16:creationId xmlns:a16="http://schemas.microsoft.com/office/drawing/2014/main" xmlns="" id="{55E931D8-8A58-44C3-BDD7-1D4EDEEB6A12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990" name="Text Box 543">
          <a:extLst>
            <a:ext uri="{FF2B5EF4-FFF2-40B4-BE49-F238E27FC236}">
              <a16:creationId xmlns:a16="http://schemas.microsoft.com/office/drawing/2014/main" xmlns="" id="{34E6C263-3E7E-4017-AA06-9B5A933B95A4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991" name="Text Box 544">
          <a:extLst>
            <a:ext uri="{FF2B5EF4-FFF2-40B4-BE49-F238E27FC236}">
              <a16:creationId xmlns:a16="http://schemas.microsoft.com/office/drawing/2014/main" xmlns="" id="{447EE6E6-7582-4B39-9824-BE1E485D2037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992" name="Text Box 545">
          <a:extLst>
            <a:ext uri="{FF2B5EF4-FFF2-40B4-BE49-F238E27FC236}">
              <a16:creationId xmlns:a16="http://schemas.microsoft.com/office/drawing/2014/main" xmlns="" id="{5349F3CA-1EE3-4EBE-886E-EB9897902392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993" name="Text Box 546">
          <a:extLst>
            <a:ext uri="{FF2B5EF4-FFF2-40B4-BE49-F238E27FC236}">
              <a16:creationId xmlns:a16="http://schemas.microsoft.com/office/drawing/2014/main" xmlns="" id="{D42CF150-488B-4703-B687-815592886DAF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994" name="Text Box 547">
          <a:extLst>
            <a:ext uri="{FF2B5EF4-FFF2-40B4-BE49-F238E27FC236}">
              <a16:creationId xmlns:a16="http://schemas.microsoft.com/office/drawing/2014/main" xmlns="" id="{C0FC1110-5CCF-4BB9-A46A-F592B3C7B978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995" name="Text Box 548">
          <a:extLst>
            <a:ext uri="{FF2B5EF4-FFF2-40B4-BE49-F238E27FC236}">
              <a16:creationId xmlns:a16="http://schemas.microsoft.com/office/drawing/2014/main" xmlns="" id="{59619BC4-B332-42D3-B366-C0A394A07F12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996" name="Text Box 549">
          <a:extLst>
            <a:ext uri="{FF2B5EF4-FFF2-40B4-BE49-F238E27FC236}">
              <a16:creationId xmlns:a16="http://schemas.microsoft.com/office/drawing/2014/main" xmlns="" id="{F37C9CCD-D74B-4F61-96BB-FB6E4F5FEAB2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997" name="Text Box 550">
          <a:extLst>
            <a:ext uri="{FF2B5EF4-FFF2-40B4-BE49-F238E27FC236}">
              <a16:creationId xmlns:a16="http://schemas.microsoft.com/office/drawing/2014/main" xmlns="" id="{379E8292-652A-40F8-B847-0DA86E734D5F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998" name="Text Box 551">
          <a:extLst>
            <a:ext uri="{FF2B5EF4-FFF2-40B4-BE49-F238E27FC236}">
              <a16:creationId xmlns:a16="http://schemas.microsoft.com/office/drawing/2014/main" xmlns="" id="{80DCE091-EEF9-48D7-95E6-1CC8B9E16BDA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5999" name="Text Box 552">
          <a:extLst>
            <a:ext uri="{FF2B5EF4-FFF2-40B4-BE49-F238E27FC236}">
              <a16:creationId xmlns:a16="http://schemas.microsoft.com/office/drawing/2014/main" xmlns="" id="{78481270-46BA-483B-B3B7-F45559776364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6000" name="Text Box 553">
          <a:extLst>
            <a:ext uri="{FF2B5EF4-FFF2-40B4-BE49-F238E27FC236}">
              <a16:creationId xmlns:a16="http://schemas.microsoft.com/office/drawing/2014/main" xmlns="" id="{73617A8B-6EA1-45AE-8481-7556925664FB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6001" name="Text Box 554">
          <a:extLst>
            <a:ext uri="{FF2B5EF4-FFF2-40B4-BE49-F238E27FC236}">
              <a16:creationId xmlns:a16="http://schemas.microsoft.com/office/drawing/2014/main" xmlns="" id="{A2E2C285-1F38-4613-A564-F99A2C87E6ED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6002" name="Text Box 555">
          <a:extLst>
            <a:ext uri="{FF2B5EF4-FFF2-40B4-BE49-F238E27FC236}">
              <a16:creationId xmlns:a16="http://schemas.microsoft.com/office/drawing/2014/main" xmlns="" id="{A43AF71F-6CC5-4E00-AAD6-CB5D654BA1B0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6003" name="Text Box 556">
          <a:extLst>
            <a:ext uri="{FF2B5EF4-FFF2-40B4-BE49-F238E27FC236}">
              <a16:creationId xmlns:a16="http://schemas.microsoft.com/office/drawing/2014/main" xmlns="" id="{C2781331-D702-4BB0-A2F0-0C4F30CE0B57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6004" name="Text Box 557">
          <a:extLst>
            <a:ext uri="{FF2B5EF4-FFF2-40B4-BE49-F238E27FC236}">
              <a16:creationId xmlns:a16="http://schemas.microsoft.com/office/drawing/2014/main" xmlns="" id="{A31C8E83-8E1A-4234-A7AF-15197BD80AAC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6005" name="Text Box 558">
          <a:extLst>
            <a:ext uri="{FF2B5EF4-FFF2-40B4-BE49-F238E27FC236}">
              <a16:creationId xmlns:a16="http://schemas.microsoft.com/office/drawing/2014/main" xmlns="" id="{6DD511DA-8F8C-4B9A-AD85-171CA874E242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6006" name="Text Box 559">
          <a:extLst>
            <a:ext uri="{FF2B5EF4-FFF2-40B4-BE49-F238E27FC236}">
              <a16:creationId xmlns:a16="http://schemas.microsoft.com/office/drawing/2014/main" xmlns="" id="{B2753127-880B-45BF-B41F-2A8F86B45D30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6007" name="Text Box 560">
          <a:extLst>
            <a:ext uri="{FF2B5EF4-FFF2-40B4-BE49-F238E27FC236}">
              <a16:creationId xmlns:a16="http://schemas.microsoft.com/office/drawing/2014/main" xmlns="" id="{48E2273D-1176-4D5A-B081-3BC921996AEB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6008" name="Text Box 561">
          <a:extLst>
            <a:ext uri="{FF2B5EF4-FFF2-40B4-BE49-F238E27FC236}">
              <a16:creationId xmlns:a16="http://schemas.microsoft.com/office/drawing/2014/main" xmlns="" id="{2129B7B5-0368-4046-8905-C009278C6C01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6009" name="Text Box 562">
          <a:extLst>
            <a:ext uri="{FF2B5EF4-FFF2-40B4-BE49-F238E27FC236}">
              <a16:creationId xmlns:a16="http://schemas.microsoft.com/office/drawing/2014/main" xmlns="" id="{CE182AE8-1B64-444B-ADB4-6E8203AECD0B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6010" name="Text Box 563">
          <a:extLst>
            <a:ext uri="{FF2B5EF4-FFF2-40B4-BE49-F238E27FC236}">
              <a16:creationId xmlns:a16="http://schemas.microsoft.com/office/drawing/2014/main" xmlns="" id="{7C1786D0-C147-4825-A222-8BF28336DA96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6011" name="Text Box 564">
          <a:extLst>
            <a:ext uri="{FF2B5EF4-FFF2-40B4-BE49-F238E27FC236}">
              <a16:creationId xmlns:a16="http://schemas.microsoft.com/office/drawing/2014/main" xmlns="" id="{1D3C5B18-95B6-47C4-AC43-78D261B76889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6012" name="Text Box 565">
          <a:extLst>
            <a:ext uri="{FF2B5EF4-FFF2-40B4-BE49-F238E27FC236}">
              <a16:creationId xmlns:a16="http://schemas.microsoft.com/office/drawing/2014/main" xmlns="" id="{897F64DF-C1EA-49BA-953B-CB1285AD877B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sp macro="" textlink="">
      <xdr:nvSpPr>
        <xdr:cNvPr id="6013" name="Text Box 566">
          <a:extLst>
            <a:ext uri="{FF2B5EF4-FFF2-40B4-BE49-F238E27FC236}">
              <a16:creationId xmlns:a16="http://schemas.microsoft.com/office/drawing/2014/main" xmlns="" id="{548DBD0D-1ECF-4DD7-AC8F-195CDE35FACD}"/>
            </a:ext>
          </a:extLst>
        </xdr:cNvPr>
        <xdr:cNvSpPr txBox="1">
          <a:spLocks noChangeArrowheads="1"/>
        </xdr:cNvSpPr>
      </xdr:nvSpPr>
      <xdr:spPr>
        <a:xfrm>
          <a:off x="0" y="1198149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014" name="Picture 567">
          <a:extLst>
            <a:ext uri="{FF2B5EF4-FFF2-40B4-BE49-F238E27FC236}">
              <a16:creationId xmlns:a16="http://schemas.microsoft.com/office/drawing/2014/main" xmlns="" id="{B9F7225E-8EFF-41CC-BB2F-ED12B1981D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015" name="Picture 568">
          <a:extLst>
            <a:ext uri="{FF2B5EF4-FFF2-40B4-BE49-F238E27FC236}">
              <a16:creationId xmlns:a16="http://schemas.microsoft.com/office/drawing/2014/main" xmlns="" id="{C10B8FC9-5149-4D2A-BA1B-7A68F79A0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016" name="Picture 569">
          <a:extLst>
            <a:ext uri="{FF2B5EF4-FFF2-40B4-BE49-F238E27FC236}">
              <a16:creationId xmlns:a16="http://schemas.microsoft.com/office/drawing/2014/main" xmlns="" id="{A95C545B-3967-4617-A76B-E0A0A9BB05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017" name="Picture 570">
          <a:extLst>
            <a:ext uri="{FF2B5EF4-FFF2-40B4-BE49-F238E27FC236}">
              <a16:creationId xmlns:a16="http://schemas.microsoft.com/office/drawing/2014/main" xmlns="" id="{BFD38A79-46B5-47A7-A62A-16F46EC324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018" name="Picture 571">
          <a:extLst>
            <a:ext uri="{FF2B5EF4-FFF2-40B4-BE49-F238E27FC236}">
              <a16:creationId xmlns:a16="http://schemas.microsoft.com/office/drawing/2014/main" xmlns="" id="{EEBA70AC-54F9-4884-A07C-1BEE45BA2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019" name="Picture 572">
          <a:extLst>
            <a:ext uri="{FF2B5EF4-FFF2-40B4-BE49-F238E27FC236}">
              <a16:creationId xmlns:a16="http://schemas.microsoft.com/office/drawing/2014/main" xmlns="" id="{E6E3AF3D-F93C-4C62-80E1-4AC115B342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020" name="Picture 573">
          <a:extLst>
            <a:ext uri="{FF2B5EF4-FFF2-40B4-BE49-F238E27FC236}">
              <a16:creationId xmlns:a16="http://schemas.microsoft.com/office/drawing/2014/main" xmlns="" id="{51C8E0A1-808B-4461-A6FD-E359A97109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021" name="Picture 574">
          <a:extLst>
            <a:ext uri="{FF2B5EF4-FFF2-40B4-BE49-F238E27FC236}">
              <a16:creationId xmlns:a16="http://schemas.microsoft.com/office/drawing/2014/main" xmlns="" id="{886E3A6B-2C7C-434F-AF21-232E04E060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022" name="Picture 575">
          <a:extLst>
            <a:ext uri="{FF2B5EF4-FFF2-40B4-BE49-F238E27FC236}">
              <a16:creationId xmlns:a16="http://schemas.microsoft.com/office/drawing/2014/main" xmlns="" id="{EBC6D903-AD69-40F6-8D62-21AAD0E15F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023" name="Picture 576">
          <a:extLst>
            <a:ext uri="{FF2B5EF4-FFF2-40B4-BE49-F238E27FC236}">
              <a16:creationId xmlns:a16="http://schemas.microsoft.com/office/drawing/2014/main" xmlns="" id="{E5744C08-4EC1-41F9-92DC-8C94F33733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024" name="Picture 577">
          <a:extLst>
            <a:ext uri="{FF2B5EF4-FFF2-40B4-BE49-F238E27FC236}">
              <a16:creationId xmlns:a16="http://schemas.microsoft.com/office/drawing/2014/main" xmlns="" id="{D4CC62FD-C751-41B2-B115-21B18EB53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025" name="Picture 578">
          <a:extLst>
            <a:ext uri="{FF2B5EF4-FFF2-40B4-BE49-F238E27FC236}">
              <a16:creationId xmlns:a16="http://schemas.microsoft.com/office/drawing/2014/main" xmlns="" id="{018BB560-4056-43A1-B794-0DCADE8CAC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026" name="Picture 579">
          <a:extLst>
            <a:ext uri="{FF2B5EF4-FFF2-40B4-BE49-F238E27FC236}">
              <a16:creationId xmlns:a16="http://schemas.microsoft.com/office/drawing/2014/main" xmlns="" id="{C5D87C05-BE0A-4825-9DFE-D759828CF3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027" name="Picture 580">
          <a:extLst>
            <a:ext uri="{FF2B5EF4-FFF2-40B4-BE49-F238E27FC236}">
              <a16:creationId xmlns:a16="http://schemas.microsoft.com/office/drawing/2014/main" xmlns="" id="{500D2EC2-2037-4F98-A74C-D01F02728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028" name="Picture 581">
          <a:extLst>
            <a:ext uri="{FF2B5EF4-FFF2-40B4-BE49-F238E27FC236}">
              <a16:creationId xmlns:a16="http://schemas.microsoft.com/office/drawing/2014/main" xmlns="" id="{8C6574D6-5D42-4292-9909-611F8BC2E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029" name="Picture 582">
          <a:extLst>
            <a:ext uri="{FF2B5EF4-FFF2-40B4-BE49-F238E27FC236}">
              <a16:creationId xmlns:a16="http://schemas.microsoft.com/office/drawing/2014/main" xmlns="" id="{90FA4A45-CA5D-4DB2-89EE-CB97CCDB7D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030" name="Picture 583">
          <a:extLst>
            <a:ext uri="{FF2B5EF4-FFF2-40B4-BE49-F238E27FC236}">
              <a16:creationId xmlns:a16="http://schemas.microsoft.com/office/drawing/2014/main" xmlns="" id="{571EA331-ECE4-4E5A-AB37-0070A609BC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031" name="Picture 584">
          <a:extLst>
            <a:ext uri="{FF2B5EF4-FFF2-40B4-BE49-F238E27FC236}">
              <a16:creationId xmlns:a16="http://schemas.microsoft.com/office/drawing/2014/main" xmlns="" id="{BC1A04F0-47FA-496E-BC7F-209550750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032" name="Picture 585">
          <a:extLst>
            <a:ext uri="{FF2B5EF4-FFF2-40B4-BE49-F238E27FC236}">
              <a16:creationId xmlns:a16="http://schemas.microsoft.com/office/drawing/2014/main" xmlns="" id="{03D12F20-E7F7-449F-AF32-41F733F4E8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033" name="Picture 586">
          <a:extLst>
            <a:ext uri="{FF2B5EF4-FFF2-40B4-BE49-F238E27FC236}">
              <a16:creationId xmlns:a16="http://schemas.microsoft.com/office/drawing/2014/main" xmlns="" id="{5D143119-1776-4895-A978-6737C7419C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034" name="Picture 587">
          <a:extLst>
            <a:ext uri="{FF2B5EF4-FFF2-40B4-BE49-F238E27FC236}">
              <a16:creationId xmlns:a16="http://schemas.microsoft.com/office/drawing/2014/main" xmlns="" id="{1C610F5B-3B07-4AA1-AA44-38ADEC9F9E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035" name="Picture 588">
          <a:extLst>
            <a:ext uri="{FF2B5EF4-FFF2-40B4-BE49-F238E27FC236}">
              <a16:creationId xmlns:a16="http://schemas.microsoft.com/office/drawing/2014/main" xmlns="" id="{2B7A4119-88FE-42FD-B65C-1ABACD03DC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036" name="Picture 589">
          <a:extLst>
            <a:ext uri="{FF2B5EF4-FFF2-40B4-BE49-F238E27FC236}">
              <a16:creationId xmlns:a16="http://schemas.microsoft.com/office/drawing/2014/main" xmlns="" id="{D0C923DC-8232-4679-ABCF-25F0679ABD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037" name="Picture 590">
          <a:extLst>
            <a:ext uri="{FF2B5EF4-FFF2-40B4-BE49-F238E27FC236}">
              <a16:creationId xmlns:a16="http://schemas.microsoft.com/office/drawing/2014/main" xmlns="" id="{C9184B56-1C09-44F7-82D0-2A5367BFA7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038" name="Picture 591">
          <a:extLst>
            <a:ext uri="{FF2B5EF4-FFF2-40B4-BE49-F238E27FC236}">
              <a16:creationId xmlns:a16="http://schemas.microsoft.com/office/drawing/2014/main" xmlns="" id="{6832C9E8-7841-4E4B-868D-9A3220253C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039" name="Picture 592">
          <a:extLst>
            <a:ext uri="{FF2B5EF4-FFF2-40B4-BE49-F238E27FC236}">
              <a16:creationId xmlns:a16="http://schemas.microsoft.com/office/drawing/2014/main" xmlns="" id="{C80789F8-D523-43C3-85F0-51C5EB9CBF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040" name="Picture 593">
          <a:extLst>
            <a:ext uri="{FF2B5EF4-FFF2-40B4-BE49-F238E27FC236}">
              <a16:creationId xmlns:a16="http://schemas.microsoft.com/office/drawing/2014/main" xmlns="" id="{2BC99654-6DBB-4260-9FDA-0AF6EC03BC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041" name="Picture 594">
          <a:extLst>
            <a:ext uri="{FF2B5EF4-FFF2-40B4-BE49-F238E27FC236}">
              <a16:creationId xmlns:a16="http://schemas.microsoft.com/office/drawing/2014/main" xmlns="" id="{39C12E2B-B710-44DC-A937-3C68954831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042" name="Picture 595">
          <a:extLst>
            <a:ext uri="{FF2B5EF4-FFF2-40B4-BE49-F238E27FC236}">
              <a16:creationId xmlns:a16="http://schemas.microsoft.com/office/drawing/2014/main" xmlns="" id="{5A6F5518-D728-4AC9-874F-1ABFA0CB70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043" name="Picture 596">
          <a:extLst>
            <a:ext uri="{FF2B5EF4-FFF2-40B4-BE49-F238E27FC236}">
              <a16:creationId xmlns:a16="http://schemas.microsoft.com/office/drawing/2014/main" xmlns="" id="{CC9E475A-C955-4AA6-B8AA-956B6724D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044" name="Picture 597">
          <a:extLst>
            <a:ext uri="{FF2B5EF4-FFF2-40B4-BE49-F238E27FC236}">
              <a16:creationId xmlns:a16="http://schemas.microsoft.com/office/drawing/2014/main" xmlns="" id="{3F77C899-A5E1-4C2F-B05D-4795CC12C9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045" name="Picture 598">
          <a:extLst>
            <a:ext uri="{FF2B5EF4-FFF2-40B4-BE49-F238E27FC236}">
              <a16:creationId xmlns:a16="http://schemas.microsoft.com/office/drawing/2014/main" xmlns="" id="{8FA34FBD-42EE-4F2C-A709-1AA9216737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046" name="Picture 599">
          <a:extLst>
            <a:ext uri="{FF2B5EF4-FFF2-40B4-BE49-F238E27FC236}">
              <a16:creationId xmlns:a16="http://schemas.microsoft.com/office/drawing/2014/main" xmlns="" id="{A1577485-8056-40A4-A49F-D1CEBFAAC0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047" name="Picture 600">
          <a:extLst>
            <a:ext uri="{FF2B5EF4-FFF2-40B4-BE49-F238E27FC236}">
              <a16:creationId xmlns:a16="http://schemas.microsoft.com/office/drawing/2014/main" xmlns="" id="{71ED02B6-67AC-480F-841F-F5E254622D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048" name="Picture 601">
          <a:extLst>
            <a:ext uri="{FF2B5EF4-FFF2-40B4-BE49-F238E27FC236}">
              <a16:creationId xmlns:a16="http://schemas.microsoft.com/office/drawing/2014/main" xmlns="" id="{D194BE83-A737-424E-AFC1-9D28EBF659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049" name="Picture 602">
          <a:extLst>
            <a:ext uri="{FF2B5EF4-FFF2-40B4-BE49-F238E27FC236}">
              <a16:creationId xmlns:a16="http://schemas.microsoft.com/office/drawing/2014/main" xmlns="" id="{922E85AD-0A04-4F3D-AACB-E2A832C2FB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050" name="Picture 603">
          <a:extLst>
            <a:ext uri="{FF2B5EF4-FFF2-40B4-BE49-F238E27FC236}">
              <a16:creationId xmlns:a16="http://schemas.microsoft.com/office/drawing/2014/main" xmlns="" id="{264B5273-CDA3-4701-98F2-C4A9BF1A81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051" name="Picture 604">
          <a:extLst>
            <a:ext uri="{FF2B5EF4-FFF2-40B4-BE49-F238E27FC236}">
              <a16:creationId xmlns:a16="http://schemas.microsoft.com/office/drawing/2014/main" xmlns="" id="{0014B81A-77EC-4A7E-896B-8A68792D2D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052" name="Picture 605">
          <a:extLst>
            <a:ext uri="{FF2B5EF4-FFF2-40B4-BE49-F238E27FC236}">
              <a16:creationId xmlns:a16="http://schemas.microsoft.com/office/drawing/2014/main" xmlns="" id="{910E01DA-098A-4015-9D87-A60CA0EF57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053" name="Picture 606">
          <a:extLst>
            <a:ext uri="{FF2B5EF4-FFF2-40B4-BE49-F238E27FC236}">
              <a16:creationId xmlns:a16="http://schemas.microsoft.com/office/drawing/2014/main" xmlns="" id="{405CFC4C-A2A0-475C-9AEE-659732F9C5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054" name="Picture 607">
          <a:extLst>
            <a:ext uri="{FF2B5EF4-FFF2-40B4-BE49-F238E27FC236}">
              <a16:creationId xmlns:a16="http://schemas.microsoft.com/office/drawing/2014/main" xmlns="" id="{BDECB797-2155-484D-A922-D36B07AAAD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055" name="Picture 608">
          <a:extLst>
            <a:ext uri="{FF2B5EF4-FFF2-40B4-BE49-F238E27FC236}">
              <a16:creationId xmlns:a16="http://schemas.microsoft.com/office/drawing/2014/main" xmlns="" id="{7EC352DB-9DB4-453C-92B9-7201844DB8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056" name="Picture 609">
          <a:extLst>
            <a:ext uri="{FF2B5EF4-FFF2-40B4-BE49-F238E27FC236}">
              <a16:creationId xmlns:a16="http://schemas.microsoft.com/office/drawing/2014/main" xmlns="" id="{84D98562-F3DA-48CB-81DF-C208440CE8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057" name="Picture 610">
          <a:extLst>
            <a:ext uri="{FF2B5EF4-FFF2-40B4-BE49-F238E27FC236}">
              <a16:creationId xmlns:a16="http://schemas.microsoft.com/office/drawing/2014/main" xmlns="" id="{30771E5E-F99B-41D6-B0D4-AECBC3CDCF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058" name="Picture 611">
          <a:extLst>
            <a:ext uri="{FF2B5EF4-FFF2-40B4-BE49-F238E27FC236}">
              <a16:creationId xmlns:a16="http://schemas.microsoft.com/office/drawing/2014/main" xmlns="" id="{D2C364F6-3A39-4323-A1BD-1A45DAACAE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059" name="Picture 612">
          <a:extLst>
            <a:ext uri="{FF2B5EF4-FFF2-40B4-BE49-F238E27FC236}">
              <a16:creationId xmlns:a16="http://schemas.microsoft.com/office/drawing/2014/main" xmlns="" id="{2530337A-15E0-4DF2-A773-39E5D1910A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060" name="Picture 613">
          <a:extLst>
            <a:ext uri="{FF2B5EF4-FFF2-40B4-BE49-F238E27FC236}">
              <a16:creationId xmlns:a16="http://schemas.microsoft.com/office/drawing/2014/main" xmlns="" id="{536E503D-090D-43D3-A93F-FE0C21652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061" name="Picture 614">
          <a:extLst>
            <a:ext uri="{FF2B5EF4-FFF2-40B4-BE49-F238E27FC236}">
              <a16:creationId xmlns:a16="http://schemas.microsoft.com/office/drawing/2014/main" xmlns="" id="{33903845-5B10-4BF5-A550-4DCE770BC1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062" name="Picture 615">
          <a:extLst>
            <a:ext uri="{FF2B5EF4-FFF2-40B4-BE49-F238E27FC236}">
              <a16:creationId xmlns:a16="http://schemas.microsoft.com/office/drawing/2014/main" xmlns="" id="{911EB261-9B14-488E-A4F1-4F3846F250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063" name="Picture 616">
          <a:extLst>
            <a:ext uri="{FF2B5EF4-FFF2-40B4-BE49-F238E27FC236}">
              <a16:creationId xmlns:a16="http://schemas.microsoft.com/office/drawing/2014/main" xmlns="" id="{5743413F-3E12-4475-AD90-F26DC4DFDD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064" name="Picture 617">
          <a:extLst>
            <a:ext uri="{FF2B5EF4-FFF2-40B4-BE49-F238E27FC236}">
              <a16:creationId xmlns:a16="http://schemas.microsoft.com/office/drawing/2014/main" xmlns="" id="{ED824B85-F39F-4EA0-BE78-AD7B87897F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065" name="Picture 618">
          <a:extLst>
            <a:ext uri="{FF2B5EF4-FFF2-40B4-BE49-F238E27FC236}">
              <a16:creationId xmlns:a16="http://schemas.microsoft.com/office/drawing/2014/main" xmlns="" id="{7EAABA0F-DB5E-4A5D-BB10-5C10B1CFA2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066" name="Picture 619">
          <a:extLst>
            <a:ext uri="{FF2B5EF4-FFF2-40B4-BE49-F238E27FC236}">
              <a16:creationId xmlns:a16="http://schemas.microsoft.com/office/drawing/2014/main" xmlns="" id="{C06C581E-CCC4-4AD1-8F65-883DC17677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067" name="Picture 620">
          <a:extLst>
            <a:ext uri="{FF2B5EF4-FFF2-40B4-BE49-F238E27FC236}">
              <a16:creationId xmlns:a16="http://schemas.microsoft.com/office/drawing/2014/main" xmlns="" id="{3B8CA18C-24E1-43D9-A5F5-F016FD4561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068" name="Picture 621">
          <a:extLst>
            <a:ext uri="{FF2B5EF4-FFF2-40B4-BE49-F238E27FC236}">
              <a16:creationId xmlns:a16="http://schemas.microsoft.com/office/drawing/2014/main" xmlns="" id="{68203E92-F1D6-4AAB-A906-34BBA45A76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069" name="Picture 622">
          <a:extLst>
            <a:ext uri="{FF2B5EF4-FFF2-40B4-BE49-F238E27FC236}">
              <a16:creationId xmlns:a16="http://schemas.microsoft.com/office/drawing/2014/main" xmlns="" id="{0025324C-A84B-4B8F-B3B6-5F96C16E40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070" name="Picture 623">
          <a:extLst>
            <a:ext uri="{FF2B5EF4-FFF2-40B4-BE49-F238E27FC236}">
              <a16:creationId xmlns:a16="http://schemas.microsoft.com/office/drawing/2014/main" xmlns="" id="{3DBD48A6-52C3-49BC-9D11-DD4EFD1A42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071" name="Picture 624">
          <a:extLst>
            <a:ext uri="{FF2B5EF4-FFF2-40B4-BE49-F238E27FC236}">
              <a16:creationId xmlns:a16="http://schemas.microsoft.com/office/drawing/2014/main" xmlns="" id="{4937ADE6-3E14-417E-B794-41327A01D9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072" name="Picture 625">
          <a:extLst>
            <a:ext uri="{FF2B5EF4-FFF2-40B4-BE49-F238E27FC236}">
              <a16:creationId xmlns:a16="http://schemas.microsoft.com/office/drawing/2014/main" xmlns="" id="{8A105714-87F9-42AC-B3D1-2C8D8FC64B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073" name="Picture 626">
          <a:extLst>
            <a:ext uri="{FF2B5EF4-FFF2-40B4-BE49-F238E27FC236}">
              <a16:creationId xmlns:a16="http://schemas.microsoft.com/office/drawing/2014/main" xmlns="" id="{3EB07641-3486-430A-BC63-8917CE5B72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074" name="Picture 627">
          <a:extLst>
            <a:ext uri="{FF2B5EF4-FFF2-40B4-BE49-F238E27FC236}">
              <a16:creationId xmlns:a16="http://schemas.microsoft.com/office/drawing/2014/main" xmlns="" id="{BC6EDE49-7CAB-44F2-92B7-4C4B11A1D3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075" name="Picture 628">
          <a:extLst>
            <a:ext uri="{FF2B5EF4-FFF2-40B4-BE49-F238E27FC236}">
              <a16:creationId xmlns:a16="http://schemas.microsoft.com/office/drawing/2014/main" xmlns="" id="{AEAD71C8-0BCB-47D9-9CB6-E1E3CC7FCB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076" name="Picture 629">
          <a:extLst>
            <a:ext uri="{FF2B5EF4-FFF2-40B4-BE49-F238E27FC236}">
              <a16:creationId xmlns:a16="http://schemas.microsoft.com/office/drawing/2014/main" xmlns="" id="{82450886-2EFE-4644-9762-98A41131E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077" name="Picture 630">
          <a:extLst>
            <a:ext uri="{FF2B5EF4-FFF2-40B4-BE49-F238E27FC236}">
              <a16:creationId xmlns:a16="http://schemas.microsoft.com/office/drawing/2014/main" xmlns="" id="{7A0666CF-EDCE-44C2-8EC0-B12978AF29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078" name="Picture 631">
          <a:extLst>
            <a:ext uri="{FF2B5EF4-FFF2-40B4-BE49-F238E27FC236}">
              <a16:creationId xmlns:a16="http://schemas.microsoft.com/office/drawing/2014/main" xmlns="" id="{5DAF4AD6-F2B3-44D8-8127-C84715450A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079" name="Picture 632">
          <a:extLst>
            <a:ext uri="{FF2B5EF4-FFF2-40B4-BE49-F238E27FC236}">
              <a16:creationId xmlns:a16="http://schemas.microsoft.com/office/drawing/2014/main" xmlns="" id="{E97194EF-19D0-4DC6-8566-C24D68FF4A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080" name="Picture 633">
          <a:extLst>
            <a:ext uri="{FF2B5EF4-FFF2-40B4-BE49-F238E27FC236}">
              <a16:creationId xmlns:a16="http://schemas.microsoft.com/office/drawing/2014/main" xmlns="" id="{DE43ABCB-1CB2-4926-9341-3FE95AB758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081" name="Picture 634">
          <a:extLst>
            <a:ext uri="{FF2B5EF4-FFF2-40B4-BE49-F238E27FC236}">
              <a16:creationId xmlns:a16="http://schemas.microsoft.com/office/drawing/2014/main" xmlns="" id="{8549CAD8-865C-4804-93B7-A1E558ED52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082" name="Picture 635">
          <a:extLst>
            <a:ext uri="{FF2B5EF4-FFF2-40B4-BE49-F238E27FC236}">
              <a16:creationId xmlns:a16="http://schemas.microsoft.com/office/drawing/2014/main" xmlns="" id="{3037557C-C5AD-40D8-9D62-00914FCFBF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083" name="Picture 636">
          <a:extLst>
            <a:ext uri="{FF2B5EF4-FFF2-40B4-BE49-F238E27FC236}">
              <a16:creationId xmlns:a16="http://schemas.microsoft.com/office/drawing/2014/main" xmlns="" id="{69612DAF-4E4D-4B36-B088-618241475F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084" name="Picture 637">
          <a:extLst>
            <a:ext uri="{FF2B5EF4-FFF2-40B4-BE49-F238E27FC236}">
              <a16:creationId xmlns:a16="http://schemas.microsoft.com/office/drawing/2014/main" xmlns="" id="{A3B766C9-6920-458F-8D1F-025B4B7622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085" name="Picture 638">
          <a:extLst>
            <a:ext uri="{FF2B5EF4-FFF2-40B4-BE49-F238E27FC236}">
              <a16:creationId xmlns:a16="http://schemas.microsoft.com/office/drawing/2014/main" xmlns="" id="{BEAAC47E-9BE0-4FE5-9149-50DF416309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086" name="Picture 639">
          <a:extLst>
            <a:ext uri="{FF2B5EF4-FFF2-40B4-BE49-F238E27FC236}">
              <a16:creationId xmlns:a16="http://schemas.microsoft.com/office/drawing/2014/main" xmlns="" id="{E7B176F7-2213-4D5D-B56C-C29DD3D707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087" name="Picture 640">
          <a:extLst>
            <a:ext uri="{FF2B5EF4-FFF2-40B4-BE49-F238E27FC236}">
              <a16:creationId xmlns:a16="http://schemas.microsoft.com/office/drawing/2014/main" xmlns="" id="{36A80361-FBC0-4AC0-AD2A-193E74E47C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088" name="Picture 641">
          <a:extLst>
            <a:ext uri="{FF2B5EF4-FFF2-40B4-BE49-F238E27FC236}">
              <a16:creationId xmlns:a16="http://schemas.microsoft.com/office/drawing/2014/main" xmlns="" id="{D7177F7A-BC15-4BC8-835A-83E47AB68A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089" name="Picture 642">
          <a:extLst>
            <a:ext uri="{FF2B5EF4-FFF2-40B4-BE49-F238E27FC236}">
              <a16:creationId xmlns:a16="http://schemas.microsoft.com/office/drawing/2014/main" xmlns="" id="{63E50A38-77EE-4078-BFCB-5FC28481D8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090" name="Picture 643">
          <a:extLst>
            <a:ext uri="{FF2B5EF4-FFF2-40B4-BE49-F238E27FC236}">
              <a16:creationId xmlns:a16="http://schemas.microsoft.com/office/drawing/2014/main" xmlns="" id="{3DD87B55-E0B2-48C1-8396-AAC4339397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091" name="Picture 644">
          <a:extLst>
            <a:ext uri="{FF2B5EF4-FFF2-40B4-BE49-F238E27FC236}">
              <a16:creationId xmlns:a16="http://schemas.microsoft.com/office/drawing/2014/main" xmlns="" id="{3B7AFA8F-50C2-474E-B266-AA07B9E0C1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092" name="Picture 645">
          <a:extLst>
            <a:ext uri="{FF2B5EF4-FFF2-40B4-BE49-F238E27FC236}">
              <a16:creationId xmlns:a16="http://schemas.microsoft.com/office/drawing/2014/main" xmlns="" id="{E9DD661E-D89E-447C-8762-2AE4EF5D64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093" name="Picture 646">
          <a:extLst>
            <a:ext uri="{FF2B5EF4-FFF2-40B4-BE49-F238E27FC236}">
              <a16:creationId xmlns:a16="http://schemas.microsoft.com/office/drawing/2014/main" xmlns="" id="{2FF4FD02-8BB8-42B4-B452-5BAFAC7C5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094" name="Picture 647">
          <a:extLst>
            <a:ext uri="{FF2B5EF4-FFF2-40B4-BE49-F238E27FC236}">
              <a16:creationId xmlns:a16="http://schemas.microsoft.com/office/drawing/2014/main" xmlns="" id="{2678A2E0-AB0F-4C37-8FA9-5186EF67BA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095" name="Picture 648">
          <a:extLst>
            <a:ext uri="{FF2B5EF4-FFF2-40B4-BE49-F238E27FC236}">
              <a16:creationId xmlns:a16="http://schemas.microsoft.com/office/drawing/2014/main" xmlns="" id="{3F289CF3-3677-43F2-A275-5EFA34CA2E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096" name="Picture 649">
          <a:extLst>
            <a:ext uri="{FF2B5EF4-FFF2-40B4-BE49-F238E27FC236}">
              <a16:creationId xmlns:a16="http://schemas.microsoft.com/office/drawing/2014/main" xmlns="" id="{F478DB8B-35A5-412C-AEA6-2C7B98BD1D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097" name="Picture 650">
          <a:extLst>
            <a:ext uri="{FF2B5EF4-FFF2-40B4-BE49-F238E27FC236}">
              <a16:creationId xmlns:a16="http://schemas.microsoft.com/office/drawing/2014/main" xmlns="" id="{C6254E96-E4BD-40FE-A2FA-2856065313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098" name="Picture 651">
          <a:extLst>
            <a:ext uri="{FF2B5EF4-FFF2-40B4-BE49-F238E27FC236}">
              <a16:creationId xmlns:a16="http://schemas.microsoft.com/office/drawing/2014/main" xmlns="" id="{CB63C945-20D0-4DBC-889D-6C4ABEA3E2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099" name="Picture 652">
          <a:extLst>
            <a:ext uri="{FF2B5EF4-FFF2-40B4-BE49-F238E27FC236}">
              <a16:creationId xmlns:a16="http://schemas.microsoft.com/office/drawing/2014/main" xmlns="" id="{ECCCD347-7755-45F2-8697-27A73500E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100" name="Picture 653">
          <a:extLst>
            <a:ext uri="{FF2B5EF4-FFF2-40B4-BE49-F238E27FC236}">
              <a16:creationId xmlns:a16="http://schemas.microsoft.com/office/drawing/2014/main" xmlns="" id="{FBFB5154-6515-4E8A-984F-A020A8FA00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101" name="Picture 654">
          <a:extLst>
            <a:ext uri="{FF2B5EF4-FFF2-40B4-BE49-F238E27FC236}">
              <a16:creationId xmlns:a16="http://schemas.microsoft.com/office/drawing/2014/main" xmlns="" id="{DF668CE6-8BC6-49CE-88F7-FBBDFDBE9E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102" name="Picture 655">
          <a:extLst>
            <a:ext uri="{FF2B5EF4-FFF2-40B4-BE49-F238E27FC236}">
              <a16:creationId xmlns:a16="http://schemas.microsoft.com/office/drawing/2014/main" xmlns="" id="{B7A8CDC8-75ED-47E8-83D4-58DBAD2CCB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103" name="Picture 656">
          <a:extLst>
            <a:ext uri="{FF2B5EF4-FFF2-40B4-BE49-F238E27FC236}">
              <a16:creationId xmlns:a16="http://schemas.microsoft.com/office/drawing/2014/main" xmlns="" id="{6F955DD9-9464-491A-B451-AFA18E972F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104" name="Picture 657">
          <a:extLst>
            <a:ext uri="{FF2B5EF4-FFF2-40B4-BE49-F238E27FC236}">
              <a16:creationId xmlns:a16="http://schemas.microsoft.com/office/drawing/2014/main" xmlns="" id="{32ADA44F-95AB-4FEB-AAE5-22F676408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105" name="Picture 658">
          <a:extLst>
            <a:ext uri="{FF2B5EF4-FFF2-40B4-BE49-F238E27FC236}">
              <a16:creationId xmlns:a16="http://schemas.microsoft.com/office/drawing/2014/main" xmlns="" id="{26E4430B-7943-40B2-BE40-5D7B30E7F6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106" name="Picture 659">
          <a:extLst>
            <a:ext uri="{FF2B5EF4-FFF2-40B4-BE49-F238E27FC236}">
              <a16:creationId xmlns:a16="http://schemas.microsoft.com/office/drawing/2014/main" xmlns="" id="{1D4E7AAC-2F62-4A4A-88DB-3943BD6864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107" name="Picture 660">
          <a:extLst>
            <a:ext uri="{FF2B5EF4-FFF2-40B4-BE49-F238E27FC236}">
              <a16:creationId xmlns:a16="http://schemas.microsoft.com/office/drawing/2014/main" xmlns="" id="{B44F7EFE-E8B8-48E5-8C57-FC1C812F0E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108" name="Picture 661">
          <a:extLst>
            <a:ext uri="{FF2B5EF4-FFF2-40B4-BE49-F238E27FC236}">
              <a16:creationId xmlns:a16="http://schemas.microsoft.com/office/drawing/2014/main" xmlns="" id="{92F7BAD4-2AAC-4558-81E0-54E8051EC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109" name="Picture 662">
          <a:extLst>
            <a:ext uri="{FF2B5EF4-FFF2-40B4-BE49-F238E27FC236}">
              <a16:creationId xmlns:a16="http://schemas.microsoft.com/office/drawing/2014/main" xmlns="" id="{F63E09D4-7828-42F6-8191-E03C08D052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110" name="Picture 663">
          <a:extLst>
            <a:ext uri="{FF2B5EF4-FFF2-40B4-BE49-F238E27FC236}">
              <a16:creationId xmlns:a16="http://schemas.microsoft.com/office/drawing/2014/main" xmlns="" id="{15FFC9F4-970E-44B1-8DE2-63AC426C76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111" name="Picture 664">
          <a:extLst>
            <a:ext uri="{FF2B5EF4-FFF2-40B4-BE49-F238E27FC236}">
              <a16:creationId xmlns:a16="http://schemas.microsoft.com/office/drawing/2014/main" xmlns="" id="{4A374E98-36F7-45BE-8607-12B3C486C1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112" name="Picture 665">
          <a:extLst>
            <a:ext uri="{FF2B5EF4-FFF2-40B4-BE49-F238E27FC236}">
              <a16:creationId xmlns:a16="http://schemas.microsoft.com/office/drawing/2014/main" xmlns="" id="{FBFBB2E4-B909-4DBA-9DE2-E3500DC274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113" name="Picture 666">
          <a:extLst>
            <a:ext uri="{FF2B5EF4-FFF2-40B4-BE49-F238E27FC236}">
              <a16:creationId xmlns:a16="http://schemas.microsoft.com/office/drawing/2014/main" xmlns="" id="{26C8748C-1FE5-4F92-985F-49B204F11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114" name="Picture 667">
          <a:extLst>
            <a:ext uri="{FF2B5EF4-FFF2-40B4-BE49-F238E27FC236}">
              <a16:creationId xmlns:a16="http://schemas.microsoft.com/office/drawing/2014/main" xmlns="" id="{3675DDB1-C5A1-4A2F-A8D6-7E14630AB5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115" name="Picture 668">
          <a:extLst>
            <a:ext uri="{FF2B5EF4-FFF2-40B4-BE49-F238E27FC236}">
              <a16:creationId xmlns:a16="http://schemas.microsoft.com/office/drawing/2014/main" xmlns="" id="{805BFDC8-EAEA-4D0A-A92D-5C44E6E7C7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116" name="Picture 669">
          <a:extLst>
            <a:ext uri="{FF2B5EF4-FFF2-40B4-BE49-F238E27FC236}">
              <a16:creationId xmlns:a16="http://schemas.microsoft.com/office/drawing/2014/main" xmlns="" id="{BB3F8DFC-E5E5-4DEA-8621-393EDCEF07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117" name="Picture 670">
          <a:extLst>
            <a:ext uri="{FF2B5EF4-FFF2-40B4-BE49-F238E27FC236}">
              <a16:creationId xmlns:a16="http://schemas.microsoft.com/office/drawing/2014/main" xmlns="" id="{62A4CEDF-3A88-4CC1-B2A8-82A5D1E91F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118" name="Picture 671">
          <a:extLst>
            <a:ext uri="{FF2B5EF4-FFF2-40B4-BE49-F238E27FC236}">
              <a16:creationId xmlns:a16="http://schemas.microsoft.com/office/drawing/2014/main" xmlns="" id="{46095734-01CC-4133-842B-176F46D634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119" name="Picture 672">
          <a:extLst>
            <a:ext uri="{FF2B5EF4-FFF2-40B4-BE49-F238E27FC236}">
              <a16:creationId xmlns:a16="http://schemas.microsoft.com/office/drawing/2014/main" xmlns="" id="{A876415D-624E-4FC0-87F5-F9CF5AD67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120" name="Picture 673">
          <a:extLst>
            <a:ext uri="{FF2B5EF4-FFF2-40B4-BE49-F238E27FC236}">
              <a16:creationId xmlns:a16="http://schemas.microsoft.com/office/drawing/2014/main" xmlns="" id="{0B3B5476-5E3F-41B0-BB9E-D0EDBFE91E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121" name="Picture 674">
          <a:extLst>
            <a:ext uri="{FF2B5EF4-FFF2-40B4-BE49-F238E27FC236}">
              <a16:creationId xmlns:a16="http://schemas.microsoft.com/office/drawing/2014/main" xmlns="" id="{C9158F3B-38EC-4770-8386-540DCCEBFE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122" name="Picture 675">
          <a:extLst>
            <a:ext uri="{FF2B5EF4-FFF2-40B4-BE49-F238E27FC236}">
              <a16:creationId xmlns:a16="http://schemas.microsoft.com/office/drawing/2014/main" xmlns="" id="{F5D55411-493B-42C1-A0FF-9A3F65E3B1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123" name="Picture 676">
          <a:extLst>
            <a:ext uri="{FF2B5EF4-FFF2-40B4-BE49-F238E27FC236}">
              <a16:creationId xmlns:a16="http://schemas.microsoft.com/office/drawing/2014/main" xmlns="" id="{485397C7-B6F9-4EC2-B94C-026FBF9683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124" name="Picture 677">
          <a:extLst>
            <a:ext uri="{FF2B5EF4-FFF2-40B4-BE49-F238E27FC236}">
              <a16:creationId xmlns:a16="http://schemas.microsoft.com/office/drawing/2014/main" xmlns="" id="{85D37E1E-CEBE-46B7-968A-8EE21412B1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125" name="Picture 678">
          <a:extLst>
            <a:ext uri="{FF2B5EF4-FFF2-40B4-BE49-F238E27FC236}">
              <a16:creationId xmlns:a16="http://schemas.microsoft.com/office/drawing/2014/main" xmlns="" id="{6B1344FA-6603-49EF-9912-F04DB10013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126" name="Picture 679">
          <a:extLst>
            <a:ext uri="{FF2B5EF4-FFF2-40B4-BE49-F238E27FC236}">
              <a16:creationId xmlns:a16="http://schemas.microsoft.com/office/drawing/2014/main" xmlns="" id="{D287D45F-1E0B-4806-BC4D-7502F50F3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127" name="Picture 680">
          <a:extLst>
            <a:ext uri="{FF2B5EF4-FFF2-40B4-BE49-F238E27FC236}">
              <a16:creationId xmlns:a16="http://schemas.microsoft.com/office/drawing/2014/main" xmlns="" id="{6B5DB47A-CF59-4C77-AC56-DAE14FB10F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128" name="Picture 681">
          <a:extLst>
            <a:ext uri="{FF2B5EF4-FFF2-40B4-BE49-F238E27FC236}">
              <a16:creationId xmlns:a16="http://schemas.microsoft.com/office/drawing/2014/main" xmlns="" id="{EDF41EC4-4CA6-4DE3-B384-7E7FF54AAF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129" name="Picture 682">
          <a:extLst>
            <a:ext uri="{FF2B5EF4-FFF2-40B4-BE49-F238E27FC236}">
              <a16:creationId xmlns:a16="http://schemas.microsoft.com/office/drawing/2014/main" xmlns="" id="{FF99E28E-F79A-4325-8744-04AA056809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130" name="Picture 683">
          <a:extLst>
            <a:ext uri="{FF2B5EF4-FFF2-40B4-BE49-F238E27FC236}">
              <a16:creationId xmlns:a16="http://schemas.microsoft.com/office/drawing/2014/main" xmlns="" id="{C0D2E795-9B8C-42B7-AC9A-93B4C8041A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131" name="Picture 684">
          <a:extLst>
            <a:ext uri="{FF2B5EF4-FFF2-40B4-BE49-F238E27FC236}">
              <a16:creationId xmlns:a16="http://schemas.microsoft.com/office/drawing/2014/main" xmlns="" id="{F7414E3E-F36E-4D5F-9F4A-1DBD345CF2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132" name="Picture 685">
          <a:extLst>
            <a:ext uri="{FF2B5EF4-FFF2-40B4-BE49-F238E27FC236}">
              <a16:creationId xmlns:a16="http://schemas.microsoft.com/office/drawing/2014/main" xmlns="" id="{34720BFB-6F13-46D6-AA60-6930FD44C7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133" name="Picture 686">
          <a:extLst>
            <a:ext uri="{FF2B5EF4-FFF2-40B4-BE49-F238E27FC236}">
              <a16:creationId xmlns:a16="http://schemas.microsoft.com/office/drawing/2014/main" xmlns="" id="{1440E660-2852-41FE-9282-5439AC85DE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134" name="Picture 687">
          <a:extLst>
            <a:ext uri="{FF2B5EF4-FFF2-40B4-BE49-F238E27FC236}">
              <a16:creationId xmlns:a16="http://schemas.microsoft.com/office/drawing/2014/main" xmlns="" id="{D764CC5C-1115-499B-A095-409C776426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135" name="Picture 688">
          <a:extLst>
            <a:ext uri="{FF2B5EF4-FFF2-40B4-BE49-F238E27FC236}">
              <a16:creationId xmlns:a16="http://schemas.microsoft.com/office/drawing/2014/main" xmlns="" id="{5E936D3F-3449-4853-9344-5C5572B4ED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136" name="Picture 689">
          <a:extLst>
            <a:ext uri="{FF2B5EF4-FFF2-40B4-BE49-F238E27FC236}">
              <a16:creationId xmlns:a16="http://schemas.microsoft.com/office/drawing/2014/main" xmlns="" id="{905F85FE-F251-4C97-A566-F65AA46F3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137" name="Picture 690">
          <a:extLst>
            <a:ext uri="{FF2B5EF4-FFF2-40B4-BE49-F238E27FC236}">
              <a16:creationId xmlns:a16="http://schemas.microsoft.com/office/drawing/2014/main" xmlns="" id="{AD63D674-AC6C-4B1E-9E94-15A1263F9E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138" name="Picture 691">
          <a:extLst>
            <a:ext uri="{FF2B5EF4-FFF2-40B4-BE49-F238E27FC236}">
              <a16:creationId xmlns:a16="http://schemas.microsoft.com/office/drawing/2014/main" xmlns="" id="{F9FC8F57-C859-43DF-8254-F11367409D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139" name="Picture 692">
          <a:extLst>
            <a:ext uri="{FF2B5EF4-FFF2-40B4-BE49-F238E27FC236}">
              <a16:creationId xmlns:a16="http://schemas.microsoft.com/office/drawing/2014/main" xmlns="" id="{3D85B412-BE42-45A6-B506-E89D73874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140" name="Picture 693">
          <a:extLst>
            <a:ext uri="{FF2B5EF4-FFF2-40B4-BE49-F238E27FC236}">
              <a16:creationId xmlns:a16="http://schemas.microsoft.com/office/drawing/2014/main" xmlns="" id="{D9431944-68BF-487A-9B1B-0C086A17F9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141" name="Picture 694">
          <a:extLst>
            <a:ext uri="{FF2B5EF4-FFF2-40B4-BE49-F238E27FC236}">
              <a16:creationId xmlns:a16="http://schemas.microsoft.com/office/drawing/2014/main" xmlns="" id="{5ECB4F36-E6C8-485C-8FE9-CFFCF5EBFB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142" name="Picture 695">
          <a:extLst>
            <a:ext uri="{FF2B5EF4-FFF2-40B4-BE49-F238E27FC236}">
              <a16:creationId xmlns:a16="http://schemas.microsoft.com/office/drawing/2014/main" xmlns="" id="{BF9BBAE5-AC88-4FA9-9E00-7BF00C1ECB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143" name="Picture 696">
          <a:extLst>
            <a:ext uri="{FF2B5EF4-FFF2-40B4-BE49-F238E27FC236}">
              <a16:creationId xmlns:a16="http://schemas.microsoft.com/office/drawing/2014/main" xmlns="" id="{49455B35-6067-4EA2-9890-58E3EC0216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144" name="Picture 697">
          <a:extLst>
            <a:ext uri="{FF2B5EF4-FFF2-40B4-BE49-F238E27FC236}">
              <a16:creationId xmlns:a16="http://schemas.microsoft.com/office/drawing/2014/main" xmlns="" id="{30FD89C9-E097-496C-A337-1D9A86ACB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145" name="Picture 698">
          <a:extLst>
            <a:ext uri="{FF2B5EF4-FFF2-40B4-BE49-F238E27FC236}">
              <a16:creationId xmlns:a16="http://schemas.microsoft.com/office/drawing/2014/main" xmlns="" id="{A3F1647C-3193-4725-8076-2C0C39F28E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146" name="Picture 699">
          <a:extLst>
            <a:ext uri="{FF2B5EF4-FFF2-40B4-BE49-F238E27FC236}">
              <a16:creationId xmlns:a16="http://schemas.microsoft.com/office/drawing/2014/main" xmlns="" id="{3894BC56-5878-44A9-BE99-ACF07960CD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147" name="Picture 700">
          <a:extLst>
            <a:ext uri="{FF2B5EF4-FFF2-40B4-BE49-F238E27FC236}">
              <a16:creationId xmlns:a16="http://schemas.microsoft.com/office/drawing/2014/main" xmlns="" id="{5CB4E581-D4D3-4158-961E-E874AA32E3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148" name="Picture 701">
          <a:extLst>
            <a:ext uri="{FF2B5EF4-FFF2-40B4-BE49-F238E27FC236}">
              <a16:creationId xmlns:a16="http://schemas.microsoft.com/office/drawing/2014/main" xmlns="" id="{CEEBA473-99C4-4E55-AD57-0008FFE54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149" name="Picture 702">
          <a:extLst>
            <a:ext uri="{FF2B5EF4-FFF2-40B4-BE49-F238E27FC236}">
              <a16:creationId xmlns:a16="http://schemas.microsoft.com/office/drawing/2014/main" xmlns="" id="{E4E25651-DF66-4EEB-B4CA-4ADAFFE7DD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150" name="Picture 703">
          <a:extLst>
            <a:ext uri="{FF2B5EF4-FFF2-40B4-BE49-F238E27FC236}">
              <a16:creationId xmlns:a16="http://schemas.microsoft.com/office/drawing/2014/main" xmlns="" id="{0287837D-F16E-4B24-BF3B-9CC7C22E21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151" name="Picture 704">
          <a:extLst>
            <a:ext uri="{FF2B5EF4-FFF2-40B4-BE49-F238E27FC236}">
              <a16:creationId xmlns:a16="http://schemas.microsoft.com/office/drawing/2014/main" xmlns="" id="{0A83DADD-7F21-4245-87C5-296465B69F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152" name="Picture 705">
          <a:extLst>
            <a:ext uri="{FF2B5EF4-FFF2-40B4-BE49-F238E27FC236}">
              <a16:creationId xmlns:a16="http://schemas.microsoft.com/office/drawing/2014/main" xmlns="" id="{8E160D33-3A1C-42F8-8268-0493482FBD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153" name="Picture 706">
          <a:extLst>
            <a:ext uri="{FF2B5EF4-FFF2-40B4-BE49-F238E27FC236}">
              <a16:creationId xmlns:a16="http://schemas.microsoft.com/office/drawing/2014/main" xmlns="" id="{9778B10D-BBD0-44D4-AF7D-F4CF1A6438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154" name="Picture 707">
          <a:extLst>
            <a:ext uri="{FF2B5EF4-FFF2-40B4-BE49-F238E27FC236}">
              <a16:creationId xmlns:a16="http://schemas.microsoft.com/office/drawing/2014/main" xmlns="" id="{BCE3ED03-566E-4E39-BD14-2B93C5809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155" name="Picture 708">
          <a:extLst>
            <a:ext uri="{FF2B5EF4-FFF2-40B4-BE49-F238E27FC236}">
              <a16:creationId xmlns:a16="http://schemas.microsoft.com/office/drawing/2014/main" xmlns="" id="{4BBAD872-ED3E-4358-BAC7-E3206D4381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156" name="Picture 709">
          <a:extLst>
            <a:ext uri="{FF2B5EF4-FFF2-40B4-BE49-F238E27FC236}">
              <a16:creationId xmlns:a16="http://schemas.microsoft.com/office/drawing/2014/main" xmlns="" id="{47098A74-8211-4B08-B724-36A410BF2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157" name="Picture 710">
          <a:extLst>
            <a:ext uri="{FF2B5EF4-FFF2-40B4-BE49-F238E27FC236}">
              <a16:creationId xmlns:a16="http://schemas.microsoft.com/office/drawing/2014/main" xmlns="" id="{2023EC40-E8EE-45DB-905C-E9489E8FD8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158" name="Picture 711">
          <a:extLst>
            <a:ext uri="{FF2B5EF4-FFF2-40B4-BE49-F238E27FC236}">
              <a16:creationId xmlns:a16="http://schemas.microsoft.com/office/drawing/2014/main" xmlns="" id="{BE2A00A1-0938-4A34-8A02-264CF671DD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159" name="Picture 712">
          <a:extLst>
            <a:ext uri="{FF2B5EF4-FFF2-40B4-BE49-F238E27FC236}">
              <a16:creationId xmlns:a16="http://schemas.microsoft.com/office/drawing/2014/main" xmlns="" id="{2A427708-343D-443D-96C6-B82E9750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160" name="Picture 713">
          <a:extLst>
            <a:ext uri="{FF2B5EF4-FFF2-40B4-BE49-F238E27FC236}">
              <a16:creationId xmlns:a16="http://schemas.microsoft.com/office/drawing/2014/main" xmlns="" id="{821B125E-B533-49CD-8A24-62CE9D09BA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161" name="Picture 714">
          <a:extLst>
            <a:ext uri="{FF2B5EF4-FFF2-40B4-BE49-F238E27FC236}">
              <a16:creationId xmlns:a16="http://schemas.microsoft.com/office/drawing/2014/main" xmlns="" id="{FD4D2E9D-4AAF-487C-ADE8-736CA299B9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162" name="Picture 715">
          <a:extLst>
            <a:ext uri="{FF2B5EF4-FFF2-40B4-BE49-F238E27FC236}">
              <a16:creationId xmlns:a16="http://schemas.microsoft.com/office/drawing/2014/main" xmlns="" id="{B2EE8672-77A0-4085-B926-DB3C032DC4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163" name="Picture 716">
          <a:extLst>
            <a:ext uri="{FF2B5EF4-FFF2-40B4-BE49-F238E27FC236}">
              <a16:creationId xmlns:a16="http://schemas.microsoft.com/office/drawing/2014/main" xmlns="" id="{D7FDFBFB-1A21-4418-9CAB-DEA93E769F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164" name="Picture 717">
          <a:extLst>
            <a:ext uri="{FF2B5EF4-FFF2-40B4-BE49-F238E27FC236}">
              <a16:creationId xmlns:a16="http://schemas.microsoft.com/office/drawing/2014/main" xmlns="" id="{82D67ABE-C05A-4739-ADB0-1A11F4D852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165" name="Picture 718">
          <a:extLst>
            <a:ext uri="{FF2B5EF4-FFF2-40B4-BE49-F238E27FC236}">
              <a16:creationId xmlns:a16="http://schemas.microsoft.com/office/drawing/2014/main" xmlns="" id="{C0B0D757-8CDF-4AAA-8E11-065F365FFB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166" name="Picture 719">
          <a:extLst>
            <a:ext uri="{FF2B5EF4-FFF2-40B4-BE49-F238E27FC236}">
              <a16:creationId xmlns:a16="http://schemas.microsoft.com/office/drawing/2014/main" xmlns="" id="{E11A24D1-7D47-41F3-9135-31CA157E42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167" name="Picture 720">
          <a:extLst>
            <a:ext uri="{FF2B5EF4-FFF2-40B4-BE49-F238E27FC236}">
              <a16:creationId xmlns:a16="http://schemas.microsoft.com/office/drawing/2014/main" xmlns="" id="{59F0EB69-9925-4341-AC14-5B99456D31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168" name="Picture 721">
          <a:extLst>
            <a:ext uri="{FF2B5EF4-FFF2-40B4-BE49-F238E27FC236}">
              <a16:creationId xmlns:a16="http://schemas.microsoft.com/office/drawing/2014/main" xmlns="" id="{74416D84-670A-49E3-B1E6-AA034171C2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169" name="Picture 722">
          <a:extLst>
            <a:ext uri="{FF2B5EF4-FFF2-40B4-BE49-F238E27FC236}">
              <a16:creationId xmlns:a16="http://schemas.microsoft.com/office/drawing/2014/main" xmlns="" id="{0A06D461-3755-40D5-9C53-F24C1C76EF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170" name="Picture 723">
          <a:extLst>
            <a:ext uri="{FF2B5EF4-FFF2-40B4-BE49-F238E27FC236}">
              <a16:creationId xmlns:a16="http://schemas.microsoft.com/office/drawing/2014/main" xmlns="" id="{D035BFEE-7F3F-4D6B-A8B0-ADE4E65FE9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171" name="Picture 724">
          <a:extLst>
            <a:ext uri="{FF2B5EF4-FFF2-40B4-BE49-F238E27FC236}">
              <a16:creationId xmlns:a16="http://schemas.microsoft.com/office/drawing/2014/main" xmlns="" id="{B62B9407-969B-4897-A6A0-9D08F8175F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172" name="Picture 725">
          <a:extLst>
            <a:ext uri="{FF2B5EF4-FFF2-40B4-BE49-F238E27FC236}">
              <a16:creationId xmlns:a16="http://schemas.microsoft.com/office/drawing/2014/main" xmlns="" id="{2B5506B8-A9A2-412F-9F02-0467F02A6B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173" name="Picture 726">
          <a:extLst>
            <a:ext uri="{FF2B5EF4-FFF2-40B4-BE49-F238E27FC236}">
              <a16:creationId xmlns:a16="http://schemas.microsoft.com/office/drawing/2014/main" xmlns="" id="{761C2233-3B83-4247-ADF1-0DCAED9885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174" name="Picture 727">
          <a:extLst>
            <a:ext uri="{FF2B5EF4-FFF2-40B4-BE49-F238E27FC236}">
              <a16:creationId xmlns:a16="http://schemas.microsoft.com/office/drawing/2014/main" xmlns="" id="{3B7D329A-79CA-4B52-8E61-13B659C1B7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175" name="Picture 728">
          <a:extLst>
            <a:ext uri="{FF2B5EF4-FFF2-40B4-BE49-F238E27FC236}">
              <a16:creationId xmlns:a16="http://schemas.microsoft.com/office/drawing/2014/main" xmlns="" id="{D932FE69-53AC-45C1-8BF8-B57D85CE7C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176" name="Picture 729">
          <a:extLst>
            <a:ext uri="{FF2B5EF4-FFF2-40B4-BE49-F238E27FC236}">
              <a16:creationId xmlns:a16="http://schemas.microsoft.com/office/drawing/2014/main" xmlns="" id="{A978C384-A616-4F7B-8739-24726A4FD6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177" name="Picture 730">
          <a:extLst>
            <a:ext uri="{FF2B5EF4-FFF2-40B4-BE49-F238E27FC236}">
              <a16:creationId xmlns:a16="http://schemas.microsoft.com/office/drawing/2014/main" xmlns="" id="{5656B736-DE23-49BC-A6EE-A2BDB6FC1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178" name="Picture 731">
          <a:extLst>
            <a:ext uri="{FF2B5EF4-FFF2-40B4-BE49-F238E27FC236}">
              <a16:creationId xmlns:a16="http://schemas.microsoft.com/office/drawing/2014/main" xmlns="" id="{489E6BC3-7C17-46DD-AE0F-2C7764A2B7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179" name="Picture 732">
          <a:extLst>
            <a:ext uri="{FF2B5EF4-FFF2-40B4-BE49-F238E27FC236}">
              <a16:creationId xmlns:a16="http://schemas.microsoft.com/office/drawing/2014/main" xmlns="" id="{B143C86B-3953-42F6-8A9F-67CC41E832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180" name="Picture 733">
          <a:extLst>
            <a:ext uri="{FF2B5EF4-FFF2-40B4-BE49-F238E27FC236}">
              <a16:creationId xmlns:a16="http://schemas.microsoft.com/office/drawing/2014/main" xmlns="" id="{4B7B0926-8B1F-4017-B253-A37763D466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181" name="Picture 734">
          <a:extLst>
            <a:ext uri="{FF2B5EF4-FFF2-40B4-BE49-F238E27FC236}">
              <a16:creationId xmlns:a16="http://schemas.microsoft.com/office/drawing/2014/main" xmlns="" id="{F37981F3-C5BC-464E-A93E-94A28BCFBF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182" name="Picture 735">
          <a:extLst>
            <a:ext uri="{FF2B5EF4-FFF2-40B4-BE49-F238E27FC236}">
              <a16:creationId xmlns:a16="http://schemas.microsoft.com/office/drawing/2014/main" xmlns="" id="{17CED571-1B37-4762-A2FC-32AB6320E6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183" name="Picture 736">
          <a:extLst>
            <a:ext uri="{FF2B5EF4-FFF2-40B4-BE49-F238E27FC236}">
              <a16:creationId xmlns:a16="http://schemas.microsoft.com/office/drawing/2014/main" xmlns="" id="{4A50C8C5-127C-45A9-87FD-39EA00F29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184" name="Picture 737">
          <a:extLst>
            <a:ext uri="{FF2B5EF4-FFF2-40B4-BE49-F238E27FC236}">
              <a16:creationId xmlns:a16="http://schemas.microsoft.com/office/drawing/2014/main" xmlns="" id="{7E4B7BD4-CFE1-4907-97A2-99E8F48D95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185" name="Picture 738">
          <a:extLst>
            <a:ext uri="{FF2B5EF4-FFF2-40B4-BE49-F238E27FC236}">
              <a16:creationId xmlns:a16="http://schemas.microsoft.com/office/drawing/2014/main" xmlns="" id="{229481FD-4165-4AB8-8164-1B60496A0F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186" name="Picture 739">
          <a:extLst>
            <a:ext uri="{FF2B5EF4-FFF2-40B4-BE49-F238E27FC236}">
              <a16:creationId xmlns:a16="http://schemas.microsoft.com/office/drawing/2014/main" xmlns="" id="{C46D476C-0894-40D3-92B8-FD29835A6B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187" name="Picture 740">
          <a:extLst>
            <a:ext uri="{FF2B5EF4-FFF2-40B4-BE49-F238E27FC236}">
              <a16:creationId xmlns:a16="http://schemas.microsoft.com/office/drawing/2014/main" xmlns="" id="{786D1142-D2BE-4A3E-8E4D-D592C72FCD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188" name="Picture 741">
          <a:extLst>
            <a:ext uri="{FF2B5EF4-FFF2-40B4-BE49-F238E27FC236}">
              <a16:creationId xmlns:a16="http://schemas.microsoft.com/office/drawing/2014/main" xmlns="" id="{AEF0C472-47E9-422C-9756-F745F5E2CA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189" name="Picture 742">
          <a:extLst>
            <a:ext uri="{FF2B5EF4-FFF2-40B4-BE49-F238E27FC236}">
              <a16:creationId xmlns:a16="http://schemas.microsoft.com/office/drawing/2014/main" xmlns="" id="{21FDAFCA-1997-42E1-8EA8-B5B6945D5D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190" name="Picture 743">
          <a:extLst>
            <a:ext uri="{FF2B5EF4-FFF2-40B4-BE49-F238E27FC236}">
              <a16:creationId xmlns:a16="http://schemas.microsoft.com/office/drawing/2014/main" xmlns="" id="{C8DF412E-44BF-4506-842A-501103FF04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191" name="Picture 744">
          <a:extLst>
            <a:ext uri="{FF2B5EF4-FFF2-40B4-BE49-F238E27FC236}">
              <a16:creationId xmlns:a16="http://schemas.microsoft.com/office/drawing/2014/main" xmlns="" id="{D5258CDA-6732-4C13-8185-D3FF74591F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192" name="Picture 745">
          <a:extLst>
            <a:ext uri="{FF2B5EF4-FFF2-40B4-BE49-F238E27FC236}">
              <a16:creationId xmlns:a16="http://schemas.microsoft.com/office/drawing/2014/main" xmlns="" id="{31EBF189-5E86-4D37-A5C1-82E3F4443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193" name="Picture 746">
          <a:extLst>
            <a:ext uri="{FF2B5EF4-FFF2-40B4-BE49-F238E27FC236}">
              <a16:creationId xmlns:a16="http://schemas.microsoft.com/office/drawing/2014/main" xmlns="" id="{B1322B3F-33D4-4AED-BC5A-76401613A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194" name="Picture 747">
          <a:extLst>
            <a:ext uri="{FF2B5EF4-FFF2-40B4-BE49-F238E27FC236}">
              <a16:creationId xmlns:a16="http://schemas.microsoft.com/office/drawing/2014/main" xmlns="" id="{02627FB4-07BF-48F5-99C6-EA62C56F36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195" name="Picture 748">
          <a:extLst>
            <a:ext uri="{FF2B5EF4-FFF2-40B4-BE49-F238E27FC236}">
              <a16:creationId xmlns:a16="http://schemas.microsoft.com/office/drawing/2014/main" xmlns="" id="{BE2EDDCF-16D3-4A9E-8AB7-F85AA4756D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196" name="Picture 749">
          <a:extLst>
            <a:ext uri="{FF2B5EF4-FFF2-40B4-BE49-F238E27FC236}">
              <a16:creationId xmlns:a16="http://schemas.microsoft.com/office/drawing/2014/main" xmlns="" id="{BFB87431-7FA7-4893-8354-5034879FBA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197" name="Picture 750">
          <a:extLst>
            <a:ext uri="{FF2B5EF4-FFF2-40B4-BE49-F238E27FC236}">
              <a16:creationId xmlns:a16="http://schemas.microsoft.com/office/drawing/2014/main" xmlns="" id="{09136A96-91CA-4B57-8067-EBD4F12B09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198" name="Picture 751">
          <a:extLst>
            <a:ext uri="{FF2B5EF4-FFF2-40B4-BE49-F238E27FC236}">
              <a16:creationId xmlns:a16="http://schemas.microsoft.com/office/drawing/2014/main" xmlns="" id="{42512DCF-AB9D-477C-A7DD-C75DAE639D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199" name="Picture 752">
          <a:extLst>
            <a:ext uri="{FF2B5EF4-FFF2-40B4-BE49-F238E27FC236}">
              <a16:creationId xmlns:a16="http://schemas.microsoft.com/office/drawing/2014/main" xmlns="" id="{0599501A-F7D3-44B1-ABFC-D48126A71B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200" name="Picture 753">
          <a:extLst>
            <a:ext uri="{FF2B5EF4-FFF2-40B4-BE49-F238E27FC236}">
              <a16:creationId xmlns:a16="http://schemas.microsoft.com/office/drawing/2014/main" xmlns="" id="{A620CCE4-E0D8-47F6-B58E-1378B64304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201" name="Picture 754">
          <a:extLst>
            <a:ext uri="{FF2B5EF4-FFF2-40B4-BE49-F238E27FC236}">
              <a16:creationId xmlns:a16="http://schemas.microsoft.com/office/drawing/2014/main" xmlns="" id="{04FD00E5-BF70-4CD1-8806-0A7562B876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202" name="Picture 755">
          <a:extLst>
            <a:ext uri="{FF2B5EF4-FFF2-40B4-BE49-F238E27FC236}">
              <a16:creationId xmlns:a16="http://schemas.microsoft.com/office/drawing/2014/main" xmlns="" id="{286FB18F-3E28-4CF1-B664-D946B80542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203" name="Picture 756">
          <a:extLst>
            <a:ext uri="{FF2B5EF4-FFF2-40B4-BE49-F238E27FC236}">
              <a16:creationId xmlns:a16="http://schemas.microsoft.com/office/drawing/2014/main" xmlns="" id="{92C16919-E513-4907-9FAA-8A3F833082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204" name="Picture 757">
          <a:extLst>
            <a:ext uri="{FF2B5EF4-FFF2-40B4-BE49-F238E27FC236}">
              <a16:creationId xmlns:a16="http://schemas.microsoft.com/office/drawing/2014/main" xmlns="" id="{2E67FAF5-12C3-4D25-A1F9-1F6FF1B751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205" name="Picture 758">
          <a:extLst>
            <a:ext uri="{FF2B5EF4-FFF2-40B4-BE49-F238E27FC236}">
              <a16:creationId xmlns:a16="http://schemas.microsoft.com/office/drawing/2014/main" xmlns="" id="{60A91F55-B354-4BF2-B6E4-9338AF5EB6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206" name="Picture 759">
          <a:extLst>
            <a:ext uri="{FF2B5EF4-FFF2-40B4-BE49-F238E27FC236}">
              <a16:creationId xmlns:a16="http://schemas.microsoft.com/office/drawing/2014/main" xmlns="" id="{5EB575E8-E19B-47FF-BC68-D84A1ABD11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207" name="Picture 760">
          <a:extLst>
            <a:ext uri="{FF2B5EF4-FFF2-40B4-BE49-F238E27FC236}">
              <a16:creationId xmlns:a16="http://schemas.microsoft.com/office/drawing/2014/main" xmlns="" id="{7CC983C7-6E5B-4CDC-8062-9FB12E57E0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208" name="Picture 761">
          <a:extLst>
            <a:ext uri="{FF2B5EF4-FFF2-40B4-BE49-F238E27FC236}">
              <a16:creationId xmlns:a16="http://schemas.microsoft.com/office/drawing/2014/main" xmlns="" id="{231FDD46-BDE2-4C0C-88CF-7ADF5AD7C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209" name="Picture 762">
          <a:extLst>
            <a:ext uri="{FF2B5EF4-FFF2-40B4-BE49-F238E27FC236}">
              <a16:creationId xmlns:a16="http://schemas.microsoft.com/office/drawing/2014/main" xmlns="" id="{38FF8B12-9475-41E8-8C9D-1D04A52C40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210" name="Picture 763">
          <a:extLst>
            <a:ext uri="{FF2B5EF4-FFF2-40B4-BE49-F238E27FC236}">
              <a16:creationId xmlns:a16="http://schemas.microsoft.com/office/drawing/2014/main" xmlns="" id="{F1BB1039-6CA6-4778-97C2-E111C7B747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211" name="Picture 764">
          <a:extLst>
            <a:ext uri="{FF2B5EF4-FFF2-40B4-BE49-F238E27FC236}">
              <a16:creationId xmlns:a16="http://schemas.microsoft.com/office/drawing/2014/main" xmlns="" id="{15F70BB7-F7FF-47E1-95E2-2535C278BE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212" name="Picture 765">
          <a:extLst>
            <a:ext uri="{FF2B5EF4-FFF2-40B4-BE49-F238E27FC236}">
              <a16:creationId xmlns:a16="http://schemas.microsoft.com/office/drawing/2014/main" xmlns="" id="{239E2CBF-EA15-4FBE-8243-EF7B66665B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213" name="Picture 766">
          <a:extLst>
            <a:ext uri="{FF2B5EF4-FFF2-40B4-BE49-F238E27FC236}">
              <a16:creationId xmlns:a16="http://schemas.microsoft.com/office/drawing/2014/main" xmlns="" id="{78367BFD-1D29-4783-B426-8DA2CFFCCA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214" name="Picture 767">
          <a:extLst>
            <a:ext uri="{FF2B5EF4-FFF2-40B4-BE49-F238E27FC236}">
              <a16:creationId xmlns:a16="http://schemas.microsoft.com/office/drawing/2014/main" xmlns="" id="{7BBDC9C0-4A0B-4895-A67D-F7C0D90135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215" name="Picture 768">
          <a:extLst>
            <a:ext uri="{FF2B5EF4-FFF2-40B4-BE49-F238E27FC236}">
              <a16:creationId xmlns:a16="http://schemas.microsoft.com/office/drawing/2014/main" xmlns="" id="{9BCF46C1-3B95-4085-B57F-AE227A591F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216" name="Picture 769">
          <a:extLst>
            <a:ext uri="{FF2B5EF4-FFF2-40B4-BE49-F238E27FC236}">
              <a16:creationId xmlns:a16="http://schemas.microsoft.com/office/drawing/2014/main" xmlns="" id="{C7561B4C-5958-4FC2-9D11-63B048BEC4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217" name="Picture 770">
          <a:extLst>
            <a:ext uri="{FF2B5EF4-FFF2-40B4-BE49-F238E27FC236}">
              <a16:creationId xmlns:a16="http://schemas.microsoft.com/office/drawing/2014/main" xmlns="" id="{914025C7-4D46-4A16-A51D-ED30048A0C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218" name="Picture 771">
          <a:extLst>
            <a:ext uri="{FF2B5EF4-FFF2-40B4-BE49-F238E27FC236}">
              <a16:creationId xmlns:a16="http://schemas.microsoft.com/office/drawing/2014/main" xmlns="" id="{471B9B60-3892-4498-95BD-5B870AE6A9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219" name="Picture 772">
          <a:extLst>
            <a:ext uri="{FF2B5EF4-FFF2-40B4-BE49-F238E27FC236}">
              <a16:creationId xmlns:a16="http://schemas.microsoft.com/office/drawing/2014/main" xmlns="" id="{56E6C8C3-0FC9-4217-956E-73621EFEBE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220" name="Picture 773">
          <a:extLst>
            <a:ext uri="{FF2B5EF4-FFF2-40B4-BE49-F238E27FC236}">
              <a16:creationId xmlns:a16="http://schemas.microsoft.com/office/drawing/2014/main" xmlns="" id="{40C9761D-493F-4C55-A6E0-75C4B4B4D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221" name="Picture 774">
          <a:extLst>
            <a:ext uri="{FF2B5EF4-FFF2-40B4-BE49-F238E27FC236}">
              <a16:creationId xmlns:a16="http://schemas.microsoft.com/office/drawing/2014/main" xmlns="" id="{7DF2B3CC-7FA3-4073-BCD6-FA283300D2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222" name="Picture 775">
          <a:extLst>
            <a:ext uri="{FF2B5EF4-FFF2-40B4-BE49-F238E27FC236}">
              <a16:creationId xmlns:a16="http://schemas.microsoft.com/office/drawing/2014/main" xmlns="" id="{FDA8DD04-331D-4682-B09A-1FB1250A1E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223" name="Picture 776">
          <a:extLst>
            <a:ext uri="{FF2B5EF4-FFF2-40B4-BE49-F238E27FC236}">
              <a16:creationId xmlns:a16="http://schemas.microsoft.com/office/drawing/2014/main" xmlns="" id="{42EADD90-A7A9-48C3-9615-C30728A5BA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224" name="Picture 777">
          <a:extLst>
            <a:ext uri="{FF2B5EF4-FFF2-40B4-BE49-F238E27FC236}">
              <a16:creationId xmlns:a16="http://schemas.microsoft.com/office/drawing/2014/main" xmlns="" id="{75F5B91E-5920-447F-ADC7-8E7A393C4F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225" name="Picture 778">
          <a:extLst>
            <a:ext uri="{FF2B5EF4-FFF2-40B4-BE49-F238E27FC236}">
              <a16:creationId xmlns:a16="http://schemas.microsoft.com/office/drawing/2014/main" xmlns="" id="{7DB4191D-7009-43B1-A1E8-A06042BE79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226" name="Picture 779">
          <a:extLst>
            <a:ext uri="{FF2B5EF4-FFF2-40B4-BE49-F238E27FC236}">
              <a16:creationId xmlns:a16="http://schemas.microsoft.com/office/drawing/2014/main" xmlns="" id="{6D6DCB89-4897-41FF-8A17-A10CF5776F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227" name="Picture 780">
          <a:extLst>
            <a:ext uri="{FF2B5EF4-FFF2-40B4-BE49-F238E27FC236}">
              <a16:creationId xmlns:a16="http://schemas.microsoft.com/office/drawing/2014/main" xmlns="" id="{D37D9EEE-4D80-46DC-9C63-F4D09589C1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228" name="Picture 781">
          <a:extLst>
            <a:ext uri="{FF2B5EF4-FFF2-40B4-BE49-F238E27FC236}">
              <a16:creationId xmlns:a16="http://schemas.microsoft.com/office/drawing/2014/main" xmlns="" id="{DD2D9116-6B14-4ECC-BBB9-88D314731D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229" name="Picture 782">
          <a:extLst>
            <a:ext uri="{FF2B5EF4-FFF2-40B4-BE49-F238E27FC236}">
              <a16:creationId xmlns:a16="http://schemas.microsoft.com/office/drawing/2014/main" xmlns="" id="{BD6363D2-2733-4220-A214-A50BC641B2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230" name="Picture 783">
          <a:extLst>
            <a:ext uri="{FF2B5EF4-FFF2-40B4-BE49-F238E27FC236}">
              <a16:creationId xmlns:a16="http://schemas.microsoft.com/office/drawing/2014/main" xmlns="" id="{10F0725A-0F19-49C4-84DA-FE7B906068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231" name="Picture 784">
          <a:extLst>
            <a:ext uri="{FF2B5EF4-FFF2-40B4-BE49-F238E27FC236}">
              <a16:creationId xmlns:a16="http://schemas.microsoft.com/office/drawing/2014/main" xmlns="" id="{0818945A-5B4C-42D7-9792-6133C7B01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232" name="Picture 785">
          <a:extLst>
            <a:ext uri="{FF2B5EF4-FFF2-40B4-BE49-F238E27FC236}">
              <a16:creationId xmlns:a16="http://schemas.microsoft.com/office/drawing/2014/main" xmlns="" id="{439031DB-E08F-457E-86E3-D554C6B9D9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233" name="Picture 786">
          <a:extLst>
            <a:ext uri="{FF2B5EF4-FFF2-40B4-BE49-F238E27FC236}">
              <a16:creationId xmlns:a16="http://schemas.microsoft.com/office/drawing/2014/main" xmlns="" id="{9748DD17-0DDB-4167-B1A6-924162A504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234" name="Picture 787">
          <a:extLst>
            <a:ext uri="{FF2B5EF4-FFF2-40B4-BE49-F238E27FC236}">
              <a16:creationId xmlns:a16="http://schemas.microsoft.com/office/drawing/2014/main" xmlns="" id="{FBCD16B9-E551-4F62-8949-0543C1E9A7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235" name="Picture 788">
          <a:extLst>
            <a:ext uri="{FF2B5EF4-FFF2-40B4-BE49-F238E27FC236}">
              <a16:creationId xmlns:a16="http://schemas.microsoft.com/office/drawing/2014/main" xmlns="" id="{92AC3232-01C3-48C7-B37C-0E7F38B1F5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236" name="Picture 789">
          <a:extLst>
            <a:ext uri="{FF2B5EF4-FFF2-40B4-BE49-F238E27FC236}">
              <a16:creationId xmlns:a16="http://schemas.microsoft.com/office/drawing/2014/main" xmlns="" id="{53727841-5502-477A-99CD-87865F8F28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237" name="Picture 790">
          <a:extLst>
            <a:ext uri="{FF2B5EF4-FFF2-40B4-BE49-F238E27FC236}">
              <a16:creationId xmlns:a16="http://schemas.microsoft.com/office/drawing/2014/main" xmlns="" id="{209342B8-3F9A-4D05-A1DC-10507B8E76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238" name="Picture 791">
          <a:extLst>
            <a:ext uri="{FF2B5EF4-FFF2-40B4-BE49-F238E27FC236}">
              <a16:creationId xmlns:a16="http://schemas.microsoft.com/office/drawing/2014/main" xmlns="" id="{2B3C32F2-8697-4938-AAC4-6444F65BD5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239" name="Picture 792">
          <a:extLst>
            <a:ext uri="{FF2B5EF4-FFF2-40B4-BE49-F238E27FC236}">
              <a16:creationId xmlns:a16="http://schemas.microsoft.com/office/drawing/2014/main" xmlns="" id="{A88BE7DE-84FA-430E-8AE6-9A9EA3A83C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240" name="Picture 793">
          <a:extLst>
            <a:ext uri="{FF2B5EF4-FFF2-40B4-BE49-F238E27FC236}">
              <a16:creationId xmlns:a16="http://schemas.microsoft.com/office/drawing/2014/main" xmlns="" id="{FAE73900-002C-4B96-9E9A-04D778FE98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241" name="Picture 794">
          <a:extLst>
            <a:ext uri="{FF2B5EF4-FFF2-40B4-BE49-F238E27FC236}">
              <a16:creationId xmlns:a16="http://schemas.microsoft.com/office/drawing/2014/main" xmlns="" id="{9BE15DC7-3E33-4C54-9292-69BA3F1DE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242" name="Picture 795">
          <a:extLst>
            <a:ext uri="{FF2B5EF4-FFF2-40B4-BE49-F238E27FC236}">
              <a16:creationId xmlns:a16="http://schemas.microsoft.com/office/drawing/2014/main" xmlns="" id="{77E7E3D2-8D86-4C29-A5B6-4ABC077FBD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243" name="Picture 796">
          <a:extLst>
            <a:ext uri="{FF2B5EF4-FFF2-40B4-BE49-F238E27FC236}">
              <a16:creationId xmlns:a16="http://schemas.microsoft.com/office/drawing/2014/main" xmlns="" id="{0C6B7E6B-380A-4B17-A897-DCE7D839AD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244" name="Picture 797">
          <a:extLst>
            <a:ext uri="{FF2B5EF4-FFF2-40B4-BE49-F238E27FC236}">
              <a16:creationId xmlns:a16="http://schemas.microsoft.com/office/drawing/2014/main" xmlns="" id="{E107FFDB-E1C1-4D4C-87F9-7A27A6B505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245" name="Picture 798">
          <a:extLst>
            <a:ext uri="{FF2B5EF4-FFF2-40B4-BE49-F238E27FC236}">
              <a16:creationId xmlns:a16="http://schemas.microsoft.com/office/drawing/2014/main" xmlns="" id="{BED92EC5-7B0D-4725-80E5-D27198F93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246" name="Picture 799">
          <a:extLst>
            <a:ext uri="{FF2B5EF4-FFF2-40B4-BE49-F238E27FC236}">
              <a16:creationId xmlns:a16="http://schemas.microsoft.com/office/drawing/2014/main" xmlns="" id="{28ED1AEB-0B4F-42B6-9632-43615863C1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247" name="Picture 800">
          <a:extLst>
            <a:ext uri="{FF2B5EF4-FFF2-40B4-BE49-F238E27FC236}">
              <a16:creationId xmlns:a16="http://schemas.microsoft.com/office/drawing/2014/main" xmlns="" id="{F6F303FF-3897-4E06-8782-EBC02FADC8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248" name="Picture 801">
          <a:extLst>
            <a:ext uri="{FF2B5EF4-FFF2-40B4-BE49-F238E27FC236}">
              <a16:creationId xmlns:a16="http://schemas.microsoft.com/office/drawing/2014/main" xmlns="" id="{9D09F2F8-9809-4EC1-AFDA-390DD1A860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249" name="Picture 802">
          <a:extLst>
            <a:ext uri="{FF2B5EF4-FFF2-40B4-BE49-F238E27FC236}">
              <a16:creationId xmlns:a16="http://schemas.microsoft.com/office/drawing/2014/main" xmlns="" id="{8D65796A-475A-43C7-818C-F6386DD398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250" name="Picture 803">
          <a:extLst>
            <a:ext uri="{FF2B5EF4-FFF2-40B4-BE49-F238E27FC236}">
              <a16:creationId xmlns:a16="http://schemas.microsoft.com/office/drawing/2014/main" xmlns="" id="{FB7DBED9-1D67-4FBB-8F9F-2599F3F47F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251" name="Picture 804">
          <a:extLst>
            <a:ext uri="{FF2B5EF4-FFF2-40B4-BE49-F238E27FC236}">
              <a16:creationId xmlns:a16="http://schemas.microsoft.com/office/drawing/2014/main" xmlns="" id="{BCABA426-5356-4787-AEBF-527CFCB134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252" name="Picture 805">
          <a:extLst>
            <a:ext uri="{FF2B5EF4-FFF2-40B4-BE49-F238E27FC236}">
              <a16:creationId xmlns:a16="http://schemas.microsoft.com/office/drawing/2014/main" xmlns="" id="{6A5B5D1D-F0C2-49FD-8DC8-98E4886D5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253" name="Picture 806">
          <a:extLst>
            <a:ext uri="{FF2B5EF4-FFF2-40B4-BE49-F238E27FC236}">
              <a16:creationId xmlns:a16="http://schemas.microsoft.com/office/drawing/2014/main" xmlns="" id="{959EF4CE-71EB-4D97-B6A6-A31569813F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254" name="Picture 807">
          <a:extLst>
            <a:ext uri="{FF2B5EF4-FFF2-40B4-BE49-F238E27FC236}">
              <a16:creationId xmlns:a16="http://schemas.microsoft.com/office/drawing/2014/main" xmlns="" id="{A3A8BE51-41E0-4758-9279-AE8258E7A2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255" name="Picture 808">
          <a:extLst>
            <a:ext uri="{FF2B5EF4-FFF2-40B4-BE49-F238E27FC236}">
              <a16:creationId xmlns:a16="http://schemas.microsoft.com/office/drawing/2014/main" xmlns="" id="{90146A2F-4CCD-4E81-BD46-F56F88CB27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256" name="Picture 809">
          <a:extLst>
            <a:ext uri="{FF2B5EF4-FFF2-40B4-BE49-F238E27FC236}">
              <a16:creationId xmlns:a16="http://schemas.microsoft.com/office/drawing/2014/main" xmlns="" id="{0C18C774-71EA-4212-8FDC-AE1AA528B0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257" name="Picture 810">
          <a:extLst>
            <a:ext uri="{FF2B5EF4-FFF2-40B4-BE49-F238E27FC236}">
              <a16:creationId xmlns:a16="http://schemas.microsoft.com/office/drawing/2014/main" xmlns="" id="{6219E187-5700-474B-AF85-0577695F3D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258" name="Picture 811">
          <a:extLst>
            <a:ext uri="{FF2B5EF4-FFF2-40B4-BE49-F238E27FC236}">
              <a16:creationId xmlns:a16="http://schemas.microsoft.com/office/drawing/2014/main" xmlns="" id="{17469776-4976-49EF-B8AD-B5BB863790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259" name="Picture 812">
          <a:extLst>
            <a:ext uri="{FF2B5EF4-FFF2-40B4-BE49-F238E27FC236}">
              <a16:creationId xmlns:a16="http://schemas.microsoft.com/office/drawing/2014/main" xmlns="" id="{2641AFE3-1310-430F-92F8-C2AFA45516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260" name="Picture 813">
          <a:extLst>
            <a:ext uri="{FF2B5EF4-FFF2-40B4-BE49-F238E27FC236}">
              <a16:creationId xmlns:a16="http://schemas.microsoft.com/office/drawing/2014/main" xmlns="" id="{7E330EFE-422F-4BF8-A7A3-3A36D400BF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261" name="Picture 814">
          <a:extLst>
            <a:ext uri="{FF2B5EF4-FFF2-40B4-BE49-F238E27FC236}">
              <a16:creationId xmlns:a16="http://schemas.microsoft.com/office/drawing/2014/main" xmlns="" id="{4F3F9C07-BA5F-4036-AE00-427059E46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262" name="Picture 815">
          <a:extLst>
            <a:ext uri="{FF2B5EF4-FFF2-40B4-BE49-F238E27FC236}">
              <a16:creationId xmlns:a16="http://schemas.microsoft.com/office/drawing/2014/main" xmlns="" id="{B043A394-CD56-4BFD-8F88-BF1B531CEF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263" name="Picture 816">
          <a:extLst>
            <a:ext uri="{FF2B5EF4-FFF2-40B4-BE49-F238E27FC236}">
              <a16:creationId xmlns:a16="http://schemas.microsoft.com/office/drawing/2014/main" xmlns="" id="{BE528EED-914F-4DB0-AA7C-8254FC336B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264" name="Picture 817">
          <a:extLst>
            <a:ext uri="{FF2B5EF4-FFF2-40B4-BE49-F238E27FC236}">
              <a16:creationId xmlns:a16="http://schemas.microsoft.com/office/drawing/2014/main" xmlns="" id="{2D3109CE-1988-47CE-9997-98034CDC6E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265" name="Picture 818">
          <a:extLst>
            <a:ext uri="{FF2B5EF4-FFF2-40B4-BE49-F238E27FC236}">
              <a16:creationId xmlns:a16="http://schemas.microsoft.com/office/drawing/2014/main" xmlns="" id="{A1549D48-F7C0-4368-8723-0795796EAD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266" name="Picture 819">
          <a:extLst>
            <a:ext uri="{FF2B5EF4-FFF2-40B4-BE49-F238E27FC236}">
              <a16:creationId xmlns:a16="http://schemas.microsoft.com/office/drawing/2014/main" xmlns="" id="{C98DA0AB-4840-4EF8-863B-DFEAE65D48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267" name="Picture 820">
          <a:extLst>
            <a:ext uri="{FF2B5EF4-FFF2-40B4-BE49-F238E27FC236}">
              <a16:creationId xmlns:a16="http://schemas.microsoft.com/office/drawing/2014/main" xmlns="" id="{5CE8BCCA-DDC2-411B-AFA4-422E8D2BB6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268" name="Picture 821">
          <a:extLst>
            <a:ext uri="{FF2B5EF4-FFF2-40B4-BE49-F238E27FC236}">
              <a16:creationId xmlns:a16="http://schemas.microsoft.com/office/drawing/2014/main" xmlns="" id="{EE696789-1A47-4585-89CB-B8582270C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269" name="Picture 822">
          <a:extLst>
            <a:ext uri="{FF2B5EF4-FFF2-40B4-BE49-F238E27FC236}">
              <a16:creationId xmlns:a16="http://schemas.microsoft.com/office/drawing/2014/main" xmlns="" id="{5354A218-4A18-4497-A9B3-7396F2A214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270" name="Picture 823">
          <a:extLst>
            <a:ext uri="{FF2B5EF4-FFF2-40B4-BE49-F238E27FC236}">
              <a16:creationId xmlns:a16="http://schemas.microsoft.com/office/drawing/2014/main" xmlns="" id="{0D433EB8-81DC-4659-BA93-10BA6A9EFB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271" name="Picture 824">
          <a:extLst>
            <a:ext uri="{FF2B5EF4-FFF2-40B4-BE49-F238E27FC236}">
              <a16:creationId xmlns:a16="http://schemas.microsoft.com/office/drawing/2014/main" xmlns="" id="{71E56B1F-076F-4837-A1AD-55D55AE9E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272" name="Picture 825">
          <a:extLst>
            <a:ext uri="{FF2B5EF4-FFF2-40B4-BE49-F238E27FC236}">
              <a16:creationId xmlns:a16="http://schemas.microsoft.com/office/drawing/2014/main" xmlns="" id="{59B38579-E7ED-4B4F-9C45-8BFAD82E4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273" name="Picture 826">
          <a:extLst>
            <a:ext uri="{FF2B5EF4-FFF2-40B4-BE49-F238E27FC236}">
              <a16:creationId xmlns:a16="http://schemas.microsoft.com/office/drawing/2014/main" xmlns="" id="{3A9245FA-E3BE-42BF-9B7E-AF3954E73A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274" name="Picture 827">
          <a:extLst>
            <a:ext uri="{FF2B5EF4-FFF2-40B4-BE49-F238E27FC236}">
              <a16:creationId xmlns:a16="http://schemas.microsoft.com/office/drawing/2014/main" xmlns="" id="{B35931FE-0E6B-4CCA-B7C8-7ECDAE5EEE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275" name="Picture 828">
          <a:extLst>
            <a:ext uri="{FF2B5EF4-FFF2-40B4-BE49-F238E27FC236}">
              <a16:creationId xmlns:a16="http://schemas.microsoft.com/office/drawing/2014/main" xmlns="" id="{DCD1F436-8006-4A6B-A407-36F2B1BCAE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276" name="Picture 829">
          <a:extLst>
            <a:ext uri="{FF2B5EF4-FFF2-40B4-BE49-F238E27FC236}">
              <a16:creationId xmlns:a16="http://schemas.microsoft.com/office/drawing/2014/main" xmlns="" id="{1AF8EBEE-8B68-41CB-BB7E-5932E347FB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277" name="Picture 830">
          <a:extLst>
            <a:ext uri="{FF2B5EF4-FFF2-40B4-BE49-F238E27FC236}">
              <a16:creationId xmlns:a16="http://schemas.microsoft.com/office/drawing/2014/main" xmlns="" id="{3E0396BC-FC6D-4526-8245-52C5402226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278" name="Picture 831">
          <a:extLst>
            <a:ext uri="{FF2B5EF4-FFF2-40B4-BE49-F238E27FC236}">
              <a16:creationId xmlns:a16="http://schemas.microsoft.com/office/drawing/2014/main" xmlns="" id="{0095F61A-2E57-4226-92A8-19FFA819AE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279" name="Picture 832">
          <a:extLst>
            <a:ext uri="{FF2B5EF4-FFF2-40B4-BE49-F238E27FC236}">
              <a16:creationId xmlns:a16="http://schemas.microsoft.com/office/drawing/2014/main" xmlns="" id="{77C53E57-B790-4A54-9FE2-A539871850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280" name="Picture 833">
          <a:extLst>
            <a:ext uri="{FF2B5EF4-FFF2-40B4-BE49-F238E27FC236}">
              <a16:creationId xmlns:a16="http://schemas.microsoft.com/office/drawing/2014/main" xmlns="" id="{B973A28E-0B21-4B85-9A3C-F79B3CC84C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281" name="Picture 834">
          <a:extLst>
            <a:ext uri="{FF2B5EF4-FFF2-40B4-BE49-F238E27FC236}">
              <a16:creationId xmlns:a16="http://schemas.microsoft.com/office/drawing/2014/main" xmlns="" id="{41D99B72-D2B7-483A-84C4-499E0F8901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282" name="Picture 835">
          <a:extLst>
            <a:ext uri="{FF2B5EF4-FFF2-40B4-BE49-F238E27FC236}">
              <a16:creationId xmlns:a16="http://schemas.microsoft.com/office/drawing/2014/main" xmlns="" id="{9DE1EE84-CB81-46E2-9712-46039AAC01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283" name="Picture 836">
          <a:extLst>
            <a:ext uri="{FF2B5EF4-FFF2-40B4-BE49-F238E27FC236}">
              <a16:creationId xmlns:a16="http://schemas.microsoft.com/office/drawing/2014/main" xmlns="" id="{33D75C87-3FCF-44E2-9360-7A0A423A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284" name="Picture 837">
          <a:extLst>
            <a:ext uri="{FF2B5EF4-FFF2-40B4-BE49-F238E27FC236}">
              <a16:creationId xmlns:a16="http://schemas.microsoft.com/office/drawing/2014/main" xmlns="" id="{BE212B0F-81FC-48D2-BAEF-719B1D8D06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285" name="Picture 838">
          <a:extLst>
            <a:ext uri="{FF2B5EF4-FFF2-40B4-BE49-F238E27FC236}">
              <a16:creationId xmlns:a16="http://schemas.microsoft.com/office/drawing/2014/main" xmlns="" id="{41C69532-6668-4A83-9D9D-DACC8C7BB7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286" name="Picture 839">
          <a:extLst>
            <a:ext uri="{FF2B5EF4-FFF2-40B4-BE49-F238E27FC236}">
              <a16:creationId xmlns:a16="http://schemas.microsoft.com/office/drawing/2014/main" xmlns="" id="{9FD9ED1A-7F57-42DF-897D-774049C5E3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287" name="Picture 840">
          <a:extLst>
            <a:ext uri="{FF2B5EF4-FFF2-40B4-BE49-F238E27FC236}">
              <a16:creationId xmlns:a16="http://schemas.microsoft.com/office/drawing/2014/main" xmlns="" id="{20533265-7D3E-429D-92B8-A1745B6801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288" name="Picture 841">
          <a:extLst>
            <a:ext uri="{FF2B5EF4-FFF2-40B4-BE49-F238E27FC236}">
              <a16:creationId xmlns:a16="http://schemas.microsoft.com/office/drawing/2014/main" xmlns="" id="{8FC88EB0-2DB8-4578-A0BE-589533BD0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289" name="Picture 842">
          <a:extLst>
            <a:ext uri="{FF2B5EF4-FFF2-40B4-BE49-F238E27FC236}">
              <a16:creationId xmlns:a16="http://schemas.microsoft.com/office/drawing/2014/main" xmlns="" id="{99C08617-CCCF-4F49-A0D1-09102BC04D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290" name="Picture 843">
          <a:extLst>
            <a:ext uri="{FF2B5EF4-FFF2-40B4-BE49-F238E27FC236}">
              <a16:creationId xmlns:a16="http://schemas.microsoft.com/office/drawing/2014/main" xmlns="" id="{DA5E3F89-7443-40A4-9238-30E23B491A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291" name="Picture 844">
          <a:extLst>
            <a:ext uri="{FF2B5EF4-FFF2-40B4-BE49-F238E27FC236}">
              <a16:creationId xmlns:a16="http://schemas.microsoft.com/office/drawing/2014/main" xmlns="" id="{3CB92AEE-E55E-4D27-8E7B-83C9063C2E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292" name="Picture 845">
          <a:extLst>
            <a:ext uri="{FF2B5EF4-FFF2-40B4-BE49-F238E27FC236}">
              <a16:creationId xmlns:a16="http://schemas.microsoft.com/office/drawing/2014/main" xmlns="" id="{91329992-2E2D-438B-B6EC-DC32108295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293" name="Picture 846">
          <a:extLst>
            <a:ext uri="{FF2B5EF4-FFF2-40B4-BE49-F238E27FC236}">
              <a16:creationId xmlns:a16="http://schemas.microsoft.com/office/drawing/2014/main" xmlns="" id="{B2F87F3B-6886-4E98-A9B4-B4F5F60069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294" name="Picture 847">
          <a:extLst>
            <a:ext uri="{FF2B5EF4-FFF2-40B4-BE49-F238E27FC236}">
              <a16:creationId xmlns:a16="http://schemas.microsoft.com/office/drawing/2014/main" xmlns="" id="{4D5D1FE2-D0C0-4BD1-9343-3CA77A16A7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295" name="Picture 848">
          <a:extLst>
            <a:ext uri="{FF2B5EF4-FFF2-40B4-BE49-F238E27FC236}">
              <a16:creationId xmlns:a16="http://schemas.microsoft.com/office/drawing/2014/main" xmlns="" id="{91C4676D-2F0E-4EA4-AA25-9BA6F8B94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296" name="Picture 849">
          <a:extLst>
            <a:ext uri="{FF2B5EF4-FFF2-40B4-BE49-F238E27FC236}">
              <a16:creationId xmlns:a16="http://schemas.microsoft.com/office/drawing/2014/main" xmlns="" id="{0090C7C9-6732-442C-A8F4-85F6D63E2F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297" name="Picture 850">
          <a:extLst>
            <a:ext uri="{FF2B5EF4-FFF2-40B4-BE49-F238E27FC236}">
              <a16:creationId xmlns:a16="http://schemas.microsoft.com/office/drawing/2014/main" xmlns="" id="{52F71B1B-928F-4A8F-B4DF-AC7BA348FA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298" name="Picture 851">
          <a:extLst>
            <a:ext uri="{FF2B5EF4-FFF2-40B4-BE49-F238E27FC236}">
              <a16:creationId xmlns:a16="http://schemas.microsoft.com/office/drawing/2014/main" xmlns="" id="{0D033EA3-D40C-4549-BE90-E4B263F334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299" name="Picture 852">
          <a:extLst>
            <a:ext uri="{FF2B5EF4-FFF2-40B4-BE49-F238E27FC236}">
              <a16:creationId xmlns:a16="http://schemas.microsoft.com/office/drawing/2014/main" xmlns="" id="{D510BE00-C015-4F07-9609-A05B5B227C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300" name="Picture 853">
          <a:extLst>
            <a:ext uri="{FF2B5EF4-FFF2-40B4-BE49-F238E27FC236}">
              <a16:creationId xmlns:a16="http://schemas.microsoft.com/office/drawing/2014/main" xmlns="" id="{3B050667-DB3C-408E-9B88-5B439E60EC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301" name="Picture 854">
          <a:extLst>
            <a:ext uri="{FF2B5EF4-FFF2-40B4-BE49-F238E27FC236}">
              <a16:creationId xmlns:a16="http://schemas.microsoft.com/office/drawing/2014/main" xmlns="" id="{02BEC002-F0C2-4317-B9F3-6DDE99A69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302" name="Picture 855">
          <a:extLst>
            <a:ext uri="{FF2B5EF4-FFF2-40B4-BE49-F238E27FC236}">
              <a16:creationId xmlns:a16="http://schemas.microsoft.com/office/drawing/2014/main" xmlns="" id="{76CC9D83-D239-453B-B97C-27375FA94E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303" name="Picture 856">
          <a:extLst>
            <a:ext uri="{FF2B5EF4-FFF2-40B4-BE49-F238E27FC236}">
              <a16:creationId xmlns:a16="http://schemas.microsoft.com/office/drawing/2014/main" xmlns="" id="{68ADE7D0-A9C0-4473-8711-5D1F3D8C9A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304" name="Picture 857">
          <a:extLst>
            <a:ext uri="{FF2B5EF4-FFF2-40B4-BE49-F238E27FC236}">
              <a16:creationId xmlns:a16="http://schemas.microsoft.com/office/drawing/2014/main" xmlns="" id="{88AD94E9-A74E-4196-973A-F8307955DE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305" name="Picture 858">
          <a:extLst>
            <a:ext uri="{FF2B5EF4-FFF2-40B4-BE49-F238E27FC236}">
              <a16:creationId xmlns:a16="http://schemas.microsoft.com/office/drawing/2014/main" xmlns="" id="{6E5E83C2-B2CB-4EB4-B64D-CC6693C727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306" name="Picture 859">
          <a:extLst>
            <a:ext uri="{FF2B5EF4-FFF2-40B4-BE49-F238E27FC236}">
              <a16:creationId xmlns:a16="http://schemas.microsoft.com/office/drawing/2014/main" xmlns="" id="{9F4A111F-ACE1-4138-9D31-CB7ADAE8EA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307" name="Picture 860">
          <a:extLst>
            <a:ext uri="{FF2B5EF4-FFF2-40B4-BE49-F238E27FC236}">
              <a16:creationId xmlns:a16="http://schemas.microsoft.com/office/drawing/2014/main" xmlns="" id="{EB5F4682-E7E1-43E5-BF78-6CB689E2B5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308" name="Picture 861">
          <a:extLst>
            <a:ext uri="{FF2B5EF4-FFF2-40B4-BE49-F238E27FC236}">
              <a16:creationId xmlns:a16="http://schemas.microsoft.com/office/drawing/2014/main" xmlns="" id="{9C27EC7F-BB3F-4A08-8AD8-AF6DC0BFEE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309" name="Picture 862">
          <a:extLst>
            <a:ext uri="{FF2B5EF4-FFF2-40B4-BE49-F238E27FC236}">
              <a16:creationId xmlns:a16="http://schemas.microsoft.com/office/drawing/2014/main" xmlns="" id="{D3006A86-AEBA-4581-9C76-15A036E5C3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310" name="Picture 863">
          <a:extLst>
            <a:ext uri="{FF2B5EF4-FFF2-40B4-BE49-F238E27FC236}">
              <a16:creationId xmlns:a16="http://schemas.microsoft.com/office/drawing/2014/main" xmlns="" id="{E3A22E53-E926-4094-90E9-A723DBC6AB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311" name="Picture 864">
          <a:extLst>
            <a:ext uri="{FF2B5EF4-FFF2-40B4-BE49-F238E27FC236}">
              <a16:creationId xmlns:a16="http://schemas.microsoft.com/office/drawing/2014/main" xmlns="" id="{EE37406A-C603-410C-A901-C071B82382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312" name="Picture 865">
          <a:extLst>
            <a:ext uri="{FF2B5EF4-FFF2-40B4-BE49-F238E27FC236}">
              <a16:creationId xmlns:a16="http://schemas.microsoft.com/office/drawing/2014/main" xmlns="" id="{97F50597-BD21-45F2-BD40-2C19CE4F06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313" name="Picture 866">
          <a:extLst>
            <a:ext uri="{FF2B5EF4-FFF2-40B4-BE49-F238E27FC236}">
              <a16:creationId xmlns:a16="http://schemas.microsoft.com/office/drawing/2014/main" xmlns="" id="{238E9262-2BF5-44FC-9B53-4823921CF3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314" name="Picture 867">
          <a:extLst>
            <a:ext uri="{FF2B5EF4-FFF2-40B4-BE49-F238E27FC236}">
              <a16:creationId xmlns:a16="http://schemas.microsoft.com/office/drawing/2014/main" xmlns="" id="{175745DE-8CB2-496E-97BD-1955C00A14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315" name="Picture 868">
          <a:extLst>
            <a:ext uri="{FF2B5EF4-FFF2-40B4-BE49-F238E27FC236}">
              <a16:creationId xmlns:a16="http://schemas.microsoft.com/office/drawing/2014/main" xmlns="" id="{32E9A981-AABA-43EF-9A52-1F4F30C67F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316" name="Picture 869">
          <a:extLst>
            <a:ext uri="{FF2B5EF4-FFF2-40B4-BE49-F238E27FC236}">
              <a16:creationId xmlns:a16="http://schemas.microsoft.com/office/drawing/2014/main" xmlns="" id="{C7DEABE8-8D50-4B1D-9614-EC9543213C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317" name="Picture 870">
          <a:extLst>
            <a:ext uri="{FF2B5EF4-FFF2-40B4-BE49-F238E27FC236}">
              <a16:creationId xmlns:a16="http://schemas.microsoft.com/office/drawing/2014/main" xmlns="" id="{AA59D2A2-E0EF-4029-B39E-62F2EAAAFD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318" name="Picture 871">
          <a:extLst>
            <a:ext uri="{FF2B5EF4-FFF2-40B4-BE49-F238E27FC236}">
              <a16:creationId xmlns:a16="http://schemas.microsoft.com/office/drawing/2014/main" xmlns="" id="{B5A7A7B9-7C7B-44D7-9BDC-E395218BDB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319" name="Picture 872">
          <a:extLst>
            <a:ext uri="{FF2B5EF4-FFF2-40B4-BE49-F238E27FC236}">
              <a16:creationId xmlns:a16="http://schemas.microsoft.com/office/drawing/2014/main" xmlns="" id="{1B90463C-503E-4558-899E-DE16412F70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320" name="Picture 873">
          <a:extLst>
            <a:ext uri="{FF2B5EF4-FFF2-40B4-BE49-F238E27FC236}">
              <a16:creationId xmlns:a16="http://schemas.microsoft.com/office/drawing/2014/main" xmlns="" id="{5AEA647A-3427-42FD-9CB9-5E31C93D78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321" name="Picture 874">
          <a:extLst>
            <a:ext uri="{FF2B5EF4-FFF2-40B4-BE49-F238E27FC236}">
              <a16:creationId xmlns:a16="http://schemas.microsoft.com/office/drawing/2014/main" xmlns="" id="{B8242FB7-64C6-4D7A-8F40-617C9231DC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322" name="Picture 875">
          <a:extLst>
            <a:ext uri="{FF2B5EF4-FFF2-40B4-BE49-F238E27FC236}">
              <a16:creationId xmlns:a16="http://schemas.microsoft.com/office/drawing/2014/main" xmlns="" id="{4017420D-C6C1-4235-9621-AD5143B94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323" name="Picture 876">
          <a:extLst>
            <a:ext uri="{FF2B5EF4-FFF2-40B4-BE49-F238E27FC236}">
              <a16:creationId xmlns:a16="http://schemas.microsoft.com/office/drawing/2014/main" xmlns="" id="{9E611B5B-B5E4-4077-B1CB-99EAB2A47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324" name="Picture 877">
          <a:extLst>
            <a:ext uri="{FF2B5EF4-FFF2-40B4-BE49-F238E27FC236}">
              <a16:creationId xmlns:a16="http://schemas.microsoft.com/office/drawing/2014/main" xmlns="" id="{1AB5ECD8-9B23-493D-A410-CFE492D95C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325" name="Picture 878">
          <a:extLst>
            <a:ext uri="{FF2B5EF4-FFF2-40B4-BE49-F238E27FC236}">
              <a16:creationId xmlns:a16="http://schemas.microsoft.com/office/drawing/2014/main" xmlns="" id="{7C4579B3-C7D7-465D-81F5-10470F8EB9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326" name="Picture 879">
          <a:extLst>
            <a:ext uri="{FF2B5EF4-FFF2-40B4-BE49-F238E27FC236}">
              <a16:creationId xmlns:a16="http://schemas.microsoft.com/office/drawing/2014/main" xmlns="" id="{8C3545C7-1E6E-48A2-B829-5C96D5488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327" name="Picture 880">
          <a:extLst>
            <a:ext uri="{FF2B5EF4-FFF2-40B4-BE49-F238E27FC236}">
              <a16:creationId xmlns:a16="http://schemas.microsoft.com/office/drawing/2014/main" xmlns="" id="{3D73CFEE-D792-4B44-894E-7C0660992C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328" name="Picture 881">
          <a:extLst>
            <a:ext uri="{FF2B5EF4-FFF2-40B4-BE49-F238E27FC236}">
              <a16:creationId xmlns:a16="http://schemas.microsoft.com/office/drawing/2014/main" xmlns="" id="{2C63772A-5E63-4ADA-99C1-5D97C3023E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329" name="Picture 882">
          <a:extLst>
            <a:ext uri="{FF2B5EF4-FFF2-40B4-BE49-F238E27FC236}">
              <a16:creationId xmlns:a16="http://schemas.microsoft.com/office/drawing/2014/main" xmlns="" id="{2E644F48-D813-4B53-8B09-F0183E68D3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330" name="Picture 883">
          <a:extLst>
            <a:ext uri="{FF2B5EF4-FFF2-40B4-BE49-F238E27FC236}">
              <a16:creationId xmlns:a16="http://schemas.microsoft.com/office/drawing/2014/main" xmlns="" id="{E491B90E-75AD-4E99-942B-B663DA95BC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331" name="Picture 884">
          <a:extLst>
            <a:ext uri="{FF2B5EF4-FFF2-40B4-BE49-F238E27FC236}">
              <a16:creationId xmlns:a16="http://schemas.microsoft.com/office/drawing/2014/main" xmlns="" id="{9C90E9F4-BF11-45EB-A32B-365CEA575D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332" name="Picture 885">
          <a:extLst>
            <a:ext uri="{FF2B5EF4-FFF2-40B4-BE49-F238E27FC236}">
              <a16:creationId xmlns:a16="http://schemas.microsoft.com/office/drawing/2014/main" xmlns="" id="{273C4387-E63A-4771-B2C0-1E1527392E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333" name="Picture 886">
          <a:extLst>
            <a:ext uri="{FF2B5EF4-FFF2-40B4-BE49-F238E27FC236}">
              <a16:creationId xmlns:a16="http://schemas.microsoft.com/office/drawing/2014/main" xmlns="" id="{F127A031-E1BC-4780-AD81-CC2D577F73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334" name="Picture 887">
          <a:extLst>
            <a:ext uri="{FF2B5EF4-FFF2-40B4-BE49-F238E27FC236}">
              <a16:creationId xmlns:a16="http://schemas.microsoft.com/office/drawing/2014/main" xmlns="" id="{20AFB240-074C-4C29-9819-E7820A9D65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335" name="Picture 888">
          <a:extLst>
            <a:ext uri="{FF2B5EF4-FFF2-40B4-BE49-F238E27FC236}">
              <a16:creationId xmlns:a16="http://schemas.microsoft.com/office/drawing/2014/main" xmlns="" id="{3DFB0DEB-5D8B-4CE2-92D8-B35E5461C9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336" name="Picture 889">
          <a:extLst>
            <a:ext uri="{FF2B5EF4-FFF2-40B4-BE49-F238E27FC236}">
              <a16:creationId xmlns:a16="http://schemas.microsoft.com/office/drawing/2014/main" xmlns="" id="{1EC83F3C-8308-439F-A852-B1629C9020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337" name="Picture 890">
          <a:extLst>
            <a:ext uri="{FF2B5EF4-FFF2-40B4-BE49-F238E27FC236}">
              <a16:creationId xmlns:a16="http://schemas.microsoft.com/office/drawing/2014/main" xmlns="" id="{C0200B9A-CEB8-4ED5-9E60-B7DB3E0D23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338" name="Picture 891">
          <a:extLst>
            <a:ext uri="{FF2B5EF4-FFF2-40B4-BE49-F238E27FC236}">
              <a16:creationId xmlns:a16="http://schemas.microsoft.com/office/drawing/2014/main" xmlns="" id="{B446A2C3-AF5D-48B2-BDC2-A4DC3C7996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339" name="Picture 892">
          <a:extLst>
            <a:ext uri="{FF2B5EF4-FFF2-40B4-BE49-F238E27FC236}">
              <a16:creationId xmlns:a16="http://schemas.microsoft.com/office/drawing/2014/main" xmlns="" id="{1BACF112-EA88-44BA-9D8D-518D35E03E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340" name="Picture 893">
          <a:extLst>
            <a:ext uri="{FF2B5EF4-FFF2-40B4-BE49-F238E27FC236}">
              <a16:creationId xmlns:a16="http://schemas.microsoft.com/office/drawing/2014/main" xmlns="" id="{2C9ACE5E-EE6B-4DBD-A7FF-ED8707FE74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341" name="Picture 894">
          <a:extLst>
            <a:ext uri="{FF2B5EF4-FFF2-40B4-BE49-F238E27FC236}">
              <a16:creationId xmlns:a16="http://schemas.microsoft.com/office/drawing/2014/main" xmlns="" id="{C4766944-042A-4282-8D76-72B74C1BD2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342" name="Picture 895">
          <a:extLst>
            <a:ext uri="{FF2B5EF4-FFF2-40B4-BE49-F238E27FC236}">
              <a16:creationId xmlns:a16="http://schemas.microsoft.com/office/drawing/2014/main" xmlns="" id="{FB0374DA-B83A-48AC-B492-9368700905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343" name="Picture 896">
          <a:extLst>
            <a:ext uri="{FF2B5EF4-FFF2-40B4-BE49-F238E27FC236}">
              <a16:creationId xmlns:a16="http://schemas.microsoft.com/office/drawing/2014/main" xmlns="" id="{6510AE4C-22DA-4B44-BFAA-12E5681C08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344" name="Picture 897">
          <a:extLst>
            <a:ext uri="{FF2B5EF4-FFF2-40B4-BE49-F238E27FC236}">
              <a16:creationId xmlns:a16="http://schemas.microsoft.com/office/drawing/2014/main" xmlns="" id="{50ED15D3-F3E6-450A-A4E6-913EA80406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345" name="Picture 898">
          <a:extLst>
            <a:ext uri="{FF2B5EF4-FFF2-40B4-BE49-F238E27FC236}">
              <a16:creationId xmlns:a16="http://schemas.microsoft.com/office/drawing/2014/main" xmlns="" id="{AE43575B-F2D2-4420-8242-7877B0BE0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346" name="Picture 899">
          <a:extLst>
            <a:ext uri="{FF2B5EF4-FFF2-40B4-BE49-F238E27FC236}">
              <a16:creationId xmlns:a16="http://schemas.microsoft.com/office/drawing/2014/main" xmlns="" id="{3DAEDF09-DC49-4DAB-A707-23F2131FF7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347" name="Picture 900">
          <a:extLst>
            <a:ext uri="{FF2B5EF4-FFF2-40B4-BE49-F238E27FC236}">
              <a16:creationId xmlns:a16="http://schemas.microsoft.com/office/drawing/2014/main" xmlns="" id="{F2E474AA-CE75-446B-9763-127BFF0AD9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348" name="Picture 901">
          <a:extLst>
            <a:ext uri="{FF2B5EF4-FFF2-40B4-BE49-F238E27FC236}">
              <a16:creationId xmlns:a16="http://schemas.microsoft.com/office/drawing/2014/main" xmlns="" id="{1D0DD5D6-30D6-4266-9754-E7879BB0EF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349" name="Picture 902">
          <a:extLst>
            <a:ext uri="{FF2B5EF4-FFF2-40B4-BE49-F238E27FC236}">
              <a16:creationId xmlns:a16="http://schemas.microsoft.com/office/drawing/2014/main" xmlns="" id="{762F2036-6937-4020-BBA5-7CC1A595C6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350" name="Picture 903">
          <a:extLst>
            <a:ext uri="{FF2B5EF4-FFF2-40B4-BE49-F238E27FC236}">
              <a16:creationId xmlns:a16="http://schemas.microsoft.com/office/drawing/2014/main" xmlns="" id="{5034A3B0-F3EA-422C-B8E0-8C05F4E249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351" name="Picture 904">
          <a:extLst>
            <a:ext uri="{FF2B5EF4-FFF2-40B4-BE49-F238E27FC236}">
              <a16:creationId xmlns:a16="http://schemas.microsoft.com/office/drawing/2014/main" xmlns="" id="{7D58EC7F-7884-4097-8929-D9D049FC21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352" name="Picture 905">
          <a:extLst>
            <a:ext uri="{FF2B5EF4-FFF2-40B4-BE49-F238E27FC236}">
              <a16:creationId xmlns:a16="http://schemas.microsoft.com/office/drawing/2014/main" xmlns="" id="{BEC661CE-CD9A-43C2-933E-BACDD2B319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353" name="Picture 906">
          <a:extLst>
            <a:ext uri="{FF2B5EF4-FFF2-40B4-BE49-F238E27FC236}">
              <a16:creationId xmlns:a16="http://schemas.microsoft.com/office/drawing/2014/main" xmlns="" id="{1577559E-841A-4085-8803-B45E9CBE5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354" name="Picture 907">
          <a:extLst>
            <a:ext uri="{FF2B5EF4-FFF2-40B4-BE49-F238E27FC236}">
              <a16:creationId xmlns:a16="http://schemas.microsoft.com/office/drawing/2014/main" xmlns="" id="{496C97A0-08F0-42C8-896B-99F83D8E2B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355" name="Picture 908">
          <a:extLst>
            <a:ext uri="{FF2B5EF4-FFF2-40B4-BE49-F238E27FC236}">
              <a16:creationId xmlns:a16="http://schemas.microsoft.com/office/drawing/2014/main" xmlns="" id="{F0CA5535-298D-40E9-A7D2-919F8E8DED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356" name="Picture 909">
          <a:extLst>
            <a:ext uri="{FF2B5EF4-FFF2-40B4-BE49-F238E27FC236}">
              <a16:creationId xmlns:a16="http://schemas.microsoft.com/office/drawing/2014/main" xmlns="" id="{A49F4869-1B49-4D75-9019-F15D8DE398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357" name="Picture 910">
          <a:extLst>
            <a:ext uri="{FF2B5EF4-FFF2-40B4-BE49-F238E27FC236}">
              <a16:creationId xmlns:a16="http://schemas.microsoft.com/office/drawing/2014/main" xmlns="" id="{32CE3E01-D43D-4A1A-98C5-0E2A5BE0E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358" name="Picture 911">
          <a:extLst>
            <a:ext uri="{FF2B5EF4-FFF2-40B4-BE49-F238E27FC236}">
              <a16:creationId xmlns:a16="http://schemas.microsoft.com/office/drawing/2014/main" xmlns="" id="{18C5ABCB-F45F-4D15-9A4F-69CC9C787C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359" name="Picture 912">
          <a:extLst>
            <a:ext uri="{FF2B5EF4-FFF2-40B4-BE49-F238E27FC236}">
              <a16:creationId xmlns:a16="http://schemas.microsoft.com/office/drawing/2014/main" xmlns="" id="{32EF0CC3-C2E4-4264-949B-BB177A8ED6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360" name="Picture 913">
          <a:extLst>
            <a:ext uri="{FF2B5EF4-FFF2-40B4-BE49-F238E27FC236}">
              <a16:creationId xmlns:a16="http://schemas.microsoft.com/office/drawing/2014/main" xmlns="" id="{1C3C627A-722B-4FD1-B822-AA697422B6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361" name="Picture 914">
          <a:extLst>
            <a:ext uri="{FF2B5EF4-FFF2-40B4-BE49-F238E27FC236}">
              <a16:creationId xmlns:a16="http://schemas.microsoft.com/office/drawing/2014/main" xmlns="" id="{F68E5154-7F3A-4ED4-8FEC-2DF57645CE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362" name="Picture 915">
          <a:extLst>
            <a:ext uri="{FF2B5EF4-FFF2-40B4-BE49-F238E27FC236}">
              <a16:creationId xmlns:a16="http://schemas.microsoft.com/office/drawing/2014/main" xmlns="" id="{B5375150-A8F9-40BE-8145-4332046245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363" name="Picture 916">
          <a:extLst>
            <a:ext uri="{FF2B5EF4-FFF2-40B4-BE49-F238E27FC236}">
              <a16:creationId xmlns:a16="http://schemas.microsoft.com/office/drawing/2014/main" xmlns="" id="{B04DDF92-67F8-4A44-A266-95BA0DFF19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364" name="Picture 917">
          <a:extLst>
            <a:ext uri="{FF2B5EF4-FFF2-40B4-BE49-F238E27FC236}">
              <a16:creationId xmlns:a16="http://schemas.microsoft.com/office/drawing/2014/main" xmlns="" id="{EC721220-70DF-4CE1-AA47-3E56C41A2F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365" name="Picture 918">
          <a:extLst>
            <a:ext uri="{FF2B5EF4-FFF2-40B4-BE49-F238E27FC236}">
              <a16:creationId xmlns:a16="http://schemas.microsoft.com/office/drawing/2014/main" xmlns="" id="{FB89ADB5-8499-4D02-9B16-5E942B308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366" name="Picture 919">
          <a:extLst>
            <a:ext uri="{FF2B5EF4-FFF2-40B4-BE49-F238E27FC236}">
              <a16:creationId xmlns:a16="http://schemas.microsoft.com/office/drawing/2014/main" xmlns="" id="{58D3CFE3-9F8C-4E12-9613-B5B690DB22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367" name="Picture 920">
          <a:extLst>
            <a:ext uri="{FF2B5EF4-FFF2-40B4-BE49-F238E27FC236}">
              <a16:creationId xmlns:a16="http://schemas.microsoft.com/office/drawing/2014/main" xmlns="" id="{4AC6415A-CDD2-439B-AEB9-F0D51A1E09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368" name="Picture 921">
          <a:extLst>
            <a:ext uri="{FF2B5EF4-FFF2-40B4-BE49-F238E27FC236}">
              <a16:creationId xmlns:a16="http://schemas.microsoft.com/office/drawing/2014/main" xmlns="" id="{858524FF-6F12-4D02-8558-42AD4584E3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369" name="Picture 922">
          <a:extLst>
            <a:ext uri="{FF2B5EF4-FFF2-40B4-BE49-F238E27FC236}">
              <a16:creationId xmlns:a16="http://schemas.microsoft.com/office/drawing/2014/main" xmlns="" id="{4FCFB963-8FA9-4AAC-8017-827ED32CB6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370" name="Picture 923">
          <a:extLst>
            <a:ext uri="{FF2B5EF4-FFF2-40B4-BE49-F238E27FC236}">
              <a16:creationId xmlns:a16="http://schemas.microsoft.com/office/drawing/2014/main" xmlns="" id="{22677DE9-D8F6-4069-A385-82EC8B178C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371" name="Picture 924">
          <a:extLst>
            <a:ext uri="{FF2B5EF4-FFF2-40B4-BE49-F238E27FC236}">
              <a16:creationId xmlns:a16="http://schemas.microsoft.com/office/drawing/2014/main" xmlns="" id="{CDAF9035-C9BB-47E2-9760-3F02BC4BD5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372" name="Picture 925">
          <a:extLst>
            <a:ext uri="{FF2B5EF4-FFF2-40B4-BE49-F238E27FC236}">
              <a16:creationId xmlns:a16="http://schemas.microsoft.com/office/drawing/2014/main" xmlns="" id="{F64039D3-3CF3-442C-BC0D-7FF51E52E4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373" name="Picture 926">
          <a:extLst>
            <a:ext uri="{FF2B5EF4-FFF2-40B4-BE49-F238E27FC236}">
              <a16:creationId xmlns:a16="http://schemas.microsoft.com/office/drawing/2014/main" xmlns="" id="{D6091EB3-625F-4E71-AFDE-57499E1A17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374" name="Picture 927">
          <a:extLst>
            <a:ext uri="{FF2B5EF4-FFF2-40B4-BE49-F238E27FC236}">
              <a16:creationId xmlns:a16="http://schemas.microsoft.com/office/drawing/2014/main" xmlns="" id="{5AF0ED61-54BF-4ACF-9E0A-EA676EB0F3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375" name="Picture 928">
          <a:extLst>
            <a:ext uri="{FF2B5EF4-FFF2-40B4-BE49-F238E27FC236}">
              <a16:creationId xmlns:a16="http://schemas.microsoft.com/office/drawing/2014/main" xmlns="" id="{ABADF573-D084-432F-AC8E-B14BB7CC2D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376" name="Picture 929">
          <a:extLst>
            <a:ext uri="{FF2B5EF4-FFF2-40B4-BE49-F238E27FC236}">
              <a16:creationId xmlns:a16="http://schemas.microsoft.com/office/drawing/2014/main" xmlns="" id="{0635F8A5-F332-4E36-86D5-B957BBC39D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377" name="Picture 930">
          <a:extLst>
            <a:ext uri="{FF2B5EF4-FFF2-40B4-BE49-F238E27FC236}">
              <a16:creationId xmlns:a16="http://schemas.microsoft.com/office/drawing/2014/main" xmlns="" id="{4E689EA1-AA22-43CA-A7FA-56DE38251F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378" name="Picture 931">
          <a:extLst>
            <a:ext uri="{FF2B5EF4-FFF2-40B4-BE49-F238E27FC236}">
              <a16:creationId xmlns:a16="http://schemas.microsoft.com/office/drawing/2014/main" xmlns="" id="{6A86C35B-E78C-4D28-80AE-F71FB9F356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379" name="Picture 932">
          <a:extLst>
            <a:ext uri="{FF2B5EF4-FFF2-40B4-BE49-F238E27FC236}">
              <a16:creationId xmlns:a16="http://schemas.microsoft.com/office/drawing/2014/main" xmlns="" id="{1740E49F-FA92-4E14-AE5F-85C8C15E6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380" name="Picture 933">
          <a:extLst>
            <a:ext uri="{FF2B5EF4-FFF2-40B4-BE49-F238E27FC236}">
              <a16:creationId xmlns:a16="http://schemas.microsoft.com/office/drawing/2014/main" xmlns="" id="{76FE8014-934B-45D6-8268-28801C5581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381" name="Picture 934">
          <a:extLst>
            <a:ext uri="{FF2B5EF4-FFF2-40B4-BE49-F238E27FC236}">
              <a16:creationId xmlns:a16="http://schemas.microsoft.com/office/drawing/2014/main" xmlns="" id="{2750676A-3DCD-4F19-BB12-34D7455B78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382" name="Picture 935">
          <a:extLst>
            <a:ext uri="{FF2B5EF4-FFF2-40B4-BE49-F238E27FC236}">
              <a16:creationId xmlns:a16="http://schemas.microsoft.com/office/drawing/2014/main" xmlns="" id="{10A40B21-4D0C-4068-84D9-7FE16BD872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383" name="Picture 936">
          <a:extLst>
            <a:ext uri="{FF2B5EF4-FFF2-40B4-BE49-F238E27FC236}">
              <a16:creationId xmlns:a16="http://schemas.microsoft.com/office/drawing/2014/main" xmlns="" id="{D725F1A5-597A-4245-BE40-BC8BF4CFA1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384" name="Picture 937">
          <a:extLst>
            <a:ext uri="{FF2B5EF4-FFF2-40B4-BE49-F238E27FC236}">
              <a16:creationId xmlns:a16="http://schemas.microsoft.com/office/drawing/2014/main" xmlns="" id="{FCD100CD-E977-439F-9533-5E56457718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385" name="Picture 938">
          <a:extLst>
            <a:ext uri="{FF2B5EF4-FFF2-40B4-BE49-F238E27FC236}">
              <a16:creationId xmlns:a16="http://schemas.microsoft.com/office/drawing/2014/main" xmlns="" id="{D1200D43-879E-4E0F-B0FD-500BE1D80B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386" name="Picture 939">
          <a:extLst>
            <a:ext uri="{FF2B5EF4-FFF2-40B4-BE49-F238E27FC236}">
              <a16:creationId xmlns:a16="http://schemas.microsoft.com/office/drawing/2014/main" xmlns="" id="{9DA071F9-36A4-46EB-BC17-65DF15C8E3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387" name="Picture 940">
          <a:extLst>
            <a:ext uri="{FF2B5EF4-FFF2-40B4-BE49-F238E27FC236}">
              <a16:creationId xmlns:a16="http://schemas.microsoft.com/office/drawing/2014/main" xmlns="" id="{51E54B32-2AF3-4DC7-95DC-210FE6183B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388" name="Picture 941">
          <a:extLst>
            <a:ext uri="{FF2B5EF4-FFF2-40B4-BE49-F238E27FC236}">
              <a16:creationId xmlns:a16="http://schemas.microsoft.com/office/drawing/2014/main" xmlns="" id="{8D6DA821-68B7-4810-8FD7-1CEB2C6F0C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389" name="Picture 942">
          <a:extLst>
            <a:ext uri="{FF2B5EF4-FFF2-40B4-BE49-F238E27FC236}">
              <a16:creationId xmlns:a16="http://schemas.microsoft.com/office/drawing/2014/main" xmlns="" id="{50DC563B-2601-48A3-9D3F-FE6CD00689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390" name="Picture 943">
          <a:extLst>
            <a:ext uri="{FF2B5EF4-FFF2-40B4-BE49-F238E27FC236}">
              <a16:creationId xmlns:a16="http://schemas.microsoft.com/office/drawing/2014/main" xmlns="" id="{CEA6E81A-ADAC-4BF9-88AC-306B015C40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391" name="Picture 944">
          <a:extLst>
            <a:ext uri="{FF2B5EF4-FFF2-40B4-BE49-F238E27FC236}">
              <a16:creationId xmlns:a16="http://schemas.microsoft.com/office/drawing/2014/main" xmlns="" id="{C89069AD-06C8-4ABF-AF9D-9F7148F5BD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392" name="Picture 945">
          <a:extLst>
            <a:ext uri="{FF2B5EF4-FFF2-40B4-BE49-F238E27FC236}">
              <a16:creationId xmlns:a16="http://schemas.microsoft.com/office/drawing/2014/main" xmlns="" id="{D9C59BAD-A190-4E92-B25B-28E789E91E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393" name="Picture 946">
          <a:extLst>
            <a:ext uri="{FF2B5EF4-FFF2-40B4-BE49-F238E27FC236}">
              <a16:creationId xmlns:a16="http://schemas.microsoft.com/office/drawing/2014/main" xmlns="" id="{F04F6BE9-DD2D-4311-87A7-91FD527DD5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394" name="Picture 947">
          <a:extLst>
            <a:ext uri="{FF2B5EF4-FFF2-40B4-BE49-F238E27FC236}">
              <a16:creationId xmlns:a16="http://schemas.microsoft.com/office/drawing/2014/main" xmlns="" id="{AC30425B-AACD-4B08-8FAE-0473F6A4FA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395" name="Picture 948">
          <a:extLst>
            <a:ext uri="{FF2B5EF4-FFF2-40B4-BE49-F238E27FC236}">
              <a16:creationId xmlns:a16="http://schemas.microsoft.com/office/drawing/2014/main" xmlns="" id="{CA442463-FEC4-4FF5-90D5-375CAF1B33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396" name="Picture 949">
          <a:extLst>
            <a:ext uri="{FF2B5EF4-FFF2-40B4-BE49-F238E27FC236}">
              <a16:creationId xmlns:a16="http://schemas.microsoft.com/office/drawing/2014/main" xmlns="" id="{3FECDC32-F249-48B3-8C47-C60BCC9F7C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397" name="Picture 950">
          <a:extLst>
            <a:ext uri="{FF2B5EF4-FFF2-40B4-BE49-F238E27FC236}">
              <a16:creationId xmlns:a16="http://schemas.microsoft.com/office/drawing/2014/main" xmlns="" id="{42E1051A-AD1A-45BA-84BC-D308899546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398" name="Picture 951">
          <a:extLst>
            <a:ext uri="{FF2B5EF4-FFF2-40B4-BE49-F238E27FC236}">
              <a16:creationId xmlns:a16="http://schemas.microsoft.com/office/drawing/2014/main" xmlns="" id="{07740CEE-01A7-4407-B351-8BD92CC4CE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399" name="Picture 952">
          <a:extLst>
            <a:ext uri="{FF2B5EF4-FFF2-40B4-BE49-F238E27FC236}">
              <a16:creationId xmlns:a16="http://schemas.microsoft.com/office/drawing/2014/main" xmlns="" id="{2E216AA6-E6E1-4561-92EF-D17805F7A7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400" name="Picture 953">
          <a:extLst>
            <a:ext uri="{FF2B5EF4-FFF2-40B4-BE49-F238E27FC236}">
              <a16:creationId xmlns:a16="http://schemas.microsoft.com/office/drawing/2014/main" xmlns="" id="{6FD5B9F7-DF2F-4069-A2EA-C686027BD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401" name="Picture 954">
          <a:extLst>
            <a:ext uri="{FF2B5EF4-FFF2-40B4-BE49-F238E27FC236}">
              <a16:creationId xmlns:a16="http://schemas.microsoft.com/office/drawing/2014/main" xmlns="" id="{84A8E8FA-B5A7-462E-B8B2-1BA1F18319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402" name="Picture 955">
          <a:extLst>
            <a:ext uri="{FF2B5EF4-FFF2-40B4-BE49-F238E27FC236}">
              <a16:creationId xmlns:a16="http://schemas.microsoft.com/office/drawing/2014/main" xmlns="" id="{F944CC28-ABA6-4315-92E5-D9AAA7D989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403" name="Picture 956">
          <a:extLst>
            <a:ext uri="{FF2B5EF4-FFF2-40B4-BE49-F238E27FC236}">
              <a16:creationId xmlns:a16="http://schemas.microsoft.com/office/drawing/2014/main" xmlns="" id="{A874135A-6224-4C83-99F1-5E54F254C5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404" name="Picture 957">
          <a:extLst>
            <a:ext uri="{FF2B5EF4-FFF2-40B4-BE49-F238E27FC236}">
              <a16:creationId xmlns:a16="http://schemas.microsoft.com/office/drawing/2014/main" xmlns="" id="{4CDC79CA-D16C-4F97-BE70-EC4ADB8176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405" name="Picture 958">
          <a:extLst>
            <a:ext uri="{FF2B5EF4-FFF2-40B4-BE49-F238E27FC236}">
              <a16:creationId xmlns:a16="http://schemas.microsoft.com/office/drawing/2014/main" xmlns="" id="{8354F634-F9B6-472C-A5F6-52EF10E6D0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406" name="Picture 959">
          <a:extLst>
            <a:ext uri="{FF2B5EF4-FFF2-40B4-BE49-F238E27FC236}">
              <a16:creationId xmlns:a16="http://schemas.microsoft.com/office/drawing/2014/main" xmlns="" id="{131B2D35-6C48-40A8-A489-2EC7911815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407" name="Picture 960">
          <a:extLst>
            <a:ext uri="{FF2B5EF4-FFF2-40B4-BE49-F238E27FC236}">
              <a16:creationId xmlns:a16="http://schemas.microsoft.com/office/drawing/2014/main" xmlns="" id="{B96E391D-7C84-4636-839F-74EAE935F2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408" name="Picture 961">
          <a:extLst>
            <a:ext uri="{FF2B5EF4-FFF2-40B4-BE49-F238E27FC236}">
              <a16:creationId xmlns:a16="http://schemas.microsoft.com/office/drawing/2014/main" xmlns="" id="{6EB8DE67-F998-415C-9F46-69B882361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409" name="Picture 962">
          <a:extLst>
            <a:ext uri="{FF2B5EF4-FFF2-40B4-BE49-F238E27FC236}">
              <a16:creationId xmlns:a16="http://schemas.microsoft.com/office/drawing/2014/main" xmlns="" id="{50E3EB6E-FBEC-4DF6-B6A7-4A3EB94CBC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410" name="Picture 963">
          <a:extLst>
            <a:ext uri="{FF2B5EF4-FFF2-40B4-BE49-F238E27FC236}">
              <a16:creationId xmlns:a16="http://schemas.microsoft.com/office/drawing/2014/main" xmlns="" id="{AC3A0227-3B60-4DD3-A828-F5F05E8C5D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411" name="Picture 964">
          <a:extLst>
            <a:ext uri="{FF2B5EF4-FFF2-40B4-BE49-F238E27FC236}">
              <a16:creationId xmlns:a16="http://schemas.microsoft.com/office/drawing/2014/main" xmlns="" id="{C187A8EB-7748-48FC-AC1E-EBE24B42E8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412" name="Picture 965">
          <a:extLst>
            <a:ext uri="{FF2B5EF4-FFF2-40B4-BE49-F238E27FC236}">
              <a16:creationId xmlns:a16="http://schemas.microsoft.com/office/drawing/2014/main" xmlns="" id="{97E12883-E616-47A2-A56F-4E654050DE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413" name="Picture 966">
          <a:extLst>
            <a:ext uri="{FF2B5EF4-FFF2-40B4-BE49-F238E27FC236}">
              <a16:creationId xmlns:a16="http://schemas.microsoft.com/office/drawing/2014/main" xmlns="" id="{C32B0F42-ED39-4454-B3D7-35A5C5A630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414" name="Picture 967">
          <a:extLst>
            <a:ext uri="{FF2B5EF4-FFF2-40B4-BE49-F238E27FC236}">
              <a16:creationId xmlns:a16="http://schemas.microsoft.com/office/drawing/2014/main" xmlns="" id="{528C3418-D4E2-44F4-8F84-7AB91CEACD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415" name="Picture 968">
          <a:extLst>
            <a:ext uri="{FF2B5EF4-FFF2-40B4-BE49-F238E27FC236}">
              <a16:creationId xmlns:a16="http://schemas.microsoft.com/office/drawing/2014/main" xmlns="" id="{7CAC3DF9-D37D-44DA-B363-B6A15F735D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416" name="Picture 969">
          <a:extLst>
            <a:ext uri="{FF2B5EF4-FFF2-40B4-BE49-F238E27FC236}">
              <a16:creationId xmlns:a16="http://schemas.microsoft.com/office/drawing/2014/main" xmlns="" id="{CDC5687B-4DB3-407A-831F-7D6F597991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417" name="Picture 970">
          <a:extLst>
            <a:ext uri="{FF2B5EF4-FFF2-40B4-BE49-F238E27FC236}">
              <a16:creationId xmlns:a16="http://schemas.microsoft.com/office/drawing/2014/main" xmlns="" id="{8231FC42-8FCA-40A8-B56E-99FF5F8AAD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418" name="Picture 971">
          <a:extLst>
            <a:ext uri="{FF2B5EF4-FFF2-40B4-BE49-F238E27FC236}">
              <a16:creationId xmlns:a16="http://schemas.microsoft.com/office/drawing/2014/main" xmlns="" id="{C8B53545-FF13-4311-A8C4-6056956708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419" name="Picture 972">
          <a:extLst>
            <a:ext uri="{FF2B5EF4-FFF2-40B4-BE49-F238E27FC236}">
              <a16:creationId xmlns:a16="http://schemas.microsoft.com/office/drawing/2014/main" xmlns="" id="{F046E2AB-9463-427F-A00C-E024CE29E9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420" name="Picture 973">
          <a:extLst>
            <a:ext uri="{FF2B5EF4-FFF2-40B4-BE49-F238E27FC236}">
              <a16:creationId xmlns:a16="http://schemas.microsoft.com/office/drawing/2014/main" xmlns="" id="{9774169C-B14C-48D0-85C0-436A59F704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421" name="Picture 974">
          <a:extLst>
            <a:ext uri="{FF2B5EF4-FFF2-40B4-BE49-F238E27FC236}">
              <a16:creationId xmlns:a16="http://schemas.microsoft.com/office/drawing/2014/main" xmlns="" id="{C8C2F537-9797-4277-B986-9C748A4EAD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422" name="Picture 975">
          <a:extLst>
            <a:ext uri="{FF2B5EF4-FFF2-40B4-BE49-F238E27FC236}">
              <a16:creationId xmlns:a16="http://schemas.microsoft.com/office/drawing/2014/main" xmlns="" id="{8A12609C-1C1A-48BC-B41C-FD8799DC14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423" name="Picture 976">
          <a:extLst>
            <a:ext uri="{FF2B5EF4-FFF2-40B4-BE49-F238E27FC236}">
              <a16:creationId xmlns:a16="http://schemas.microsoft.com/office/drawing/2014/main" xmlns="" id="{501B719F-CB55-46CE-BAA7-57FE1CBE61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424" name="Picture 977">
          <a:extLst>
            <a:ext uri="{FF2B5EF4-FFF2-40B4-BE49-F238E27FC236}">
              <a16:creationId xmlns:a16="http://schemas.microsoft.com/office/drawing/2014/main" xmlns="" id="{20E104F2-EAAA-4923-803F-22DB345CF3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425" name="Picture 978">
          <a:extLst>
            <a:ext uri="{FF2B5EF4-FFF2-40B4-BE49-F238E27FC236}">
              <a16:creationId xmlns:a16="http://schemas.microsoft.com/office/drawing/2014/main" xmlns="" id="{1D4C0318-8790-4847-B904-0ED659A7BB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426" name="Picture 979">
          <a:extLst>
            <a:ext uri="{FF2B5EF4-FFF2-40B4-BE49-F238E27FC236}">
              <a16:creationId xmlns:a16="http://schemas.microsoft.com/office/drawing/2014/main" xmlns="" id="{3BAA2291-6D13-4C09-96B2-C595498CD6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427" name="Picture 980">
          <a:extLst>
            <a:ext uri="{FF2B5EF4-FFF2-40B4-BE49-F238E27FC236}">
              <a16:creationId xmlns:a16="http://schemas.microsoft.com/office/drawing/2014/main" xmlns="" id="{97A6F9F5-F86D-4100-ADD6-477ECB83CB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428" name="Picture 981">
          <a:extLst>
            <a:ext uri="{FF2B5EF4-FFF2-40B4-BE49-F238E27FC236}">
              <a16:creationId xmlns:a16="http://schemas.microsoft.com/office/drawing/2014/main" xmlns="" id="{13C65448-B370-4A77-8CD0-52CC8670B3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429" name="Picture 982">
          <a:extLst>
            <a:ext uri="{FF2B5EF4-FFF2-40B4-BE49-F238E27FC236}">
              <a16:creationId xmlns:a16="http://schemas.microsoft.com/office/drawing/2014/main" xmlns="" id="{76552223-4930-4A68-8D57-58ECC9537C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430" name="Picture 983">
          <a:extLst>
            <a:ext uri="{FF2B5EF4-FFF2-40B4-BE49-F238E27FC236}">
              <a16:creationId xmlns:a16="http://schemas.microsoft.com/office/drawing/2014/main" xmlns="" id="{936C0DE6-C562-486F-9795-CD7FB3378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431" name="Picture 984">
          <a:extLst>
            <a:ext uri="{FF2B5EF4-FFF2-40B4-BE49-F238E27FC236}">
              <a16:creationId xmlns:a16="http://schemas.microsoft.com/office/drawing/2014/main" xmlns="" id="{7DC76682-B8CC-476C-960E-3C49D88DFC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432" name="Picture 985">
          <a:extLst>
            <a:ext uri="{FF2B5EF4-FFF2-40B4-BE49-F238E27FC236}">
              <a16:creationId xmlns:a16="http://schemas.microsoft.com/office/drawing/2014/main" xmlns="" id="{DB850411-B33F-465C-8E1F-B4A14A8B9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433" name="Picture 986">
          <a:extLst>
            <a:ext uri="{FF2B5EF4-FFF2-40B4-BE49-F238E27FC236}">
              <a16:creationId xmlns:a16="http://schemas.microsoft.com/office/drawing/2014/main" xmlns="" id="{7A7770FB-DA8F-4175-8202-D7662C3A0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434" name="Picture 987">
          <a:extLst>
            <a:ext uri="{FF2B5EF4-FFF2-40B4-BE49-F238E27FC236}">
              <a16:creationId xmlns:a16="http://schemas.microsoft.com/office/drawing/2014/main" xmlns="" id="{3C3C0645-8D7A-41FC-9D8E-44598F67FF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435" name="Picture 988">
          <a:extLst>
            <a:ext uri="{FF2B5EF4-FFF2-40B4-BE49-F238E27FC236}">
              <a16:creationId xmlns:a16="http://schemas.microsoft.com/office/drawing/2014/main" xmlns="" id="{96AB3C56-A5A0-4611-8140-30DF94B723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436" name="Picture 989">
          <a:extLst>
            <a:ext uri="{FF2B5EF4-FFF2-40B4-BE49-F238E27FC236}">
              <a16:creationId xmlns:a16="http://schemas.microsoft.com/office/drawing/2014/main" xmlns="" id="{4722BB2C-3E6B-4F1B-9B84-AEF0933F94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437" name="Picture 990">
          <a:extLst>
            <a:ext uri="{FF2B5EF4-FFF2-40B4-BE49-F238E27FC236}">
              <a16:creationId xmlns:a16="http://schemas.microsoft.com/office/drawing/2014/main" xmlns="" id="{406BF3C6-8540-48A3-BA80-034ED1B96F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438" name="Picture 991">
          <a:extLst>
            <a:ext uri="{FF2B5EF4-FFF2-40B4-BE49-F238E27FC236}">
              <a16:creationId xmlns:a16="http://schemas.microsoft.com/office/drawing/2014/main" xmlns="" id="{9F185509-A765-46F5-9D83-A7CD2DA3F1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439" name="Picture 992">
          <a:extLst>
            <a:ext uri="{FF2B5EF4-FFF2-40B4-BE49-F238E27FC236}">
              <a16:creationId xmlns:a16="http://schemas.microsoft.com/office/drawing/2014/main" xmlns="" id="{6980148F-64E7-4FFA-A4D9-D9025C4846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440" name="Picture 993">
          <a:extLst>
            <a:ext uri="{FF2B5EF4-FFF2-40B4-BE49-F238E27FC236}">
              <a16:creationId xmlns:a16="http://schemas.microsoft.com/office/drawing/2014/main" xmlns="" id="{006F13DC-DE67-4644-8F9E-03E8A7FD29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441" name="Picture 994">
          <a:extLst>
            <a:ext uri="{FF2B5EF4-FFF2-40B4-BE49-F238E27FC236}">
              <a16:creationId xmlns:a16="http://schemas.microsoft.com/office/drawing/2014/main" xmlns="" id="{4BEC2240-6A6A-485A-922F-2F328AD001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442" name="Picture 995">
          <a:extLst>
            <a:ext uri="{FF2B5EF4-FFF2-40B4-BE49-F238E27FC236}">
              <a16:creationId xmlns:a16="http://schemas.microsoft.com/office/drawing/2014/main" xmlns="" id="{0F4F2203-EED2-4067-98DA-27FC23BF31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443" name="Picture 996">
          <a:extLst>
            <a:ext uri="{FF2B5EF4-FFF2-40B4-BE49-F238E27FC236}">
              <a16:creationId xmlns:a16="http://schemas.microsoft.com/office/drawing/2014/main" xmlns="" id="{F616133E-8A8D-4659-A349-43E7427A98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444" name="Picture 997">
          <a:extLst>
            <a:ext uri="{FF2B5EF4-FFF2-40B4-BE49-F238E27FC236}">
              <a16:creationId xmlns:a16="http://schemas.microsoft.com/office/drawing/2014/main" xmlns="" id="{E24C39D1-82EE-4772-9791-07D578B66B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445" name="Picture 998">
          <a:extLst>
            <a:ext uri="{FF2B5EF4-FFF2-40B4-BE49-F238E27FC236}">
              <a16:creationId xmlns:a16="http://schemas.microsoft.com/office/drawing/2014/main" xmlns="" id="{F97938B7-4649-4821-B6A2-12C676AAD9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446" name="Picture 999">
          <a:extLst>
            <a:ext uri="{FF2B5EF4-FFF2-40B4-BE49-F238E27FC236}">
              <a16:creationId xmlns:a16="http://schemas.microsoft.com/office/drawing/2014/main" xmlns="" id="{AAD6E1C2-5C30-4E1B-95FA-73FBA27B3E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447" name="Picture 1000">
          <a:extLst>
            <a:ext uri="{FF2B5EF4-FFF2-40B4-BE49-F238E27FC236}">
              <a16:creationId xmlns:a16="http://schemas.microsoft.com/office/drawing/2014/main" xmlns="" id="{E31922AE-6E7E-4FC1-BC16-19C8AF097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448" name="Picture 1001">
          <a:extLst>
            <a:ext uri="{FF2B5EF4-FFF2-40B4-BE49-F238E27FC236}">
              <a16:creationId xmlns:a16="http://schemas.microsoft.com/office/drawing/2014/main" xmlns="" id="{54C4EDC7-681B-4DA3-8D6F-927E228FFC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449" name="Picture 1002">
          <a:extLst>
            <a:ext uri="{FF2B5EF4-FFF2-40B4-BE49-F238E27FC236}">
              <a16:creationId xmlns:a16="http://schemas.microsoft.com/office/drawing/2014/main" xmlns="" id="{2C9A1434-3EB2-4463-BBE1-65FC9C90C5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450" name="Picture 1003">
          <a:extLst>
            <a:ext uri="{FF2B5EF4-FFF2-40B4-BE49-F238E27FC236}">
              <a16:creationId xmlns:a16="http://schemas.microsoft.com/office/drawing/2014/main" xmlns="" id="{8AF33C5E-1E74-452F-9EF8-3F5106B632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451" name="Picture 1004">
          <a:extLst>
            <a:ext uri="{FF2B5EF4-FFF2-40B4-BE49-F238E27FC236}">
              <a16:creationId xmlns:a16="http://schemas.microsoft.com/office/drawing/2014/main" xmlns="" id="{B7FBF4E0-A7B8-44E0-A82D-39CBEB59E1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452" name="Picture 1005">
          <a:extLst>
            <a:ext uri="{FF2B5EF4-FFF2-40B4-BE49-F238E27FC236}">
              <a16:creationId xmlns:a16="http://schemas.microsoft.com/office/drawing/2014/main" xmlns="" id="{A62447E8-EFD7-4098-B150-7A32D88ACE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453" name="Picture 1006">
          <a:extLst>
            <a:ext uri="{FF2B5EF4-FFF2-40B4-BE49-F238E27FC236}">
              <a16:creationId xmlns:a16="http://schemas.microsoft.com/office/drawing/2014/main" xmlns="" id="{DB0DB5A5-DD7C-42E1-B02A-F3009F0015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454" name="Picture 1007">
          <a:extLst>
            <a:ext uri="{FF2B5EF4-FFF2-40B4-BE49-F238E27FC236}">
              <a16:creationId xmlns:a16="http://schemas.microsoft.com/office/drawing/2014/main" xmlns="" id="{02E5884C-962B-468F-9700-494393A7F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455" name="Picture 1008">
          <a:extLst>
            <a:ext uri="{FF2B5EF4-FFF2-40B4-BE49-F238E27FC236}">
              <a16:creationId xmlns:a16="http://schemas.microsoft.com/office/drawing/2014/main" xmlns="" id="{E241B4D4-A4A4-470E-9FFF-CF923174FF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456" name="Picture 1009">
          <a:extLst>
            <a:ext uri="{FF2B5EF4-FFF2-40B4-BE49-F238E27FC236}">
              <a16:creationId xmlns:a16="http://schemas.microsoft.com/office/drawing/2014/main" xmlns="" id="{E7C36891-638F-4EAE-9A59-CA74EA18A5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457" name="Picture 1010">
          <a:extLst>
            <a:ext uri="{FF2B5EF4-FFF2-40B4-BE49-F238E27FC236}">
              <a16:creationId xmlns:a16="http://schemas.microsoft.com/office/drawing/2014/main" xmlns="" id="{325BD836-ECDC-4368-8F59-8324E1078E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458" name="Picture 1011">
          <a:extLst>
            <a:ext uri="{FF2B5EF4-FFF2-40B4-BE49-F238E27FC236}">
              <a16:creationId xmlns:a16="http://schemas.microsoft.com/office/drawing/2014/main" xmlns="" id="{28D2BDBA-F501-4A34-82FF-9D997D6B1B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459" name="Picture 1012">
          <a:extLst>
            <a:ext uri="{FF2B5EF4-FFF2-40B4-BE49-F238E27FC236}">
              <a16:creationId xmlns:a16="http://schemas.microsoft.com/office/drawing/2014/main" xmlns="" id="{3EEC4821-681C-4FAD-8745-2D9E023810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460" name="Picture 1013">
          <a:extLst>
            <a:ext uri="{FF2B5EF4-FFF2-40B4-BE49-F238E27FC236}">
              <a16:creationId xmlns:a16="http://schemas.microsoft.com/office/drawing/2014/main" xmlns="" id="{4FAB1CDA-38E9-45D9-906B-C99CF568B8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461" name="Picture 1014">
          <a:extLst>
            <a:ext uri="{FF2B5EF4-FFF2-40B4-BE49-F238E27FC236}">
              <a16:creationId xmlns:a16="http://schemas.microsoft.com/office/drawing/2014/main" xmlns="" id="{C78EFF50-E1FE-4584-BD71-600AF92F4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462" name="Picture 1015">
          <a:extLst>
            <a:ext uri="{FF2B5EF4-FFF2-40B4-BE49-F238E27FC236}">
              <a16:creationId xmlns:a16="http://schemas.microsoft.com/office/drawing/2014/main" xmlns="" id="{47122459-A30D-4187-95AE-593621A682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463" name="Picture 1016">
          <a:extLst>
            <a:ext uri="{FF2B5EF4-FFF2-40B4-BE49-F238E27FC236}">
              <a16:creationId xmlns:a16="http://schemas.microsoft.com/office/drawing/2014/main" xmlns="" id="{422A26AC-6114-4DC7-B743-4E94982F4E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464" name="Picture 1017">
          <a:extLst>
            <a:ext uri="{FF2B5EF4-FFF2-40B4-BE49-F238E27FC236}">
              <a16:creationId xmlns:a16="http://schemas.microsoft.com/office/drawing/2014/main" xmlns="" id="{75DDA760-381D-4260-BA64-B4F926BE4F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465" name="Picture 1018">
          <a:extLst>
            <a:ext uri="{FF2B5EF4-FFF2-40B4-BE49-F238E27FC236}">
              <a16:creationId xmlns:a16="http://schemas.microsoft.com/office/drawing/2014/main" xmlns="" id="{09FDEE83-4D6C-411F-8C31-4D594B42DC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466" name="Picture 1019">
          <a:extLst>
            <a:ext uri="{FF2B5EF4-FFF2-40B4-BE49-F238E27FC236}">
              <a16:creationId xmlns:a16="http://schemas.microsoft.com/office/drawing/2014/main" xmlns="" id="{52293BC4-7543-4831-9BE6-B9A3FDA1A8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467" name="Picture 1020">
          <a:extLst>
            <a:ext uri="{FF2B5EF4-FFF2-40B4-BE49-F238E27FC236}">
              <a16:creationId xmlns:a16="http://schemas.microsoft.com/office/drawing/2014/main" xmlns="" id="{5B1EE750-D29C-4EDA-828D-F2102A36D7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468" name="Picture 1021">
          <a:extLst>
            <a:ext uri="{FF2B5EF4-FFF2-40B4-BE49-F238E27FC236}">
              <a16:creationId xmlns:a16="http://schemas.microsoft.com/office/drawing/2014/main" xmlns="" id="{B6847938-FE04-4B67-AB05-8B507900BF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469" name="Picture 1022">
          <a:extLst>
            <a:ext uri="{FF2B5EF4-FFF2-40B4-BE49-F238E27FC236}">
              <a16:creationId xmlns:a16="http://schemas.microsoft.com/office/drawing/2014/main" xmlns="" id="{E3A850B7-B176-4CE2-8500-64223255D7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470" name="Picture 1023">
          <a:extLst>
            <a:ext uri="{FF2B5EF4-FFF2-40B4-BE49-F238E27FC236}">
              <a16:creationId xmlns:a16="http://schemas.microsoft.com/office/drawing/2014/main" xmlns="" id="{3966FA76-9E72-4906-9A79-132CA22582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471" name="Picture 1024">
          <a:extLst>
            <a:ext uri="{FF2B5EF4-FFF2-40B4-BE49-F238E27FC236}">
              <a16:creationId xmlns:a16="http://schemas.microsoft.com/office/drawing/2014/main" xmlns="" id="{38DAFC97-68F6-4A5A-A575-C9E05ACD6D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472" name="Picture 1025">
          <a:extLst>
            <a:ext uri="{FF2B5EF4-FFF2-40B4-BE49-F238E27FC236}">
              <a16:creationId xmlns:a16="http://schemas.microsoft.com/office/drawing/2014/main" xmlns="" id="{6E7D9DB6-CD08-472D-926E-B234D23BA0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473" name="Picture 1026">
          <a:extLst>
            <a:ext uri="{FF2B5EF4-FFF2-40B4-BE49-F238E27FC236}">
              <a16:creationId xmlns:a16="http://schemas.microsoft.com/office/drawing/2014/main" xmlns="" id="{27C39FA3-E995-4EC0-AC7C-FC746FCF39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474" name="Picture 1027">
          <a:extLst>
            <a:ext uri="{FF2B5EF4-FFF2-40B4-BE49-F238E27FC236}">
              <a16:creationId xmlns:a16="http://schemas.microsoft.com/office/drawing/2014/main" xmlns="" id="{DD0C401D-BB61-48E0-95B8-CA1A24ACB3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475" name="Picture 1028">
          <a:extLst>
            <a:ext uri="{FF2B5EF4-FFF2-40B4-BE49-F238E27FC236}">
              <a16:creationId xmlns:a16="http://schemas.microsoft.com/office/drawing/2014/main" xmlns="" id="{993C953B-CC1C-4B4C-A3B1-E8CA106D52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476" name="Picture 1029">
          <a:extLst>
            <a:ext uri="{FF2B5EF4-FFF2-40B4-BE49-F238E27FC236}">
              <a16:creationId xmlns:a16="http://schemas.microsoft.com/office/drawing/2014/main" xmlns="" id="{657B91F9-EDB5-4223-85FC-14EEC318FA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477" name="Picture 1030">
          <a:extLst>
            <a:ext uri="{FF2B5EF4-FFF2-40B4-BE49-F238E27FC236}">
              <a16:creationId xmlns:a16="http://schemas.microsoft.com/office/drawing/2014/main" xmlns="" id="{C773C8AD-90B9-47FE-8151-9BE29E848D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478" name="Picture 1031">
          <a:extLst>
            <a:ext uri="{FF2B5EF4-FFF2-40B4-BE49-F238E27FC236}">
              <a16:creationId xmlns:a16="http://schemas.microsoft.com/office/drawing/2014/main" xmlns="" id="{32CD20E7-1749-4949-BB51-407C7ABDBF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479" name="Picture 1032">
          <a:extLst>
            <a:ext uri="{FF2B5EF4-FFF2-40B4-BE49-F238E27FC236}">
              <a16:creationId xmlns:a16="http://schemas.microsoft.com/office/drawing/2014/main" xmlns="" id="{ED63EE0C-B555-4A5D-8410-6235C870A2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480" name="Picture 1033">
          <a:extLst>
            <a:ext uri="{FF2B5EF4-FFF2-40B4-BE49-F238E27FC236}">
              <a16:creationId xmlns:a16="http://schemas.microsoft.com/office/drawing/2014/main" xmlns="" id="{6F1C00F4-4AE4-4E1D-8855-289E71D264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481" name="Picture 1034">
          <a:extLst>
            <a:ext uri="{FF2B5EF4-FFF2-40B4-BE49-F238E27FC236}">
              <a16:creationId xmlns:a16="http://schemas.microsoft.com/office/drawing/2014/main" xmlns="" id="{7CF4D140-F702-474D-A4C4-8C62399B79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76200</xdr:colOff>
      <xdr:row>598</xdr:row>
      <xdr:rowOff>161925</xdr:rowOff>
    </xdr:to>
    <xdr:pic>
      <xdr:nvPicPr>
        <xdr:cNvPr id="6482" name="Picture 1035">
          <a:extLst>
            <a:ext uri="{FF2B5EF4-FFF2-40B4-BE49-F238E27FC236}">
              <a16:creationId xmlns:a16="http://schemas.microsoft.com/office/drawing/2014/main" xmlns="" id="{E4808280-2783-4EDB-B570-D3E57A36DC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14975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598</xdr:row>
      <xdr:rowOff>28575</xdr:rowOff>
    </xdr:from>
    <xdr:to>
      <xdr:col>0</xdr:col>
      <xdr:colOff>76200</xdr:colOff>
      <xdr:row>598</xdr:row>
      <xdr:rowOff>190500</xdr:rowOff>
    </xdr:to>
    <xdr:pic>
      <xdr:nvPicPr>
        <xdr:cNvPr id="6483" name="Picture 1036">
          <a:extLst>
            <a:ext uri="{FF2B5EF4-FFF2-40B4-BE49-F238E27FC236}">
              <a16:creationId xmlns:a16="http://schemas.microsoft.com/office/drawing/2014/main" xmlns="" id="{EE7A2722-808E-4071-968B-15A1B46BA3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43550"/>
          <a:ext cx="76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J1110"/>
  <sheetViews>
    <sheetView topLeftCell="A488" zoomScaleNormal="100" workbookViewId="0">
      <selection activeCell="A10" sqref="A10:B523"/>
    </sheetView>
  </sheetViews>
  <sheetFormatPr defaultRowHeight="15"/>
  <cols>
    <col min="1" max="1" width="36.85546875" style="62" customWidth="1"/>
    <col min="2" max="2" width="15.42578125" style="62" customWidth="1"/>
    <col min="3" max="4" width="15.28515625" style="73" bestFit="1" customWidth="1"/>
    <col min="5" max="5" width="9" style="73" customWidth="1"/>
    <col min="6" max="6" width="140.42578125" style="73" bestFit="1" customWidth="1"/>
    <col min="7" max="7" width="9.140625" style="62"/>
    <col min="8" max="8" width="12.5703125" style="62" bestFit="1" customWidth="1"/>
    <col min="9" max="9" width="11" style="62" bestFit="1" customWidth="1"/>
    <col min="10" max="10" width="10.5703125" style="62" bestFit="1" customWidth="1"/>
    <col min="11" max="16384" width="9.140625" style="62"/>
  </cols>
  <sheetData>
    <row r="1" spans="1:9">
      <c r="A1" s="62" t="s">
        <v>56</v>
      </c>
      <c r="C1" s="62"/>
      <c r="D1" s="62"/>
      <c r="E1" s="62"/>
      <c r="F1" s="62"/>
    </row>
    <row r="2" spans="1:9">
      <c r="A2" s="62" t="s">
        <v>57</v>
      </c>
      <c r="C2" s="62"/>
      <c r="D2" s="62"/>
      <c r="E2" s="62"/>
      <c r="F2" s="62"/>
    </row>
    <row r="3" spans="1:9">
      <c r="A3" s="62" t="s">
        <v>58</v>
      </c>
      <c r="C3" s="62"/>
      <c r="D3" s="62"/>
      <c r="E3" s="62"/>
      <c r="F3" s="62"/>
    </row>
    <row r="4" spans="1:9">
      <c r="A4" s="62" t="s">
        <v>59</v>
      </c>
      <c r="C4" s="62"/>
      <c r="D4" s="62"/>
      <c r="E4" s="62"/>
      <c r="F4" s="62"/>
    </row>
    <row r="5" spans="1:9">
      <c r="A5" s="62" t="s">
        <v>60</v>
      </c>
      <c r="C5" s="62"/>
      <c r="D5" s="62"/>
      <c r="E5" s="62"/>
      <c r="F5" s="62"/>
    </row>
    <row r="6" spans="1:9">
      <c r="A6" s="62" t="s">
        <v>53</v>
      </c>
      <c r="C6" s="62"/>
      <c r="D6" s="62"/>
      <c r="E6" s="62"/>
      <c r="F6" s="62"/>
    </row>
    <row r="7" spans="1:9">
      <c r="A7" s="62" t="s">
        <v>53</v>
      </c>
      <c r="C7" s="62"/>
      <c r="D7" s="62"/>
      <c r="E7" s="62"/>
      <c r="F7" s="62"/>
    </row>
    <row r="8" spans="1:9">
      <c r="A8" s="62" t="s">
        <v>54</v>
      </c>
      <c r="C8" s="62"/>
      <c r="D8" s="62"/>
      <c r="E8" s="62"/>
      <c r="F8" s="62"/>
    </row>
    <row r="9" spans="1:9">
      <c r="A9" s="62" t="s">
        <v>94</v>
      </c>
      <c r="C9" s="62"/>
      <c r="D9" s="62"/>
      <c r="E9" s="62"/>
      <c r="F9" s="62"/>
    </row>
    <row r="10" spans="1:9">
      <c r="A10" s="63">
        <v>45962</v>
      </c>
      <c r="B10" s="64">
        <v>0.23614583333333333</v>
      </c>
      <c r="C10" s="63">
        <v>45962</v>
      </c>
      <c r="D10" s="62" t="s">
        <v>185</v>
      </c>
      <c r="E10" s="62"/>
      <c r="F10" s="62" t="s">
        <v>186</v>
      </c>
      <c r="G10" s="62">
        <v>0</v>
      </c>
      <c r="H10" s="62">
        <v>1540000</v>
      </c>
      <c r="I10" s="62">
        <v>4037922767.8000002</v>
      </c>
    </row>
    <row r="11" spans="1:9">
      <c r="A11" s="63">
        <v>45962</v>
      </c>
      <c r="B11" s="64">
        <v>0.24511574074074075</v>
      </c>
      <c r="C11" s="63">
        <v>45962</v>
      </c>
      <c r="D11" s="62" t="s">
        <v>187</v>
      </c>
      <c r="E11" s="62"/>
      <c r="F11" s="62" t="s">
        <v>70</v>
      </c>
      <c r="G11" s="62">
        <v>0</v>
      </c>
      <c r="H11" s="62">
        <v>1400000</v>
      </c>
      <c r="I11" s="62">
        <v>4039322767.8000002</v>
      </c>
    </row>
    <row r="12" spans="1:9">
      <c r="A12" s="63">
        <v>45962</v>
      </c>
      <c r="B12" s="64">
        <v>0.24648148148148147</v>
      </c>
      <c r="C12" s="63">
        <v>45962</v>
      </c>
      <c r="D12" s="62" t="s">
        <v>188</v>
      </c>
      <c r="E12" s="62"/>
      <c r="F12" s="62" t="s">
        <v>189</v>
      </c>
      <c r="G12" s="62">
        <v>0</v>
      </c>
      <c r="H12" s="62">
        <v>1400000</v>
      </c>
      <c r="I12" s="62">
        <v>4040722767.8000002</v>
      </c>
    </row>
    <row r="13" spans="1:9">
      <c r="A13" s="63">
        <v>45962</v>
      </c>
      <c r="B13" s="64">
        <v>0.25466435185185188</v>
      </c>
      <c r="C13" s="63">
        <v>45962</v>
      </c>
      <c r="D13" s="62" t="s">
        <v>190</v>
      </c>
      <c r="E13" s="62"/>
      <c r="F13" s="62" t="s">
        <v>140</v>
      </c>
      <c r="G13" s="62">
        <v>0</v>
      </c>
      <c r="H13" s="62">
        <v>1400000</v>
      </c>
      <c r="I13" s="62">
        <v>4042122767.8000002</v>
      </c>
    </row>
    <row r="14" spans="1:9">
      <c r="A14" s="63">
        <v>45962</v>
      </c>
      <c r="B14" s="64">
        <v>0.25552083333333331</v>
      </c>
      <c r="C14" s="63">
        <v>45962</v>
      </c>
      <c r="D14" s="62" t="s">
        <v>191</v>
      </c>
      <c r="E14" s="62"/>
      <c r="F14" s="62" t="s">
        <v>141</v>
      </c>
      <c r="G14" s="62">
        <v>0</v>
      </c>
      <c r="H14" s="62">
        <v>1450000</v>
      </c>
      <c r="I14" s="62">
        <v>4045472767.8000002</v>
      </c>
    </row>
    <row r="15" spans="1:9">
      <c r="A15" s="63">
        <v>45962</v>
      </c>
      <c r="B15" s="64">
        <v>0.30782407407407408</v>
      </c>
      <c r="C15" s="63">
        <v>45962</v>
      </c>
      <c r="D15" s="62" t="s">
        <v>192</v>
      </c>
      <c r="E15" s="62"/>
      <c r="F15" s="62" t="s">
        <v>193</v>
      </c>
      <c r="G15" s="62">
        <v>0</v>
      </c>
      <c r="H15" s="62">
        <v>1540000</v>
      </c>
      <c r="I15" s="62">
        <v>4050180267.8000002</v>
      </c>
    </row>
    <row r="16" spans="1:9">
      <c r="A16" s="63">
        <v>45962</v>
      </c>
      <c r="B16" s="64">
        <v>0.30831018518518516</v>
      </c>
      <c r="C16" s="63">
        <v>45962</v>
      </c>
      <c r="D16" s="62" t="s">
        <v>194</v>
      </c>
      <c r="E16" s="62"/>
      <c r="F16" s="62" t="s">
        <v>114</v>
      </c>
      <c r="G16" s="62">
        <v>0</v>
      </c>
      <c r="H16" s="62">
        <v>770000</v>
      </c>
      <c r="I16" s="62">
        <v>4050950267.8000002</v>
      </c>
    </row>
    <row r="17" spans="1:9">
      <c r="A17" s="63">
        <v>45962</v>
      </c>
      <c r="B17" s="64">
        <v>0.32451388888888888</v>
      </c>
      <c r="C17" s="63">
        <v>45962</v>
      </c>
      <c r="D17" s="62" t="s">
        <v>195</v>
      </c>
      <c r="E17" s="62"/>
      <c r="F17" s="62" t="s">
        <v>196</v>
      </c>
      <c r="G17" s="62">
        <v>0</v>
      </c>
      <c r="H17" s="62">
        <v>1500000</v>
      </c>
      <c r="I17" s="62">
        <v>4055505267.8000002</v>
      </c>
    </row>
    <row r="18" spans="1:9">
      <c r="A18" s="63">
        <v>45962</v>
      </c>
      <c r="B18" s="64">
        <v>0.32513888888888887</v>
      </c>
      <c r="C18" s="63">
        <v>45962</v>
      </c>
      <c r="D18" s="62" t="s">
        <v>197</v>
      </c>
      <c r="E18" s="62"/>
      <c r="F18" s="62" t="s">
        <v>198</v>
      </c>
      <c r="G18" s="62">
        <v>0</v>
      </c>
      <c r="H18" s="62">
        <v>1540000</v>
      </c>
      <c r="I18" s="62">
        <v>4057045267.8000002</v>
      </c>
    </row>
    <row r="19" spans="1:9">
      <c r="A19" s="63">
        <v>45962</v>
      </c>
      <c r="B19" s="64">
        <v>0.3275925925925926</v>
      </c>
      <c r="C19" s="63">
        <v>45962</v>
      </c>
      <c r="D19" s="62" t="s">
        <v>199</v>
      </c>
      <c r="E19" s="62"/>
      <c r="F19" s="62" t="s">
        <v>200</v>
      </c>
      <c r="G19" s="62">
        <v>0</v>
      </c>
      <c r="H19" s="62">
        <v>1617000</v>
      </c>
      <c r="I19" s="62">
        <v>4058662267.8000002</v>
      </c>
    </row>
    <row r="20" spans="1:9">
      <c r="A20" s="63">
        <v>45962</v>
      </c>
      <c r="B20" s="64">
        <v>0.37118055555555557</v>
      </c>
      <c r="C20" s="63">
        <v>45962</v>
      </c>
      <c r="D20" s="62" t="s">
        <v>201</v>
      </c>
      <c r="E20" s="62"/>
      <c r="F20" s="62" t="s">
        <v>202</v>
      </c>
      <c r="G20" s="62">
        <v>0</v>
      </c>
      <c r="H20" s="62">
        <v>1400000</v>
      </c>
      <c r="I20" s="62">
        <v>4069407267.8000002</v>
      </c>
    </row>
    <row r="21" spans="1:9">
      <c r="A21" s="63">
        <v>45962</v>
      </c>
      <c r="B21" s="64">
        <v>0.39901620370370372</v>
      </c>
      <c r="C21" s="63">
        <v>45962</v>
      </c>
      <c r="D21" s="62" t="s">
        <v>203</v>
      </c>
      <c r="E21" s="62"/>
      <c r="F21" s="62" t="s">
        <v>75</v>
      </c>
      <c r="G21" s="62">
        <v>0</v>
      </c>
      <c r="H21" s="62">
        <v>1400000</v>
      </c>
      <c r="I21" s="62">
        <v>4072732267.8000002</v>
      </c>
    </row>
    <row r="22" spans="1:9">
      <c r="A22" s="63">
        <v>45962</v>
      </c>
      <c r="B22" s="64">
        <v>0.41140046296296295</v>
      </c>
      <c r="C22" s="63">
        <v>45962</v>
      </c>
      <c r="D22" s="62" t="s">
        <v>204</v>
      </c>
      <c r="E22" s="62"/>
      <c r="F22" s="62" t="s">
        <v>205</v>
      </c>
      <c r="G22" s="62">
        <v>0</v>
      </c>
      <c r="H22" s="62">
        <v>1617000</v>
      </c>
      <c r="I22" s="62">
        <v>4074349267.8000002</v>
      </c>
    </row>
    <row r="23" spans="1:9">
      <c r="A23" s="63">
        <v>45962</v>
      </c>
      <c r="B23" s="64">
        <v>0.42386574074074074</v>
      </c>
      <c r="C23" s="63">
        <v>45962</v>
      </c>
      <c r="D23" s="62" t="s">
        <v>206</v>
      </c>
      <c r="E23" s="62"/>
      <c r="F23" s="62" t="s">
        <v>207</v>
      </c>
      <c r="G23" s="62">
        <v>0</v>
      </c>
      <c r="H23" s="62">
        <v>1617000</v>
      </c>
      <c r="I23" s="62">
        <v>4077891267.8000002</v>
      </c>
    </row>
    <row r="24" spans="1:9">
      <c r="A24" s="63">
        <v>45962</v>
      </c>
      <c r="B24" s="64">
        <v>0.44112268518518516</v>
      </c>
      <c r="C24" s="63">
        <v>45962</v>
      </c>
      <c r="D24" s="62" t="s">
        <v>208</v>
      </c>
      <c r="E24" s="62"/>
      <c r="F24" s="62" t="s">
        <v>157</v>
      </c>
      <c r="G24" s="62">
        <v>0</v>
      </c>
      <c r="H24" s="62">
        <v>1400000</v>
      </c>
      <c r="I24" s="62">
        <v>4081041267.8000002</v>
      </c>
    </row>
    <row r="25" spans="1:9" s="67" customFormat="1">
      <c r="A25" s="65">
        <v>45962</v>
      </c>
      <c r="B25" s="66">
        <v>0.44297453703703704</v>
      </c>
      <c r="C25" s="65">
        <v>45962</v>
      </c>
      <c r="D25" s="67" t="s">
        <v>209</v>
      </c>
      <c r="F25" s="67" t="s">
        <v>210</v>
      </c>
      <c r="G25" s="67">
        <v>0</v>
      </c>
      <c r="H25" s="67">
        <v>1617000</v>
      </c>
      <c r="I25" s="67">
        <v>4082658267.8000002</v>
      </c>
    </row>
    <row r="26" spans="1:9">
      <c r="A26" s="63">
        <v>45962</v>
      </c>
      <c r="B26" s="64">
        <v>0.45283564814814814</v>
      </c>
      <c r="C26" s="63">
        <v>45962</v>
      </c>
      <c r="D26" s="62" t="s">
        <v>211</v>
      </c>
      <c r="E26" s="62"/>
      <c r="F26" s="62" t="s">
        <v>212</v>
      </c>
      <c r="G26" s="62">
        <v>0</v>
      </c>
      <c r="H26" s="62">
        <v>1400000</v>
      </c>
      <c r="I26" s="62">
        <v>4084058267.8000002</v>
      </c>
    </row>
    <row r="27" spans="1:9">
      <c r="A27" s="63">
        <v>45962</v>
      </c>
      <c r="B27" s="64">
        <v>0.45725694444444442</v>
      </c>
      <c r="C27" s="63">
        <v>45962</v>
      </c>
      <c r="D27" s="62" t="s">
        <v>213</v>
      </c>
      <c r="E27" s="62"/>
      <c r="F27" s="62" t="s">
        <v>214</v>
      </c>
      <c r="G27" s="62">
        <v>0</v>
      </c>
      <c r="H27" s="62">
        <v>1400000</v>
      </c>
      <c r="I27" s="62">
        <v>4085458267.8000002</v>
      </c>
    </row>
    <row r="28" spans="1:9">
      <c r="A28" s="63">
        <v>45962</v>
      </c>
      <c r="B28" s="64">
        <v>0.46011574074074074</v>
      </c>
      <c r="C28" s="63">
        <v>45962</v>
      </c>
      <c r="D28" s="62" t="s">
        <v>215</v>
      </c>
      <c r="E28" s="62"/>
      <c r="F28" s="62" t="s">
        <v>216</v>
      </c>
      <c r="G28" s="62">
        <v>0</v>
      </c>
      <c r="H28" s="62">
        <v>1450000</v>
      </c>
      <c r="I28" s="62">
        <v>4086908267.8000002</v>
      </c>
    </row>
    <row r="29" spans="1:9">
      <c r="A29" s="63">
        <v>45962</v>
      </c>
      <c r="B29" s="64">
        <v>0.47587962962962965</v>
      </c>
      <c r="C29" s="63">
        <v>45962</v>
      </c>
      <c r="D29" s="62" t="s">
        <v>217</v>
      </c>
      <c r="E29" s="62"/>
      <c r="F29" s="62" t="s">
        <v>71</v>
      </c>
      <c r="G29" s="62">
        <v>0</v>
      </c>
      <c r="H29" s="62">
        <v>1540000</v>
      </c>
      <c r="I29" s="62">
        <v>4088448267.8000002</v>
      </c>
    </row>
    <row r="30" spans="1:9">
      <c r="A30" s="63">
        <v>45962</v>
      </c>
      <c r="B30" s="64">
        <v>0.48251157407407408</v>
      </c>
      <c r="C30" s="63">
        <v>45962</v>
      </c>
      <c r="D30" s="62" t="s">
        <v>218</v>
      </c>
      <c r="E30" s="62"/>
      <c r="F30" s="62" t="s">
        <v>219</v>
      </c>
      <c r="G30" s="62">
        <v>0</v>
      </c>
      <c r="H30" s="62">
        <v>1450000</v>
      </c>
      <c r="I30" s="62">
        <v>4089898267.8000002</v>
      </c>
    </row>
    <row r="31" spans="1:9">
      <c r="A31" s="63">
        <v>45962</v>
      </c>
      <c r="B31" s="64">
        <v>0.48357638888888888</v>
      </c>
      <c r="C31" s="63">
        <v>45962</v>
      </c>
      <c r="D31" s="62" t="s">
        <v>220</v>
      </c>
      <c r="E31" s="62"/>
      <c r="F31" s="62" t="s">
        <v>221</v>
      </c>
      <c r="G31" s="62">
        <v>0</v>
      </c>
      <c r="H31" s="62">
        <v>1450000</v>
      </c>
      <c r="I31" s="62">
        <v>4091348267.8000002</v>
      </c>
    </row>
    <row r="32" spans="1:9">
      <c r="A32" s="63">
        <v>45962</v>
      </c>
      <c r="B32" s="64">
        <v>0.48457175925925927</v>
      </c>
      <c r="C32" s="63">
        <v>45962</v>
      </c>
      <c r="D32" s="62" t="s">
        <v>222</v>
      </c>
      <c r="E32" s="62"/>
      <c r="F32" s="62" t="s">
        <v>223</v>
      </c>
      <c r="G32" s="62">
        <v>0</v>
      </c>
      <c r="H32" s="62">
        <v>1450000</v>
      </c>
      <c r="I32" s="62">
        <v>4092798267.8000002</v>
      </c>
    </row>
    <row r="33" spans="1:9">
      <c r="A33" s="63">
        <v>45962</v>
      </c>
      <c r="B33" s="64">
        <v>0.50656250000000003</v>
      </c>
      <c r="C33" s="63">
        <v>45962</v>
      </c>
      <c r="D33" s="62" t="s">
        <v>224</v>
      </c>
      <c r="E33" s="62"/>
      <c r="F33" s="62" t="s">
        <v>225</v>
      </c>
      <c r="G33" s="62">
        <v>0</v>
      </c>
      <c r="H33" s="62">
        <v>1400000</v>
      </c>
      <c r="I33" s="62">
        <v>4095898267.8000002</v>
      </c>
    </row>
    <row r="34" spans="1:9">
      <c r="A34" s="63">
        <v>45962</v>
      </c>
      <c r="B34" s="64">
        <v>0.51880787037037035</v>
      </c>
      <c r="C34" s="63">
        <v>45962</v>
      </c>
      <c r="D34" s="62" t="s">
        <v>226</v>
      </c>
      <c r="E34" s="62"/>
      <c r="F34" s="62" t="s">
        <v>227</v>
      </c>
      <c r="G34" s="62">
        <v>0</v>
      </c>
      <c r="H34" s="62">
        <v>1617000</v>
      </c>
      <c r="I34" s="62">
        <v>4097515267.8000002</v>
      </c>
    </row>
    <row r="35" spans="1:9">
      <c r="A35" s="63">
        <v>45962</v>
      </c>
      <c r="B35" s="64">
        <v>0.52983796296296293</v>
      </c>
      <c r="C35" s="63">
        <v>45962</v>
      </c>
      <c r="D35" s="62" t="s">
        <v>228</v>
      </c>
      <c r="E35" s="62"/>
      <c r="F35" s="62" t="s">
        <v>229</v>
      </c>
      <c r="G35" s="62">
        <v>0</v>
      </c>
      <c r="H35" s="62">
        <v>1617000</v>
      </c>
      <c r="I35" s="62">
        <v>4099132267.8000002</v>
      </c>
    </row>
    <row r="36" spans="1:9">
      <c r="A36" s="63">
        <v>45962</v>
      </c>
      <c r="B36" s="64">
        <v>0.56562500000000004</v>
      </c>
      <c r="C36" s="63">
        <v>45962</v>
      </c>
      <c r="D36" s="62" t="s">
        <v>230</v>
      </c>
      <c r="E36" s="62"/>
      <c r="F36" s="62" t="s">
        <v>231</v>
      </c>
      <c r="G36" s="62">
        <v>0</v>
      </c>
      <c r="H36" s="62">
        <v>1540000</v>
      </c>
      <c r="I36" s="62">
        <v>4102572267.8000002</v>
      </c>
    </row>
    <row r="37" spans="1:9">
      <c r="A37" s="63">
        <v>45962</v>
      </c>
      <c r="B37" s="64">
        <v>0.63596064814814812</v>
      </c>
      <c r="C37" s="63">
        <v>45962</v>
      </c>
      <c r="D37" s="62" t="s">
        <v>232</v>
      </c>
      <c r="E37" s="62"/>
      <c r="F37" s="62" t="s">
        <v>138</v>
      </c>
      <c r="G37" s="62">
        <v>0</v>
      </c>
      <c r="H37" s="62">
        <v>1540000</v>
      </c>
      <c r="I37" s="62">
        <v>4113569767.8000002</v>
      </c>
    </row>
    <row r="38" spans="1:9">
      <c r="A38" s="63">
        <v>45962</v>
      </c>
      <c r="B38" s="64">
        <v>0.63641203703703708</v>
      </c>
      <c r="C38" s="63">
        <v>45962</v>
      </c>
      <c r="D38" s="62" t="s">
        <v>233</v>
      </c>
      <c r="E38" s="62"/>
      <c r="F38" s="62" t="s">
        <v>139</v>
      </c>
      <c r="G38" s="62">
        <v>0</v>
      </c>
      <c r="H38" s="62">
        <v>1400000</v>
      </c>
      <c r="I38" s="62">
        <v>4114969767.8000002</v>
      </c>
    </row>
    <row r="39" spans="1:9">
      <c r="A39" s="63">
        <v>45962</v>
      </c>
      <c r="B39" s="64">
        <v>0.68251157407407403</v>
      </c>
      <c r="C39" s="63">
        <v>45962</v>
      </c>
      <c r="D39" s="62" t="s">
        <v>234</v>
      </c>
      <c r="E39" s="62"/>
      <c r="F39" s="62" t="s">
        <v>135</v>
      </c>
      <c r="G39" s="62">
        <v>0</v>
      </c>
      <c r="H39" s="62">
        <v>1400000</v>
      </c>
      <c r="I39" s="62">
        <v>4116369767.8000002</v>
      </c>
    </row>
    <row r="40" spans="1:9">
      <c r="A40" s="63">
        <v>45962</v>
      </c>
      <c r="B40" s="64">
        <v>0.69818287037037041</v>
      </c>
      <c r="C40" s="63">
        <v>45962</v>
      </c>
      <c r="D40" s="62" t="s">
        <v>235</v>
      </c>
      <c r="E40" s="62"/>
      <c r="F40" s="62" t="s">
        <v>236</v>
      </c>
      <c r="G40" s="62">
        <v>0</v>
      </c>
      <c r="H40" s="62">
        <v>1400000</v>
      </c>
      <c r="I40" s="62">
        <v>4117769767.8000002</v>
      </c>
    </row>
    <row r="41" spans="1:9">
      <c r="A41" s="63">
        <v>45962</v>
      </c>
      <c r="B41" s="64">
        <v>0.70828703703703699</v>
      </c>
      <c r="C41" s="63">
        <v>45962</v>
      </c>
      <c r="D41" s="62" t="s">
        <v>237</v>
      </c>
      <c r="E41" s="62"/>
      <c r="F41" s="62" t="s">
        <v>238</v>
      </c>
      <c r="G41" s="62">
        <v>0</v>
      </c>
      <c r="H41" s="62">
        <v>1450000</v>
      </c>
      <c r="I41" s="62">
        <v>4120969767.8000002</v>
      </c>
    </row>
    <row r="42" spans="1:9">
      <c r="A42" s="63">
        <v>45962</v>
      </c>
      <c r="B42" s="64">
        <v>0.7233680555555555</v>
      </c>
      <c r="C42" s="63">
        <v>45962</v>
      </c>
      <c r="D42" s="62" t="s">
        <v>239</v>
      </c>
      <c r="E42" s="62"/>
      <c r="F42" s="62" t="s">
        <v>240</v>
      </c>
      <c r="G42" s="62">
        <v>0</v>
      </c>
      <c r="H42" s="62">
        <v>1400000</v>
      </c>
      <c r="I42" s="62">
        <v>4126359767.8000002</v>
      </c>
    </row>
    <row r="43" spans="1:9">
      <c r="A43" s="63">
        <v>45962</v>
      </c>
      <c r="B43" s="64">
        <v>0.72532407407407407</v>
      </c>
      <c r="C43" s="63">
        <v>45962</v>
      </c>
      <c r="D43" s="62" t="s">
        <v>241</v>
      </c>
      <c r="E43" s="62"/>
      <c r="F43" s="62" t="s">
        <v>73</v>
      </c>
      <c r="G43" s="62">
        <v>0</v>
      </c>
      <c r="H43" s="62">
        <v>1450000</v>
      </c>
      <c r="I43" s="62">
        <v>4127809767.8000002</v>
      </c>
    </row>
    <row r="44" spans="1:9">
      <c r="A44" s="63">
        <v>45962</v>
      </c>
      <c r="B44" s="64">
        <v>0.72638888888888886</v>
      </c>
      <c r="C44" s="63">
        <v>45962</v>
      </c>
      <c r="D44" s="62" t="s">
        <v>242</v>
      </c>
      <c r="E44" s="62"/>
      <c r="F44" s="62" t="s">
        <v>72</v>
      </c>
      <c r="G44" s="62">
        <v>0</v>
      </c>
      <c r="H44" s="62">
        <v>1540000</v>
      </c>
      <c r="I44" s="62">
        <v>4129349767.8000002</v>
      </c>
    </row>
    <row r="45" spans="1:9">
      <c r="A45" s="63">
        <v>45962</v>
      </c>
      <c r="B45" s="64">
        <v>0.72863425925925929</v>
      </c>
      <c r="C45" s="63">
        <v>45962</v>
      </c>
      <c r="D45" s="62" t="s">
        <v>243</v>
      </c>
      <c r="E45" s="62"/>
      <c r="F45" s="62" t="s">
        <v>244</v>
      </c>
      <c r="G45" s="62">
        <v>0</v>
      </c>
      <c r="H45" s="62">
        <v>1400000</v>
      </c>
      <c r="I45" s="62">
        <v>4130749767.8000002</v>
      </c>
    </row>
    <row r="46" spans="1:9">
      <c r="A46" s="63">
        <v>45962</v>
      </c>
      <c r="B46" s="64">
        <v>0.74356481481481485</v>
      </c>
      <c r="C46" s="63">
        <v>45962</v>
      </c>
      <c r="D46" s="62" t="s">
        <v>245</v>
      </c>
      <c r="E46" s="62"/>
      <c r="F46" s="62" t="s">
        <v>123</v>
      </c>
      <c r="G46" s="62">
        <v>0</v>
      </c>
      <c r="H46" s="62">
        <v>1617000</v>
      </c>
      <c r="I46" s="62">
        <v>4132366767.8000002</v>
      </c>
    </row>
    <row r="47" spans="1:9">
      <c r="A47" s="63">
        <v>45962</v>
      </c>
      <c r="B47" s="64">
        <v>0.74398148148148147</v>
      </c>
      <c r="C47" s="63">
        <v>45962</v>
      </c>
      <c r="D47" s="62" t="s">
        <v>246</v>
      </c>
      <c r="E47" s="62"/>
      <c r="F47" s="62" t="s">
        <v>247</v>
      </c>
      <c r="G47" s="62">
        <v>0</v>
      </c>
      <c r="H47" s="62">
        <v>1400000</v>
      </c>
      <c r="I47" s="62">
        <v>4133766767.8000002</v>
      </c>
    </row>
    <row r="48" spans="1:9">
      <c r="A48" s="63">
        <v>45962</v>
      </c>
      <c r="B48" s="64">
        <v>0.76907407407407402</v>
      </c>
      <c r="C48" s="63">
        <v>45962</v>
      </c>
      <c r="D48" s="62" t="s">
        <v>248</v>
      </c>
      <c r="E48" s="62"/>
      <c r="F48" s="62" t="s">
        <v>120</v>
      </c>
      <c r="G48" s="62">
        <v>0</v>
      </c>
      <c r="H48" s="62">
        <v>1617000</v>
      </c>
      <c r="I48" s="62">
        <v>4135383767.8000002</v>
      </c>
    </row>
    <row r="49" spans="1:9">
      <c r="A49" s="63">
        <v>45962</v>
      </c>
      <c r="B49" s="64">
        <v>0.77494212962962961</v>
      </c>
      <c r="C49" s="63">
        <v>45962</v>
      </c>
      <c r="D49" s="62" t="s">
        <v>249</v>
      </c>
      <c r="E49" s="62"/>
      <c r="F49" s="62" t="s">
        <v>164</v>
      </c>
      <c r="G49" s="62">
        <v>0</v>
      </c>
      <c r="H49" s="62">
        <v>1450000</v>
      </c>
      <c r="I49" s="62">
        <v>4136833767.8000002</v>
      </c>
    </row>
    <row r="50" spans="1:9">
      <c r="A50" s="63">
        <v>45962</v>
      </c>
      <c r="B50" s="64">
        <v>0.77936342592592589</v>
      </c>
      <c r="C50" s="63">
        <v>45962</v>
      </c>
      <c r="D50" s="62" t="s">
        <v>250</v>
      </c>
      <c r="E50" s="62"/>
      <c r="F50" s="62" t="s">
        <v>251</v>
      </c>
      <c r="G50" s="62">
        <v>0</v>
      </c>
      <c r="H50" s="62">
        <v>1450000</v>
      </c>
      <c r="I50" s="62">
        <v>4138283767.8000002</v>
      </c>
    </row>
    <row r="51" spans="1:9">
      <c r="A51" s="63">
        <v>45962</v>
      </c>
      <c r="B51" s="64">
        <v>0.79182870370370373</v>
      </c>
      <c r="C51" s="63">
        <v>45962</v>
      </c>
      <c r="D51" s="62" t="s">
        <v>252</v>
      </c>
      <c r="E51" s="62"/>
      <c r="F51" s="62" t="s">
        <v>253</v>
      </c>
      <c r="G51" s="62">
        <v>0</v>
      </c>
      <c r="H51" s="62">
        <v>1450000</v>
      </c>
      <c r="I51" s="62">
        <v>4139733767.8000002</v>
      </c>
    </row>
    <row r="52" spans="1:9">
      <c r="A52" s="63">
        <v>45962</v>
      </c>
      <c r="B52" s="64">
        <v>0.8772106481481482</v>
      </c>
      <c r="C52" s="63">
        <v>45962</v>
      </c>
      <c r="D52" s="62" t="s">
        <v>254</v>
      </c>
      <c r="E52" s="62"/>
      <c r="F52" s="62" t="s">
        <v>255</v>
      </c>
      <c r="G52" s="62">
        <v>0</v>
      </c>
      <c r="H52" s="62">
        <v>1400000</v>
      </c>
      <c r="I52" s="62">
        <v>4142551267.8000002</v>
      </c>
    </row>
    <row r="53" spans="1:9">
      <c r="A53" s="63">
        <v>45962</v>
      </c>
      <c r="B53" s="64">
        <v>0.88275462962962958</v>
      </c>
      <c r="C53" s="63">
        <v>45962</v>
      </c>
      <c r="D53" s="62" t="s">
        <v>256</v>
      </c>
      <c r="E53" s="62"/>
      <c r="F53" s="62" t="s">
        <v>160</v>
      </c>
      <c r="G53" s="62">
        <v>0</v>
      </c>
      <c r="H53" s="62">
        <v>1400000</v>
      </c>
      <c r="I53" s="62">
        <v>4143951267.8000002</v>
      </c>
    </row>
    <row r="54" spans="1:9">
      <c r="A54" s="63">
        <v>45962</v>
      </c>
      <c r="B54" s="64">
        <v>0.88369212962962962</v>
      </c>
      <c r="C54" s="63">
        <v>45962</v>
      </c>
      <c r="D54" s="62" t="s">
        <v>257</v>
      </c>
      <c r="E54" s="62"/>
      <c r="F54" s="62" t="s">
        <v>159</v>
      </c>
      <c r="G54" s="62">
        <v>0</v>
      </c>
      <c r="H54" s="62">
        <v>1540000</v>
      </c>
      <c r="I54" s="62">
        <v>4145491267.8000002</v>
      </c>
    </row>
    <row r="55" spans="1:9">
      <c r="A55" s="63">
        <v>45962</v>
      </c>
      <c r="B55" s="64">
        <v>0.99844907407407413</v>
      </c>
      <c r="C55" s="63">
        <v>45962</v>
      </c>
      <c r="D55" s="62" t="s">
        <v>258</v>
      </c>
      <c r="E55" s="62"/>
      <c r="F55" s="62" t="s">
        <v>259</v>
      </c>
      <c r="G55" s="62">
        <v>0</v>
      </c>
      <c r="H55" s="62">
        <v>1400000</v>
      </c>
      <c r="I55" s="62">
        <v>4148241267.8000002</v>
      </c>
    </row>
    <row r="56" spans="1:9">
      <c r="A56" s="63">
        <v>45962</v>
      </c>
      <c r="B56" s="64">
        <v>0.99876157407407407</v>
      </c>
      <c r="C56" s="63">
        <v>45962</v>
      </c>
      <c r="D56" s="62" t="s">
        <v>260</v>
      </c>
      <c r="E56" s="62"/>
      <c r="F56" s="62" t="s">
        <v>261</v>
      </c>
      <c r="G56" s="62">
        <v>0</v>
      </c>
      <c r="H56" s="62">
        <v>1400000</v>
      </c>
      <c r="I56" s="62">
        <v>4149641267.8000002</v>
      </c>
    </row>
    <row r="57" spans="1:9">
      <c r="A57" s="63">
        <v>45963</v>
      </c>
      <c r="B57" s="64">
        <v>2.7210648148148147E-2</v>
      </c>
      <c r="C57" s="63">
        <v>45963</v>
      </c>
      <c r="D57" s="62" t="s">
        <v>262</v>
      </c>
      <c r="E57" s="62"/>
      <c r="F57" s="62" t="s">
        <v>263</v>
      </c>
      <c r="G57" s="62">
        <v>0</v>
      </c>
      <c r="H57" s="62">
        <v>1540000</v>
      </c>
      <c r="I57" s="62">
        <v>4151181267.8000002</v>
      </c>
    </row>
    <row r="58" spans="1:9">
      <c r="A58" s="63">
        <v>45963</v>
      </c>
      <c r="B58" s="64">
        <v>0.20003472222222221</v>
      </c>
      <c r="C58" s="63">
        <v>45963</v>
      </c>
      <c r="D58" s="62" t="s">
        <v>264</v>
      </c>
      <c r="E58" s="62"/>
      <c r="F58" s="62" t="s">
        <v>265</v>
      </c>
      <c r="G58" s="62">
        <v>0</v>
      </c>
      <c r="H58" s="62">
        <v>1400000</v>
      </c>
      <c r="I58" s="62">
        <v>4154506267.8000002</v>
      </c>
    </row>
    <row r="59" spans="1:9">
      <c r="A59" s="63">
        <v>45963</v>
      </c>
      <c r="B59" s="64">
        <v>0.20734953703703704</v>
      </c>
      <c r="C59" s="63">
        <v>45963</v>
      </c>
      <c r="D59" s="62" t="s">
        <v>266</v>
      </c>
      <c r="E59" s="62"/>
      <c r="F59" s="62" t="s">
        <v>267</v>
      </c>
      <c r="G59" s="62">
        <v>0</v>
      </c>
      <c r="H59" s="62">
        <v>1450000</v>
      </c>
      <c r="I59" s="62">
        <v>4155956267.8000002</v>
      </c>
    </row>
    <row r="60" spans="1:9">
      <c r="A60" s="63">
        <v>45963</v>
      </c>
      <c r="B60" s="64">
        <v>0.26290509259259259</v>
      </c>
      <c r="C60" s="63">
        <v>45963</v>
      </c>
      <c r="D60" s="62" t="s">
        <v>268</v>
      </c>
      <c r="E60" s="62"/>
      <c r="F60" s="62" t="s">
        <v>269</v>
      </c>
      <c r="G60" s="62">
        <v>0</v>
      </c>
      <c r="H60" s="62">
        <v>1617000</v>
      </c>
      <c r="I60" s="62">
        <v>4157573267.8000002</v>
      </c>
    </row>
    <row r="61" spans="1:9">
      <c r="A61" s="63">
        <v>45963</v>
      </c>
      <c r="B61" s="64">
        <v>0.26590277777777777</v>
      </c>
      <c r="C61" s="63">
        <v>45963</v>
      </c>
      <c r="D61" s="62" t="s">
        <v>270</v>
      </c>
      <c r="E61" s="62"/>
      <c r="F61" s="62" t="s">
        <v>271</v>
      </c>
      <c r="G61" s="62">
        <v>0</v>
      </c>
      <c r="H61" s="62">
        <v>1400000</v>
      </c>
      <c r="I61" s="62">
        <v>4158973267.8000002</v>
      </c>
    </row>
    <row r="62" spans="1:9">
      <c r="A62" s="63">
        <v>45963</v>
      </c>
      <c r="B62" s="64">
        <v>0.26635416666666667</v>
      </c>
      <c r="C62" s="63">
        <v>45963</v>
      </c>
      <c r="D62" s="62" t="s">
        <v>272</v>
      </c>
      <c r="E62" s="62"/>
      <c r="F62" s="62" t="s">
        <v>273</v>
      </c>
      <c r="G62" s="62">
        <v>0</v>
      </c>
      <c r="H62" s="62">
        <v>1540000</v>
      </c>
      <c r="I62" s="62">
        <v>4160513267.8000002</v>
      </c>
    </row>
    <row r="63" spans="1:9">
      <c r="A63" s="63">
        <v>45963</v>
      </c>
      <c r="B63" s="64">
        <v>0.29418981481481482</v>
      </c>
      <c r="C63" s="63">
        <v>45963</v>
      </c>
      <c r="D63" s="62" t="s">
        <v>274</v>
      </c>
      <c r="E63" s="62"/>
      <c r="F63" s="62" t="s">
        <v>275</v>
      </c>
      <c r="G63" s="62">
        <v>0</v>
      </c>
      <c r="H63" s="62">
        <v>1540000</v>
      </c>
      <c r="I63" s="62">
        <v>4164558267.8000002</v>
      </c>
    </row>
    <row r="64" spans="1:9">
      <c r="A64" s="63">
        <v>45963</v>
      </c>
      <c r="B64" s="64">
        <v>0.3387384259259259</v>
      </c>
      <c r="C64" s="63">
        <v>45963</v>
      </c>
      <c r="D64" s="62" t="s">
        <v>276</v>
      </c>
      <c r="E64" s="62"/>
      <c r="F64" s="62" t="s">
        <v>277</v>
      </c>
      <c r="G64" s="62">
        <v>0</v>
      </c>
      <c r="H64" s="62">
        <v>1400000</v>
      </c>
      <c r="I64" s="62">
        <v>4165958267.8000002</v>
      </c>
    </row>
    <row r="65" spans="1:9">
      <c r="A65" s="63">
        <v>45963</v>
      </c>
      <c r="B65" s="64">
        <v>0.34509259259259262</v>
      </c>
      <c r="C65" s="63">
        <v>45963</v>
      </c>
      <c r="D65" s="62" t="s">
        <v>278</v>
      </c>
      <c r="E65" s="62"/>
      <c r="F65" s="62" t="s">
        <v>279</v>
      </c>
      <c r="G65" s="62">
        <v>0</v>
      </c>
      <c r="H65" s="62">
        <v>3234000</v>
      </c>
      <c r="I65" s="62">
        <v>4170542267.8000002</v>
      </c>
    </row>
    <row r="66" spans="1:9">
      <c r="A66" s="63">
        <v>45963</v>
      </c>
      <c r="B66" s="64">
        <v>0.34574074074074074</v>
      </c>
      <c r="C66" s="63">
        <v>45963</v>
      </c>
      <c r="D66" s="62" t="s">
        <v>280</v>
      </c>
      <c r="E66" s="62"/>
      <c r="F66" s="62" t="s">
        <v>281</v>
      </c>
      <c r="G66" s="62">
        <v>0</v>
      </c>
      <c r="H66" s="62">
        <v>2800000</v>
      </c>
      <c r="I66" s="62">
        <v>4173342267.8000002</v>
      </c>
    </row>
    <row r="67" spans="1:9">
      <c r="A67" s="63">
        <v>45963</v>
      </c>
      <c r="B67" s="64">
        <v>0.39337962962962963</v>
      </c>
      <c r="C67" s="63">
        <v>45963</v>
      </c>
      <c r="D67" s="62" t="s">
        <v>282</v>
      </c>
      <c r="E67" s="62"/>
      <c r="F67" s="62" t="s">
        <v>156</v>
      </c>
      <c r="G67" s="62">
        <v>0</v>
      </c>
      <c r="H67" s="62">
        <v>1540000</v>
      </c>
      <c r="I67" s="62">
        <v>4174882267.8000002</v>
      </c>
    </row>
    <row r="68" spans="1:9">
      <c r="A68" s="63">
        <v>45963</v>
      </c>
      <c r="B68" s="64">
        <v>0.40585648148148146</v>
      </c>
      <c r="C68" s="63">
        <v>45963</v>
      </c>
      <c r="D68" s="62" t="s">
        <v>283</v>
      </c>
      <c r="E68" s="62"/>
      <c r="F68" s="62" t="s">
        <v>284</v>
      </c>
      <c r="G68" s="62">
        <v>0</v>
      </c>
      <c r="H68" s="62">
        <v>1400000</v>
      </c>
      <c r="I68" s="62">
        <v>4176282267.8000002</v>
      </c>
    </row>
    <row r="69" spans="1:9">
      <c r="A69" s="63">
        <v>45963</v>
      </c>
      <c r="B69" s="64">
        <v>0.53813657407407411</v>
      </c>
      <c r="C69" s="63">
        <v>45963</v>
      </c>
      <c r="D69" s="62" t="s">
        <v>285</v>
      </c>
      <c r="E69" s="62"/>
      <c r="F69" s="62" t="s">
        <v>286</v>
      </c>
      <c r="G69" s="62">
        <v>0</v>
      </c>
      <c r="H69" s="62">
        <v>1540000</v>
      </c>
      <c r="I69" s="62">
        <v>4177822267.8000002</v>
      </c>
    </row>
    <row r="70" spans="1:9">
      <c r="A70" s="63">
        <v>45963</v>
      </c>
      <c r="B70" s="64">
        <v>0.54600694444444442</v>
      </c>
      <c r="C70" s="63">
        <v>45963</v>
      </c>
      <c r="D70" s="62" t="s">
        <v>287</v>
      </c>
      <c r="E70" s="62"/>
      <c r="F70" s="62" t="s">
        <v>288</v>
      </c>
      <c r="G70" s="62">
        <v>0</v>
      </c>
      <c r="H70" s="62">
        <v>1617000</v>
      </c>
      <c r="I70" s="62">
        <v>4179439267.8000002</v>
      </c>
    </row>
    <row r="71" spans="1:9">
      <c r="A71" s="63">
        <v>45963</v>
      </c>
      <c r="B71" s="64">
        <v>0.67336805555555557</v>
      </c>
      <c r="C71" s="63">
        <v>45963</v>
      </c>
      <c r="D71" s="62" t="s">
        <v>289</v>
      </c>
      <c r="E71" s="62"/>
      <c r="F71" s="62" t="s">
        <v>290</v>
      </c>
      <c r="G71" s="62">
        <v>0</v>
      </c>
      <c r="H71" s="62">
        <v>1400000</v>
      </c>
      <c r="I71" s="62">
        <v>4182256767.8000002</v>
      </c>
    </row>
    <row r="72" spans="1:9">
      <c r="A72" s="63">
        <v>45963</v>
      </c>
      <c r="B72" s="64">
        <v>0.72069444444444442</v>
      </c>
      <c r="C72" s="63">
        <v>45963</v>
      </c>
      <c r="D72" s="62" t="s">
        <v>291</v>
      </c>
      <c r="E72" s="62"/>
      <c r="F72" s="62" t="s">
        <v>158</v>
      </c>
      <c r="G72" s="62">
        <v>0</v>
      </c>
      <c r="H72" s="62">
        <v>1450000</v>
      </c>
      <c r="I72" s="62">
        <v>4187546767.8000002</v>
      </c>
    </row>
    <row r="73" spans="1:9">
      <c r="A73" s="63">
        <v>45963</v>
      </c>
      <c r="B73" s="64">
        <v>0.87518518518518518</v>
      </c>
      <c r="C73" s="63">
        <v>45963</v>
      </c>
      <c r="D73" s="62" t="s">
        <v>292</v>
      </c>
      <c r="E73" s="62"/>
      <c r="F73" s="62" t="s">
        <v>293</v>
      </c>
      <c r="G73" s="62">
        <v>0</v>
      </c>
      <c r="H73" s="62">
        <v>1540000</v>
      </c>
      <c r="I73" s="62">
        <v>4199305517.8000002</v>
      </c>
    </row>
    <row r="74" spans="1:9">
      <c r="A74" s="63">
        <v>45963</v>
      </c>
      <c r="B74" s="64">
        <v>0.87649305555555557</v>
      </c>
      <c r="C74" s="63">
        <v>45963</v>
      </c>
      <c r="D74" s="62" t="s">
        <v>294</v>
      </c>
      <c r="E74" s="62"/>
      <c r="F74" s="62" t="s">
        <v>295</v>
      </c>
      <c r="G74" s="62">
        <v>0</v>
      </c>
      <c r="H74" s="62">
        <v>1450000</v>
      </c>
      <c r="I74" s="62">
        <v>4200755517.8000002</v>
      </c>
    </row>
    <row r="75" spans="1:9">
      <c r="A75" s="63">
        <v>45963</v>
      </c>
      <c r="B75" s="64">
        <v>0.89449074074074075</v>
      </c>
      <c r="C75" s="63">
        <v>45963</v>
      </c>
      <c r="D75" s="62" t="s">
        <v>296</v>
      </c>
      <c r="E75" s="62"/>
      <c r="F75" s="62" t="s">
        <v>95</v>
      </c>
      <c r="G75" s="62">
        <v>0</v>
      </c>
      <c r="H75" s="62">
        <v>1450000</v>
      </c>
      <c r="I75" s="62">
        <v>4202205517.8000002</v>
      </c>
    </row>
    <row r="76" spans="1:9">
      <c r="A76" s="63">
        <v>45963</v>
      </c>
      <c r="B76" s="64">
        <v>0.97851851851851857</v>
      </c>
      <c r="C76" s="63">
        <v>45963</v>
      </c>
      <c r="D76" s="62" t="s">
        <v>297</v>
      </c>
      <c r="E76" s="62"/>
      <c r="F76" s="62" t="s">
        <v>144</v>
      </c>
      <c r="G76" s="62">
        <v>0</v>
      </c>
      <c r="H76" s="62">
        <v>1617000</v>
      </c>
      <c r="I76" s="62">
        <v>4207372517.8000002</v>
      </c>
    </row>
    <row r="77" spans="1:9">
      <c r="A77" s="63">
        <v>45964</v>
      </c>
      <c r="B77" s="64">
        <v>0.24659722222222222</v>
      </c>
      <c r="C77" s="63">
        <v>45964</v>
      </c>
      <c r="D77" s="62" t="s">
        <v>298</v>
      </c>
      <c r="E77" s="62"/>
      <c r="F77" s="62" t="s">
        <v>299</v>
      </c>
      <c r="G77" s="62">
        <v>0</v>
      </c>
      <c r="H77" s="62">
        <v>1617000</v>
      </c>
      <c r="I77" s="62">
        <v>4211079517.8000002</v>
      </c>
    </row>
    <row r="78" spans="1:9">
      <c r="A78" s="63">
        <v>45964</v>
      </c>
      <c r="B78" s="64">
        <v>0.29694444444444446</v>
      </c>
      <c r="C78" s="63">
        <v>45964</v>
      </c>
      <c r="D78" s="62" t="s">
        <v>300</v>
      </c>
      <c r="E78" s="62"/>
      <c r="F78" s="62" t="s">
        <v>301</v>
      </c>
      <c r="G78" s="62">
        <v>0</v>
      </c>
      <c r="H78" s="62">
        <v>1617000</v>
      </c>
      <c r="I78" s="62">
        <v>4214114017.8000002</v>
      </c>
    </row>
    <row r="79" spans="1:9">
      <c r="A79" s="63">
        <v>45964</v>
      </c>
      <c r="B79" s="64">
        <v>0.32287037037037036</v>
      </c>
      <c r="C79" s="63">
        <v>45964</v>
      </c>
      <c r="D79" s="62" t="s">
        <v>302</v>
      </c>
      <c r="E79" s="62"/>
      <c r="F79" s="62" t="s">
        <v>124</v>
      </c>
      <c r="G79" s="62">
        <v>0</v>
      </c>
      <c r="H79" s="62">
        <v>1617000</v>
      </c>
      <c r="I79" s="62">
        <v>4219571017.8000002</v>
      </c>
    </row>
    <row r="80" spans="1:9">
      <c r="A80" s="63">
        <v>45964</v>
      </c>
      <c r="B80" s="64">
        <v>0.36100694444444442</v>
      </c>
      <c r="C80" s="63">
        <v>45964</v>
      </c>
      <c r="D80" s="62" t="s">
        <v>303</v>
      </c>
      <c r="E80" s="62"/>
      <c r="F80" s="62" t="s">
        <v>304</v>
      </c>
      <c r="G80" s="62">
        <v>0</v>
      </c>
      <c r="H80" s="62">
        <v>1400000</v>
      </c>
      <c r="I80" s="62">
        <v>4258321017.8000002</v>
      </c>
    </row>
    <row r="81" spans="1:9">
      <c r="A81" s="63">
        <v>45964</v>
      </c>
      <c r="B81" s="64">
        <v>0.36888888888888888</v>
      </c>
      <c r="C81" s="63">
        <v>45964</v>
      </c>
      <c r="D81" s="62" t="s">
        <v>305</v>
      </c>
      <c r="E81" s="62"/>
      <c r="F81" s="62" t="s">
        <v>306</v>
      </c>
      <c r="G81" s="62">
        <v>0</v>
      </c>
      <c r="H81" s="62">
        <v>1617000</v>
      </c>
      <c r="I81" s="62">
        <v>4259938017.8000002</v>
      </c>
    </row>
    <row r="82" spans="1:9">
      <c r="A82" s="63">
        <v>45964</v>
      </c>
      <c r="B82" s="64">
        <v>0.38065972222222222</v>
      </c>
      <c r="C82" s="63">
        <v>45964</v>
      </c>
      <c r="D82" s="62" t="s">
        <v>307</v>
      </c>
      <c r="E82" s="62"/>
      <c r="F82" s="62" t="s">
        <v>308</v>
      </c>
      <c r="G82" s="62">
        <v>0</v>
      </c>
      <c r="H82" s="62">
        <v>1450000</v>
      </c>
      <c r="I82" s="62">
        <v>4265238017.8000002</v>
      </c>
    </row>
    <row r="83" spans="1:9">
      <c r="A83" s="63">
        <v>45964</v>
      </c>
      <c r="B83" s="64">
        <v>0.38240740740740742</v>
      </c>
      <c r="C83" s="63">
        <v>45964</v>
      </c>
      <c r="D83" s="62" t="s">
        <v>309</v>
      </c>
      <c r="E83" s="62"/>
      <c r="F83" s="62" t="s">
        <v>310</v>
      </c>
      <c r="G83" s="62">
        <v>0</v>
      </c>
      <c r="H83" s="62">
        <v>1400000</v>
      </c>
      <c r="I83" s="62">
        <v>4268538017.8000002</v>
      </c>
    </row>
    <row r="84" spans="1:9">
      <c r="A84" s="63">
        <v>45964</v>
      </c>
      <c r="B84" s="64">
        <v>0.40412037037037035</v>
      </c>
      <c r="C84" s="63">
        <v>45964</v>
      </c>
      <c r="D84" s="62" t="s">
        <v>311</v>
      </c>
      <c r="E84" s="62"/>
      <c r="F84" s="62" t="s">
        <v>312</v>
      </c>
      <c r="G84" s="62">
        <v>0</v>
      </c>
      <c r="H84" s="62">
        <v>1540000</v>
      </c>
      <c r="I84" s="62">
        <v>4273753017.8000002</v>
      </c>
    </row>
    <row r="85" spans="1:9">
      <c r="A85" s="63">
        <v>45964</v>
      </c>
      <c r="B85" s="64">
        <v>0.40687499999999999</v>
      </c>
      <c r="C85" s="63">
        <v>45964</v>
      </c>
      <c r="D85" s="62" t="s">
        <v>313</v>
      </c>
      <c r="E85" s="62"/>
      <c r="F85" s="62" t="s">
        <v>314</v>
      </c>
      <c r="G85" s="62">
        <v>0</v>
      </c>
      <c r="H85" s="62">
        <v>1450000</v>
      </c>
      <c r="I85" s="62">
        <v>4275203017.8000002</v>
      </c>
    </row>
    <row r="86" spans="1:9">
      <c r="A86" s="63">
        <v>45964</v>
      </c>
      <c r="B86" s="64">
        <v>0.4072337962962963</v>
      </c>
      <c r="C86" s="63">
        <v>45964</v>
      </c>
      <c r="D86" s="62" t="s">
        <v>315</v>
      </c>
      <c r="E86" s="62"/>
      <c r="F86" s="62" t="s">
        <v>316</v>
      </c>
      <c r="G86" s="62">
        <v>0</v>
      </c>
      <c r="H86" s="62">
        <v>1540000</v>
      </c>
      <c r="I86" s="62">
        <v>4276743017.8000002</v>
      </c>
    </row>
    <row r="87" spans="1:9">
      <c r="A87" s="63">
        <v>45964</v>
      </c>
      <c r="B87" s="64">
        <v>0.46395833333333331</v>
      </c>
      <c r="C87" s="63">
        <v>45964</v>
      </c>
      <c r="D87" s="62" t="s">
        <v>317</v>
      </c>
      <c r="E87" s="62"/>
      <c r="F87" s="62" t="s">
        <v>318</v>
      </c>
      <c r="G87" s="62">
        <v>0</v>
      </c>
      <c r="H87" s="62">
        <v>1617000</v>
      </c>
      <c r="I87" s="62">
        <v>4292900017.8000002</v>
      </c>
    </row>
    <row r="88" spans="1:9">
      <c r="A88" s="63">
        <v>45964</v>
      </c>
      <c r="B88" s="64">
        <v>0.46998842592592593</v>
      </c>
      <c r="C88" s="63">
        <v>45964</v>
      </c>
      <c r="D88" s="62" t="s">
        <v>319</v>
      </c>
      <c r="E88" s="62"/>
      <c r="F88" s="62" t="s">
        <v>115</v>
      </c>
      <c r="G88" s="62">
        <v>0</v>
      </c>
      <c r="H88" s="62">
        <v>1450000</v>
      </c>
      <c r="I88" s="62">
        <v>4294350017.8000002</v>
      </c>
    </row>
    <row r="89" spans="1:9">
      <c r="A89" s="63">
        <v>45964</v>
      </c>
      <c r="B89" s="64">
        <v>0.47836805555555556</v>
      </c>
      <c r="C89" s="63">
        <v>45964</v>
      </c>
      <c r="D89" s="62" t="s">
        <v>320</v>
      </c>
      <c r="E89" s="62"/>
      <c r="F89" s="62" t="s">
        <v>321</v>
      </c>
      <c r="G89" s="62">
        <v>0</v>
      </c>
      <c r="H89" s="62">
        <v>1400000</v>
      </c>
      <c r="I89" s="62">
        <v>4297840017.8000002</v>
      </c>
    </row>
    <row r="90" spans="1:9">
      <c r="A90" s="63">
        <v>45964</v>
      </c>
      <c r="B90" s="64">
        <v>0.5003009259259259</v>
      </c>
      <c r="C90" s="63">
        <v>45964</v>
      </c>
      <c r="D90" s="62" t="s">
        <v>322</v>
      </c>
      <c r="E90" s="62"/>
      <c r="F90" s="62" t="s">
        <v>323</v>
      </c>
      <c r="G90" s="62">
        <v>0</v>
      </c>
      <c r="H90" s="62">
        <v>1400000</v>
      </c>
      <c r="I90" s="62">
        <v>4304060017.8000002</v>
      </c>
    </row>
    <row r="91" spans="1:9">
      <c r="A91" s="63">
        <v>45964</v>
      </c>
      <c r="B91" s="64">
        <v>0.51589120370370367</v>
      </c>
      <c r="C91" s="63">
        <v>45964</v>
      </c>
      <c r="D91" s="62" t="s">
        <v>324</v>
      </c>
      <c r="E91" s="62"/>
      <c r="F91" s="62" t="s">
        <v>325</v>
      </c>
      <c r="G91" s="62">
        <v>0</v>
      </c>
      <c r="H91" s="62">
        <v>1540000</v>
      </c>
      <c r="I91" s="62">
        <v>4308942517.8000002</v>
      </c>
    </row>
    <row r="92" spans="1:9">
      <c r="A92" s="63">
        <v>45964</v>
      </c>
      <c r="B92" s="64">
        <v>0.51969907407407412</v>
      </c>
      <c r="C92" s="63">
        <v>45964</v>
      </c>
      <c r="D92" s="62" t="s">
        <v>326</v>
      </c>
      <c r="E92" s="62"/>
      <c r="F92" s="62" t="s">
        <v>327</v>
      </c>
      <c r="G92" s="62">
        <v>0</v>
      </c>
      <c r="H92" s="62">
        <v>1540000</v>
      </c>
      <c r="I92" s="62">
        <v>4312382517.8000002</v>
      </c>
    </row>
    <row r="93" spans="1:9">
      <c r="A93" s="63">
        <v>45964</v>
      </c>
      <c r="B93" s="64">
        <v>0.53216435185185185</v>
      </c>
      <c r="C93" s="63">
        <v>45964</v>
      </c>
      <c r="D93" s="62" t="s">
        <v>328</v>
      </c>
      <c r="E93" s="62"/>
      <c r="F93" s="62" t="s">
        <v>329</v>
      </c>
      <c r="G93" s="62">
        <v>0</v>
      </c>
      <c r="H93" s="62">
        <v>1540000</v>
      </c>
      <c r="I93" s="62">
        <v>4313922517.8000002</v>
      </c>
    </row>
    <row r="94" spans="1:9">
      <c r="A94" s="63">
        <v>45964</v>
      </c>
      <c r="B94" s="64">
        <v>0.53218750000000004</v>
      </c>
      <c r="C94" s="63">
        <v>45964</v>
      </c>
      <c r="D94" s="62" t="s">
        <v>330</v>
      </c>
      <c r="E94" s="62"/>
      <c r="F94" s="62" t="s">
        <v>331</v>
      </c>
      <c r="G94" s="62">
        <v>0</v>
      </c>
      <c r="H94" s="62">
        <v>1540000</v>
      </c>
      <c r="I94" s="62">
        <v>4315462517.8000002</v>
      </c>
    </row>
    <row r="95" spans="1:9">
      <c r="A95" s="63">
        <v>45964</v>
      </c>
      <c r="B95" s="64">
        <v>0.54673611111111109</v>
      </c>
      <c r="C95" s="63">
        <v>45964</v>
      </c>
      <c r="D95" s="62" t="s">
        <v>332</v>
      </c>
      <c r="E95" s="62"/>
      <c r="F95" s="62" t="s">
        <v>333</v>
      </c>
      <c r="G95" s="62">
        <v>0</v>
      </c>
      <c r="H95" s="62">
        <v>1400000</v>
      </c>
      <c r="I95" s="62">
        <v>4320852517.8000002</v>
      </c>
    </row>
    <row r="96" spans="1:9">
      <c r="A96" s="63">
        <v>45964</v>
      </c>
      <c r="B96" s="64">
        <v>0.54895833333333333</v>
      </c>
      <c r="C96" s="63">
        <v>45964</v>
      </c>
      <c r="D96" s="62" t="s">
        <v>334</v>
      </c>
      <c r="E96" s="62"/>
      <c r="F96" s="62" t="s">
        <v>335</v>
      </c>
      <c r="G96" s="62">
        <v>0</v>
      </c>
      <c r="H96" s="62">
        <v>1450000</v>
      </c>
      <c r="I96" s="62">
        <v>4322302517.8000002</v>
      </c>
    </row>
    <row r="97" spans="1:9">
      <c r="A97" s="63">
        <v>45964</v>
      </c>
      <c r="B97" s="64">
        <v>0.56192129629629628</v>
      </c>
      <c r="C97" s="63">
        <v>45964</v>
      </c>
      <c r="D97" s="62" t="s">
        <v>336</v>
      </c>
      <c r="E97" s="62"/>
      <c r="F97" s="62" t="s">
        <v>337</v>
      </c>
      <c r="G97" s="62">
        <v>0</v>
      </c>
      <c r="H97" s="62">
        <v>1400000</v>
      </c>
      <c r="I97" s="62">
        <v>4325120017.8000002</v>
      </c>
    </row>
    <row r="98" spans="1:9">
      <c r="A98" s="63">
        <v>45964</v>
      </c>
      <c r="B98" s="64">
        <v>0.63160879629629629</v>
      </c>
      <c r="C98" s="63">
        <v>45964</v>
      </c>
      <c r="D98" s="62" t="s">
        <v>338</v>
      </c>
      <c r="E98" s="62"/>
      <c r="F98" s="62" t="s">
        <v>339</v>
      </c>
      <c r="G98" s="62">
        <v>0</v>
      </c>
      <c r="H98" s="62">
        <v>1450000</v>
      </c>
      <c r="I98" s="62">
        <v>4331420017.8000002</v>
      </c>
    </row>
    <row r="99" spans="1:9">
      <c r="A99" s="63">
        <v>45964</v>
      </c>
      <c r="B99" s="64">
        <v>0.63351851851851848</v>
      </c>
      <c r="C99" s="63">
        <v>45964</v>
      </c>
      <c r="D99" s="62" t="s">
        <v>340</v>
      </c>
      <c r="E99" s="62"/>
      <c r="F99" s="62" t="s">
        <v>341</v>
      </c>
      <c r="G99" s="62">
        <v>0</v>
      </c>
      <c r="H99" s="62">
        <v>1400000</v>
      </c>
      <c r="I99" s="62">
        <v>4332820017.8000002</v>
      </c>
    </row>
    <row r="100" spans="1:9">
      <c r="A100" s="63">
        <v>45964</v>
      </c>
      <c r="B100" s="64">
        <v>0.63392361111111106</v>
      </c>
      <c r="C100" s="63">
        <v>45964</v>
      </c>
      <c r="D100" s="62" t="s">
        <v>342</v>
      </c>
      <c r="E100" s="62"/>
      <c r="F100" s="62" t="s">
        <v>343</v>
      </c>
      <c r="G100" s="62">
        <v>0</v>
      </c>
      <c r="H100" s="62">
        <v>1400000</v>
      </c>
      <c r="I100" s="62">
        <v>4334220017.8000002</v>
      </c>
    </row>
    <row r="101" spans="1:9">
      <c r="A101" s="63">
        <v>45964</v>
      </c>
      <c r="B101" s="64">
        <v>0.67684027777777778</v>
      </c>
      <c r="C101" s="63">
        <v>45964</v>
      </c>
      <c r="D101" s="62" t="s">
        <v>344</v>
      </c>
      <c r="E101" s="62"/>
      <c r="F101" s="62" t="s">
        <v>134</v>
      </c>
      <c r="G101" s="62">
        <v>0</v>
      </c>
      <c r="H101" s="62">
        <v>1400000</v>
      </c>
      <c r="I101" s="62">
        <v>4337520017.8000002</v>
      </c>
    </row>
    <row r="102" spans="1:9">
      <c r="A102" s="63">
        <v>45964</v>
      </c>
      <c r="B102" s="64">
        <v>0.70474537037037033</v>
      </c>
      <c r="C102" s="63">
        <v>45964</v>
      </c>
      <c r="D102" s="62" t="s">
        <v>345</v>
      </c>
      <c r="E102" s="62"/>
      <c r="F102" s="62" t="s">
        <v>346</v>
      </c>
      <c r="G102" s="62">
        <v>0</v>
      </c>
      <c r="H102" s="62">
        <v>1400000</v>
      </c>
      <c r="I102" s="62">
        <v>4342595017.8000002</v>
      </c>
    </row>
    <row r="103" spans="1:9">
      <c r="A103" s="63">
        <v>45964</v>
      </c>
      <c r="B103" s="64">
        <v>0.70540509259259254</v>
      </c>
      <c r="C103" s="63">
        <v>45964</v>
      </c>
      <c r="D103" s="62" t="s">
        <v>347</v>
      </c>
      <c r="E103" s="62"/>
      <c r="F103" s="62" t="s">
        <v>348</v>
      </c>
      <c r="G103" s="62">
        <v>0</v>
      </c>
      <c r="H103" s="62">
        <v>1540000</v>
      </c>
      <c r="I103" s="62">
        <v>4344135017.8000002</v>
      </c>
    </row>
    <row r="104" spans="1:9">
      <c r="A104" s="63">
        <v>45964</v>
      </c>
      <c r="B104" s="64">
        <v>0.70568287037037036</v>
      </c>
      <c r="C104" s="63">
        <v>45964</v>
      </c>
      <c r="D104" s="62" t="s">
        <v>349</v>
      </c>
      <c r="E104" s="62"/>
      <c r="F104" s="62" t="s">
        <v>350</v>
      </c>
      <c r="G104" s="62">
        <v>0</v>
      </c>
      <c r="H104" s="62">
        <v>1400000</v>
      </c>
      <c r="I104" s="62">
        <v>4345535017.8000002</v>
      </c>
    </row>
    <row r="105" spans="1:9">
      <c r="A105" s="63">
        <v>45964</v>
      </c>
      <c r="B105" s="64">
        <v>0.70607638888888891</v>
      </c>
      <c r="C105" s="63">
        <v>45964</v>
      </c>
      <c r="D105" s="62" t="s">
        <v>351</v>
      </c>
      <c r="E105" s="62"/>
      <c r="F105" s="62" t="s">
        <v>352</v>
      </c>
      <c r="G105" s="62">
        <v>0</v>
      </c>
      <c r="H105" s="62">
        <v>1400000</v>
      </c>
      <c r="I105" s="62">
        <v>4346935017.8000002</v>
      </c>
    </row>
    <row r="106" spans="1:9">
      <c r="A106" s="63">
        <v>45964</v>
      </c>
      <c r="B106" s="64">
        <v>0.7774537037037037</v>
      </c>
      <c r="C106" s="63">
        <v>45964</v>
      </c>
      <c r="D106" s="62" t="s">
        <v>353</v>
      </c>
      <c r="E106" s="62"/>
      <c r="F106" s="62" t="s">
        <v>354</v>
      </c>
      <c r="G106" s="62">
        <v>0</v>
      </c>
      <c r="H106" s="62">
        <v>1450000</v>
      </c>
      <c r="I106" s="62">
        <v>4351552517.8000002</v>
      </c>
    </row>
    <row r="107" spans="1:9">
      <c r="A107" s="63">
        <v>45964</v>
      </c>
      <c r="B107" s="64">
        <v>0.82190972222222225</v>
      </c>
      <c r="C107" s="63">
        <v>45964</v>
      </c>
      <c r="D107" s="62" t="s">
        <v>355</v>
      </c>
      <c r="E107" s="62"/>
      <c r="F107" s="62" t="s">
        <v>356</v>
      </c>
      <c r="G107" s="62">
        <v>0</v>
      </c>
      <c r="H107" s="62">
        <v>1500000</v>
      </c>
      <c r="I107" s="62">
        <v>4362252517.8000002</v>
      </c>
    </row>
    <row r="108" spans="1:9">
      <c r="A108" s="63">
        <v>45964</v>
      </c>
      <c r="B108" s="64">
        <v>0.83305555555555555</v>
      </c>
      <c r="C108" s="63">
        <v>45964</v>
      </c>
      <c r="D108" s="62" t="s">
        <v>357</v>
      </c>
      <c r="E108" s="62"/>
      <c r="F108" s="62" t="s">
        <v>358</v>
      </c>
      <c r="G108" s="62">
        <v>0</v>
      </c>
      <c r="H108" s="62">
        <v>1617000</v>
      </c>
      <c r="I108" s="62">
        <v>4366998267.8000002</v>
      </c>
    </row>
    <row r="109" spans="1:9">
      <c r="A109" s="63">
        <v>45964</v>
      </c>
      <c r="B109" s="64">
        <v>0.84509259259259262</v>
      </c>
      <c r="C109" s="63">
        <v>45964</v>
      </c>
      <c r="D109" s="62" t="s">
        <v>359</v>
      </c>
      <c r="E109" s="62"/>
      <c r="F109" s="62" t="s">
        <v>360</v>
      </c>
      <c r="G109" s="62">
        <v>0</v>
      </c>
      <c r="H109" s="62">
        <v>2800000</v>
      </c>
      <c r="I109" s="62">
        <v>4369798267.8000002</v>
      </c>
    </row>
    <row r="110" spans="1:9">
      <c r="A110" s="63">
        <v>45964</v>
      </c>
      <c r="B110" s="64">
        <v>0.8580092592592593</v>
      </c>
      <c r="C110" s="63">
        <v>45964</v>
      </c>
      <c r="D110" s="62" t="s">
        <v>361</v>
      </c>
      <c r="E110" s="62"/>
      <c r="F110" s="62" t="s">
        <v>161</v>
      </c>
      <c r="G110" s="62">
        <v>0</v>
      </c>
      <c r="H110" s="62">
        <v>1450000</v>
      </c>
      <c r="I110" s="62">
        <v>4371248267.8000002</v>
      </c>
    </row>
    <row r="111" spans="1:9">
      <c r="A111" s="63">
        <v>45964</v>
      </c>
      <c r="B111" s="64">
        <v>0.85849537037037038</v>
      </c>
      <c r="C111" s="63">
        <v>45964</v>
      </c>
      <c r="D111" s="62" t="s">
        <v>362</v>
      </c>
      <c r="E111" s="62"/>
      <c r="F111" s="62" t="s">
        <v>162</v>
      </c>
      <c r="G111" s="62">
        <v>0</v>
      </c>
      <c r="H111" s="62">
        <v>1625000</v>
      </c>
      <c r="I111" s="62">
        <v>4372873267.8000002</v>
      </c>
    </row>
    <row r="112" spans="1:9">
      <c r="A112" s="63">
        <v>45964</v>
      </c>
      <c r="B112" s="64">
        <v>0.8740162037037037</v>
      </c>
      <c r="C112" s="63">
        <v>45964</v>
      </c>
      <c r="D112" s="62" t="s">
        <v>363</v>
      </c>
      <c r="E112" s="62"/>
      <c r="F112" s="62" t="s">
        <v>364</v>
      </c>
      <c r="G112" s="62">
        <v>0</v>
      </c>
      <c r="H112" s="62">
        <v>1400000</v>
      </c>
      <c r="I112" s="62">
        <v>4376173267.8000002</v>
      </c>
    </row>
    <row r="113" spans="1:9">
      <c r="A113" s="63">
        <v>45965</v>
      </c>
      <c r="B113" s="64">
        <v>0.15459490740740742</v>
      </c>
      <c r="C113" s="63">
        <v>45965</v>
      </c>
      <c r="D113" s="62" t="s">
        <v>365</v>
      </c>
      <c r="E113" s="62"/>
      <c r="F113" s="62" t="s">
        <v>366</v>
      </c>
      <c r="G113" s="62">
        <v>0</v>
      </c>
      <c r="H113" s="62">
        <v>1540000</v>
      </c>
      <c r="I113" s="62">
        <v>4381830767.8000002</v>
      </c>
    </row>
    <row r="114" spans="1:9">
      <c r="A114" s="63">
        <v>45965</v>
      </c>
      <c r="B114" s="64">
        <v>0.2217824074074074</v>
      </c>
      <c r="C114" s="63">
        <v>45965</v>
      </c>
      <c r="D114" s="62" t="s">
        <v>367</v>
      </c>
      <c r="E114" s="62"/>
      <c r="F114" s="62" t="s">
        <v>368</v>
      </c>
      <c r="G114" s="62">
        <v>0</v>
      </c>
      <c r="H114" s="62">
        <v>1540000</v>
      </c>
      <c r="I114" s="62">
        <v>4385120767.8000002</v>
      </c>
    </row>
    <row r="115" spans="1:9">
      <c r="A115" s="63">
        <v>45965</v>
      </c>
      <c r="B115" s="64">
        <v>0.22244212962962964</v>
      </c>
      <c r="C115" s="63">
        <v>45965</v>
      </c>
      <c r="D115" s="62" t="s">
        <v>369</v>
      </c>
      <c r="E115" s="62"/>
      <c r="F115" s="62" t="s">
        <v>370</v>
      </c>
      <c r="G115" s="62">
        <v>0</v>
      </c>
      <c r="H115" s="62">
        <v>1617000</v>
      </c>
      <c r="I115" s="62">
        <v>4386737767.8000002</v>
      </c>
    </row>
    <row r="116" spans="1:9">
      <c r="A116" s="63">
        <v>45965</v>
      </c>
      <c r="B116" s="64">
        <v>0.25364583333333335</v>
      </c>
      <c r="C116" s="63">
        <v>45965</v>
      </c>
      <c r="D116" s="62" t="s">
        <v>371</v>
      </c>
      <c r="E116" s="62"/>
      <c r="F116" s="62" t="s">
        <v>147</v>
      </c>
      <c r="G116" s="62">
        <v>0</v>
      </c>
      <c r="H116" s="62">
        <v>1400000</v>
      </c>
      <c r="I116" s="62">
        <v>4391237767.8000002</v>
      </c>
    </row>
    <row r="117" spans="1:9">
      <c r="A117" s="63">
        <v>45965</v>
      </c>
      <c r="B117" s="64">
        <v>0.28039351851851851</v>
      </c>
      <c r="C117" s="63">
        <v>45965</v>
      </c>
      <c r="D117" s="62" t="s">
        <v>372</v>
      </c>
      <c r="E117" s="62"/>
      <c r="F117" s="62" t="s">
        <v>373</v>
      </c>
      <c r="G117" s="62">
        <v>0</v>
      </c>
      <c r="H117" s="62">
        <v>3234000</v>
      </c>
      <c r="I117" s="62">
        <v>4394471767.8000002</v>
      </c>
    </row>
    <row r="118" spans="1:9">
      <c r="A118" s="63">
        <v>45965</v>
      </c>
      <c r="B118" s="64">
        <v>0.28388888888888891</v>
      </c>
      <c r="C118" s="63">
        <v>45965</v>
      </c>
      <c r="D118" s="62" t="s">
        <v>374</v>
      </c>
      <c r="E118" s="62"/>
      <c r="F118" s="62" t="s">
        <v>142</v>
      </c>
      <c r="G118" s="62">
        <v>0</v>
      </c>
      <c r="H118" s="62">
        <v>1617000</v>
      </c>
      <c r="I118" s="62">
        <v>4396088767.8000002</v>
      </c>
    </row>
    <row r="119" spans="1:9">
      <c r="A119" s="63">
        <v>45965</v>
      </c>
      <c r="B119" s="64">
        <v>0.28449074074074077</v>
      </c>
      <c r="C119" s="63">
        <v>45965</v>
      </c>
      <c r="D119" s="62" t="s">
        <v>375</v>
      </c>
      <c r="E119" s="62"/>
      <c r="F119" s="62" t="s">
        <v>143</v>
      </c>
      <c r="G119" s="62">
        <v>0</v>
      </c>
      <c r="H119" s="62">
        <v>1540000</v>
      </c>
      <c r="I119" s="62">
        <v>4399498767.8000002</v>
      </c>
    </row>
    <row r="120" spans="1:9">
      <c r="A120" s="63">
        <v>45965</v>
      </c>
      <c r="B120" s="64">
        <v>0.37305555555555553</v>
      </c>
      <c r="C120" s="63">
        <v>45965</v>
      </c>
      <c r="D120" s="62" t="s">
        <v>376</v>
      </c>
      <c r="E120" s="62"/>
      <c r="F120" s="62" t="s">
        <v>377</v>
      </c>
      <c r="G120" s="62">
        <v>0</v>
      </c>
      <c r="H120" s="62">
        <v>1617000</v>
      </c>
      <c r="I120" s="62">
        <v>4406965767.8000002</v>
      </c>
    </row>
    <row r="121" spans="1:9">
      <c r="A121" s="63">
        <v>45965</v>
      </c>
      <c r="B121" s="64">
        <v>0.37843749999999998</v>
      </c>
      <c r="C121" s="63">
        <v>45965</v>
      </c>
      <c r="D121" s="62" t="s">
        <v>378</v>
      </c>
      <c r="E121" s="62"/>
      <c r="F121" s="62" t="s">
        <v>121</v>
      </c>
      <c r="G121" s="62">
        <v>0</v>
      </c>
      <c r="H121" s="62">
        <v>1617000</v>
      </c>
      <c r="I121" s="62">
        <v>4408582767.8000002</v>
      </c>
    </row>
    <row r="122" spans="1:9">
      <c r="A122" s="63">
        <v>45965</v>
      </c>
      <c r="B122" s="64">
        <v>0.4004861111111111</v>
      </c>
      <c r="C122" s="63">
        <v>45965</v>
      </c>
      <c r="D122" s="62" t="s">
        <v>379</v>
      </c>
      <c r="E122" s="62"/>
      <c r="F122" s="62" t="s">
        <v>380</v>
      </c>
      <c r="G122" s="62">
        <v>0</v>
      </c>
      <c r="H122" s="62">
        <v>1450000</v>
      </c>
      <c r="I122" s="62">
        <v>4410032767.8000002</v>
      </c>
    </row>
    <row r="123" spans="1:9">
      <c r="A123" s="63">
        <v>45965</v>
      </c>
      <c r="B123" s="64">
        <v>0.41670138888888891</v>
      </c>
      <c r="C123" s="63">
        <v>45965</v>
      </c>
      <c r="D123" s="62" t="s">
        <v>381</v>
      </c>
      <c r="E123" s="62"/>
      <c r="F123" s="62" t="s">
        <v>382</v>
      </c>
      <c r="G123" s="62">
        <v>0</v>
      </c>
      <c r="H123" s="62">
        <v>1617000</v>
      </c>
      <c r="I123" s="62">
        <v>4411649767.8000002</v>
      </c>
    </row>
    <row r="124" spans="1:9">
      <c r="A124" s="63">
        <v>45965</v>
      </c>
      <c r="B124" s="64">
        <v>0.43109953703703702</v>
      </c>
      <c r="C124" s="63">
        <v>45965</v>
      </c>
      <c r="D124" s="62" t="s">
        <v>383</v>
      </c>
      <c r="E124" s="62"/>
      <c r="F124" s="62" t="s">
        <v>91</v>
      </c>
      <c r="G124" s="62">
        <v>0</v>
      </c>
      <c r="H124" s="62">
        <v>1400000</v>
      </c>
      <c r="I124" s="62">
        <v>4414949767.8000002</v>
      </c>
    </row>
    <row r="125" spans="1:9">
      <c r="A125" s="63">
        <v>45965</v>
      </c>
      <c r="B125" s="64">
        <v>0.43443287037037037</v>
      </c>
      <c r="C125" s="63">
        <v>45965</v>
      </c>
      <c r="D125" s="62" t="s">
        <v>384</v>
      </c>
      <c r="E125" s="62"/>
      <c r="F125" s="62" t="s">
        <v>385</v>
      </c>
      <c r="G125" s="62">
        <v>0</v>
      </c>
      <c r="H125" s="62">
        <v>1400000</v>
      </c>
      <c r="I125" s="62">
        <v>4418099767.8000002</v>
      </c>
    </row>
    <row r="126" spans="1:9">
      <c r="A126" s="63">
        <v>45965</v>
      </c>
      <c r="B126" s="64">
        <v>0.45664351851851853</v>
      </c>
      <c r="C126" s="63">
        <v>45965</v>
      </c>
      <c r="D126" s="62" t="s">
        <v>386</v>
      </c>
      <c r="E126" s="62"/>
      <c r="F126" s="62" t="s">
        <v>387</v>
      </c>
      <c r="G126" s="62">
        <v>0</v>
      </c>
      <c r="H126" s="62">
        <v>1400000</v>
      </c>
      <c r="I126" s="62">
        <v>4419499767.8000002</v>
      </c>
    </row>
    <row r="127" spans="1:9">
      <c r="A127" s="63">
        <v>45965</v>
      </c>
      <c r="B127" s="64">
        <v>0.46940972222222221</v>
      </c>
      <c r="C127" s="63">
        <v>45965</v>
      </c>
      <c r="D127" s="62" t="s">
        <v>388</v>
      </c>
      <c r="E127" s="62"/>
      <c r="F127" s="62" t="s">
        <v>389</v>
      </c>
      <c r="G127" s="62">
        <v>0</v>
      </c>
      <c r="H127" s="62">
        <v>1400000</v>
      </c>
      <c r="I127" s="62">
        <v>4422824767.8000002</v>
      </c>
    </row>
    <row r="128" spans="1:9">
      <c r="A128" s="63">
        <v>45965</v>
      </c>
      <c r="B128" s="64">
        <v>0.47782407407407407</v>
      </c>
      <c r="C128" s="63">
        <v>45965</v>
      </c>
      <c r="D128" s="62" t="s">
        <v>390</v>
      </c>
      <c r="E128" s="62"/>
      <c r="F128" s="62" t="s">
        <v>391</v>
      </c>
      <c r="G128" s="62">
        <v>0</v>
      </c>
      <c r="H128" s="62">
        <v>1540000</v>
      </c>
      <c r="I128" s="62">
        <v>4424364767.8000002</v>
      </c>
    </row>
    <row r="129" spans="1:9">
      <c r="A129" s="63">
        <v>45965</v>
      </c>
      <c r="B129" s="64">
        <v>0.50186342592592592</v>
      </c>
      <c r="C129" s="63">
        <v>45965</v>
      </c>
      <c r="D129" s="62" t="s">
        <v>392</v>
      </c>
      <c r="E129" s="62"/>
      <c r="F129" s="62" t="s">
        <v>126</v>
      </c>
      <c r="G129" s="62">
        <v>0</v>
      </c>
      <c r="H129" s="62">
        <v>1450000</v>
      </c>
      <c r="I129" s="62">
        <v>4427904767.8000002</v>
      </c>
    </row>
    <row r="130" spans="1:9">
      <c r="A130" s="63">
        <v>45965</v>
      </c>
      <c r="B130" s="64">
        <v>0.50245370370370368</v>
      </c>
      <c r="C130" s="63">
        <v>45965</v>
      </c>
      <c r="D130" s="62" t="s">
        <v>393</v>
      </c>
      <c r="E130" s="62"/>
      <c r="F130" s="62" t="s">
        <v>394</v>
      </c>
      <c r="G130" s="62">
        <v>0</v>
      </c>
      <c r="H130" s="62">
        <v>1400000</v>
      </c>
      <c r="I130" s="62">
        <v>4429304767.8000002</v>
      </c>
    </row>
    <row r="131" spans="1:9">
      <c r="A131" s="63">
        <v>45965</v>
      </c>
      <c r="B131" s="64">
        <v>0.50271990740740746</v>
      </c>
      <c r="C131" s="63">
        <v>45965</v>
      </c>
      <c r="D131" s="62" t="s">
        <v>395</v>
      </c>
      <c r="E131" s="62"/>
      <c r="F131" s="62" t="s">
        <v>125</v>
      </c>
      <c r="G131" s="62">
        <v>0</v>
      </c>
      <c r="H131" s="62">
        <v>1540000</v>
      </c>
      <c r="I131" s="62">
        <v>4430844767.8000002</v>
      </c>
    </row>
    <row r="132" spans="1:9">
      <c r="A132" s="63">
        <v>45965</v>
      </c>
      <c r="B132" s="64">
        <v>0.52164351851851853</v>
      </c>
      <c r="C132" s="63">
        <v>45965</v>
      </c>
      <c r="D132" s="62" t="s">
        <v>396</v>
      </c>
      <c r="E132" s="62"/>
      <c r="F132" s="62" t="s">
        <v>397</v>
      </c>
      <c r="G132" s="62">
        <v>0</v>
      </c>
      <c r="H132" s="62">
        <v>1400000</v>
      </c>
      <c r="I132" s="62">
        <v>4432244767.8000002</v>
      </c>
    </row>
    <row r="133" spans="1:9">
      <c r="A133" s="63">
        <v>45965</v>
      </c>
      <c r="B133" s="64">
        <v>0.53625</v>
      </c>
      <c r="C133" s="63">
        <v>45965</v>
      </c>
      <c r="D133" s="62" t="s">
        <v>398</v>
      </c>
      <c r="E133" s="62"/>
      <c r="F133" s="62" t="s">
        <v>399</v>
      </c>
      <c r="G133" s="62">
        <v>0</v>
      </c>
      <c r="H133" s="62">
        <v>1540000</v>
      </c>
      <c r="I133" s="62">
        <v>4433784767.8000002</v>
      </c>
    </row>
    <row r="134" spans="1:9">
      <c r="A134" s="63">
        <v>45965</v>
      </c>
      <c r="B134" s="64">
        <v>0.53984953703703709</v>
      </c>
      <c r="C134" s="63">
        <v>45965</v>
      </c>
      <c r="D134" s="62" t="s">
        <v>400</v>
      </c>
      <c r="E134" s="62"/>
      <c r="F134" s="62" t="s">
        <v>401</v>
      </c>
      <c r="G134" s="62">
        <v>0</v>
      </c>
      <c r="H134" s="62">
        <v>1540000</v>
      </c>
      <c r="I134" s="62">
        <v>4437004767.8000002</v>
      </c>
    </row>
    <row r="135" spans="1:9">
      <c r="A135" s="63">
        <v>45965</v>
      </c>
      <c r="B135" s="64">
        <v>0.54016203703703702</v>
      </c>
      <c r="C135" s="63">
        <v>45965</v>
      </c>
      <c r="D135" s="62" t="s">
        <v>402</v>
      </c>
      <c r="E135" s="62"/>
      <c r="F135" s="62" t="s">
        <v>403</v>
      </c>
      <c r="G135" s="62">
        <v>0</v>
      </c>
      <c r="H135" s="62">
        <v>1400000</v>
      </c>
      <c r="I135" s="62">
        <v>4438404767.8000002</v>
      </c>
    </row>
    <row r="136" spans="1:9">
      <c r="A136" s="63">
        <v>45965</v>
      </c>
      <c r="B136" s="64">
        <v>0.54096064814814815</v>
      </c>
      <c r="C136" s="63">
        <v>45965</v>
      </c>
      <c r="D136" s="62" t="s">
        <v>404</v>
      </c>
      <c r="E136" s="62"/>
      <c r="F136" s="62" t="s">
        <v>405</v>
      </c>
      <c r="G136" s="62">
        <v>0</v>
      </c>
      <c r="H136" s="62">
        <v>1450000</v>
      </c>
      <c r="I136" s="62">
        <v>4441272267.8000002</v>
      </c>
    </row>
    <row r="137" spans="1:9">
      <c r="A137" s="63">
        <v>45965</v>
      </c>
      <c r="B137" s="64">
        <v>0.54105324074074079</v>
      </c>
      <c r="C137" s="63">
        <v>45965</v>
      </c>
      <c r="D137" s="62" t="s">
        <v>406</v>
      </c>
      <c r="E137" s="62"/>
      <c r="F137" s="62" t="s">
        <v>407</v>
      </c>
      <c r="G137" s="62">
        <v>0</v>
      </c>
      <c r="H137" s="62">
        <v>808500</v>
      </c>
      <c r="I137" s="62">
        <v>4442080767.8000002</v>
      </c>
    </row>
    <row r="138" spans="1:9">
      <c r="A138" s="63">
        <v>45965</v>
      </c>
      <c r="B138" s="64">
        <v>0.54920138888888892</v>
      </c>
      <c r="C138" s="63">
        <v>45965</v>
      </c>
      <c r="D138" s="62" t="s">
        <v>408</v>
      </c>
      <c r="E138" s="62"/>
      <c r="F138" s="62" t="s">
        <v>409</v>
      </c>
      <c r="G138" s="62">
        <v>0</v>
      </c>
      <c r="H138" s="62">
        <v>808500</v>
      </c>
      <c r="I138" s="62">
        <v>4442889267.8000002</v>
      </c>
    </row>
    <row r="139" spans="1:9">
      <c r="A139" s="63">
        <v>45965</v>
      </c>
      <c r="B139" s="64">
        <v>0.58240740740740737</v>
      </c>
      <c r="C139" s="63">
        <v>45965</v>
      </c>
      <c r="D139" s="62" t="s">
        <v>410</v>
      </c>
      <c r="E139" s="62"/>
      <c r="F139" s="62" t="s">
        <v>411</v>
      </c>
      <c r="G139" s="62">
        <v>0</v>
      </c>
      <c r="H139" s="62">
        <v>1617000</v>
      </c>
      <c r="I139" s="62">
        <v>4451326267.8000002</v>
      </c>
    </row>
    <row r="140" spans="1:9">
      <c r="A140" s="63">
        <v>45965</v>
      </c>
      <c r="B140" s="64">
        <v>0.58322916666666669</v>
      </c>
      <c r="C140" s="63">
        <v>45965</v>
      </c>
      <c r="D140" s="62" t="s">
        <v>412</v>
      </c>
      <c r="E140" s="62"/>
      <c r="F140" s="62" t="s">
        <v>413</v>
      </c>
      <c r="G140" s="62">
        <v>0</v>
      </c>
      <c r="H140" s="62">
        <v>1450000</v>
      </c>
      <c r="I140" s="62">
        <v>4452776267.8000002</v>
      </c>
    </row>
    <row r="141" spans="1:9">
      <c r="A141" s="63">
        <v>45965</v>
      </c>
      <c r="B141" s="64">
        <v>0.58689814814814811</v>
      </c>
      <c r="C141" s="63">
        <v>45965</v>
      </c>
      <c r="D141" s="62" t="s">
        <v>414</v>
      </c>
      <c r="E141" s="62"/>
      <c r="F141" s="62" t="s">
        <v>415</v>
      </c>
      <c r="G141" s="62">
        <v>0</v>
      </c>
      <c r="H141" s="62">
        <v>1617000</v>
      </c>
      <c r="I141" s="62">
        <v>4454393267.8000002</v>
      </c>
    </row>
    <row r="142" spans="1:9">
      <c r="A142" s="63">
        <v>45965</v>
      </c>
      <c r="B142" s="64">
        <v>0.61917824074074079</v>
      </c>
      <c r="C142" s="63">
        <v>45965</v>
      </c>
      <c r="D142" s="62" t="s">
        <v>416</v>
      </c>
      <c r="E142" s="62"/>
      <c r="F142" s="62" t="s">
        <v>417</v>
      </c>
      <c r="G142" s="62">
        <v>0</v>
      </c>
      <c r="H142" s="62">
        <v>1400000</v>
      </c>
      <c r="I142" s="62">
        <v>4457210767.8000002</v>
      </c>
    </row>
    <row r="143" spans="1:9">
      <c r="A143" s="63">
        <v>45965</v>
      </c>
      <c r="B143" s="64">
        <v>0.63618055555555553</v>
      </c>
      <c r="C143" s="63">
        <v>45965</v>
      </c>
      <c r="D143" s="62" t="s">
        <v>418</v>
      </c>
      <c r="E143" s="62"/>
      <c r="F143" s="62" t="s">
        <v>419</v>
      </c>
      <c r="G143" s="62">
        <v>0</v>
      </c>
      <c r="H143" s="62">
        <v>1400000</v>
      </c>
      <c r="I143" s="62">
        <v>4460510767.8000002</v>
      </c>
    </row>
    <row r="144" spans="1:9">
      <c r="A144" s="63">
        <v>45965</v>
      </c>
      <c r="B144" s="64">
        <v>0.64872685185185186</v>
      </c>
      <c r="C144" s="63">
        <v>45965</v>
      </c>
      <c r="D144" s="62" t="s">
        <v>420</v>
      </c>
      <c r="E144" s="62"/>
      <c r="F144" s="62" t="s">
        <v>421</v>
      </c>
      <c r="G144" s="62">
        <v>0</v>
      </c>
      <c r="H144" s="62">
        <v>1617000</v>
      </c>
      <c r="I144" s="62">
        <v>4462127767.8000002</v>
      </c>
    </row>
    <row r="145" spans="1:9">
      <c r="A145" s="63">
        <v>45965</v>
      </c>
      <c r="B145" s="64">
        <v>0.64938657407407407</v>
      </c>
      <c r="C145" s="63">
        <v>45965</v>
      </c>
      <c r="D145" s="62" t="s">
        <v>422</v>
      </c>
      <c r="E145" s="62"/>
      <c r="F145" s="62" t="s">
        <v>421</v>
      </c>
      <c r="G145" s="62">
        <v>0</v>
      </c>
      <c r="H145" s="62">
        <v>1617000</v>
      </c>
      <c r="I145" s="62">
        <v>4463744767.8000002</v>
      </c>
    </row>
    <row r="146" spans="1:9">
      <c r="A146" s="63">
        <v>45965</v>
      </c>
      <c r="B146" s="64">
        <v>0.66431712962962963</v>
      </c>
      <c r="C146" s="63">
        <v>45965</v>
      </c>
      <c r="D146" s="62" t="s">
        <v>423</v>
      </c>
      <c r="E146" s="62"/>
      <c r="F146" s="62" t="s">
        <v>424</v>
      </c>
      <c r="G146" s="62">
        <v>0</v>
      </c>
      <c r="H146" s="62">
        <v>1400000</v>
      </c>
      <c r="I146" s="62">
        <v>4465144767.8000002</v>
      </c>
    </row>
    <row r="147" spans="1:9">
      <c r="A147" s="63">
        <v>45965</v>
      </c>
      <c r="B147" s="64">
        <v>0.68181712962962959</v>
      </c>
      <c r="C147" s="63">
        <v>45965</v>
      </c>
      <c r="D147" s="62" t="s">
        <v>425</v>
      </c>
      <c r="E147" s="62"/>
      <c r="F147" s="62" t="s">
        <v>426</v>
      </c>
      <c r="G147" s="62">
        <v>0</v>
      </c>
      <c r="H147" s="62">
        <v>1400000</v>
      </c>
      <c r="I147" s="62">
        <v>4467894767.8000002</v>
      </c>
    </row>
    <row r="148" spans="1:9">
      <c r="A148" s="63">
        <v>45965</v>
      </c>
      <c r="B148" s="64">
        <v>0.70578703703703705</v>
      </c>
      <c r="C148" s="63">
        <v>45965</v>
      </c>
      <c r="D148" s="62" t="s">
        <v>427</v>
      </c>
      <c r="E148" s="62"/>
      <c r="F148" s="62" t="s">
        <v>428</v>
      </c>
      <c r="G148" s="62">
        <v>0</v>
      </c>
      <c r="H148" s="62">
        <v>1450000</v>
      </c>
      <c r="I148" s="62">
        <v>4469344767.8000002</v>
      </c>
    </row>
    <row r="149" spans="1:9">
      <c r="A149" s="63">
        <v>45965</v>
      </c>
      <c r="B149" s="64">
        <v>0.7221643518518519</v>
      </c>
      <c r="C149" s="63">
        <v>45965</v>
      </c>
      <c r="D149" s="62" t="s">
        <v>429</v>
      </c>
      <c r="E149" s="62"/>
      <c r="F149" s="62" t="s">
        <v>430</v>
      </c>
      <c r="G149" s="62">
        <v>0</v>
      </c>
      <c r="H149" s="62">
        <v>1540000</v>
      </c>
      <c r="I149" s="62">
        <v>4470884767.8000002</v>
      </c>
    </row>
    <row r="150" spans="1:9">
      <c r="A150" s="63">
        <v>45965</v>
      </c>
      <c r="B150" s="64">
        <v>0.81311342592592595</v>
      </c>
      <c r="C150" s="63">
        <v>45965</v>
      </c>
      <c r="D150" s="62" t="s">
        <v>431</v>
      </c>
      <c r="E150" s="62"/>
      <c r="F150" s="62" t="s">
        <v>432</v>
      </c>
      <c r="G150" s="62">
        <v>0</v>
      </c>
      <c r="H150" s="62">
        <v>1400000</v>
      </c>
      <c r="I150" s="62">
        <v>4477859767.8000002</v>
      </c>
    </row>
    <row r="151" spans="1:9">
      <c r="A151" s="63">
        <v>45965</v>
      </c>
      <c r="B151" s="64">
        <v>0.83277777777777773</v>
      </c>
      <c r="C151" s="63">
        <v>45965</v>
      </c>
      <c r="D151" s="62" t="s">
        <v>433</v>
      </c>
      <c r="E151" s="62"/>
      <c r="F151" s="62" t="s">
        <v>89</v>
      </c>
      <c r="G151" s="62">
        <v>0</v>
      </c>
      <c r="H151" s="62">
        <v>1400000</v>
      </c>
      <c r="I151" s="62">
        <v>4480677267.8000002</v>
      </c>
    </row>
    <row r="152" spans="1:9">
      <c r="A152" s="63">
        <v>45965</v>
      </c>
      <c r="B152" s="64">
        <v>0.96199074074074076</v>
      </c>
      <c r="C152" s="63">
        <v>45965</v>
      </c>
      <c r="D152" s="62" t="s">
        <v>434</v>
      </c>
      <c r="E152" s="62"/>
      <c r="F152" s="62" t="s">
        <v>435</v>
      </c>
      <c r="G152" s="62">
        <v>0</v>
      </c>
      <c r="H152" s="62">
        <v>1400000</v>
      </c>
      <c r="I152" s="62">
        <v>4482077267.8000002</v>
      </c>
    </row>
    <row r="153" spans="1:9">
      <c r="A153" s="63">
        <v>45965</v>
      </c>
      <c r="B153" s="64">
        <v>0.96258101851851852</v>
      </c>
      <c r="C153" s="63">
        <v>45965</v>
      </c>
      <c r="D153" s="62" t="s">
        <v>436</v>
      </c>
      <c r="E153" s="62"/>
      <c r="F153" s="62" t="s">
        <v>437</v>
      </c>
      <c r="G153" s="62">
        <v>0</v>
      </c>
      <c r="H153" s="62">
        <v>1400000</v>
      </c>
      <c r="I153" s="62">
        <v>4483477267.8000002</v>
      </c>
    </row>
    <row r="154" spans="1:9">
      <c r="A154" s="63">
        <v>45966</v>
      </c>
      <c r="B154" s="64">
        <v>0.25307870370370372</v>
      </c>
      <c r="C154" s="63">
        <v>45966</v>
      </c>
      <c r="D154" s="62" t="s">
        <v>438</v>
      </c>
      <c r="E154" s="62"/>
      <c r="F154" s="62" t="s">
        <v>85</v>
      </c>
      <c r="G154" s="62">
        <v>0</v>
      </c>
      <c r="H154" s="62">
        <v>1400000</v>
      </c>
      <c r="I154" s="62">
        <v>4484877267.8000002</v>
      </c>
    </row>
    <row r="155" spans="1:9">
      <c r="A155" s="63">
        <v>45966</v>
      </c>
      <c r="B155" s="64">
        <v>0.28113425925925928</v>
      </c>
      <c r="C155" s="63">
        <v>45966</v>
      </c>
      <c r="D155" s="62" t="s">
        <v>439</v>
      </c>
      <c r="E155" s="62"/>
      <c r="F155" s="62" t="s">
        <v>440</v>
      </c>
      <c r="G155" s="62">
        <v>0</v>
      </c>
      <c r="H155" s="62">
        <v>1400000</v>
      </c>
      <c r="I155" s="62">
        <v>4486277267.8000002</v>
      </c>
    </row>
    <row r="156" spans="1:9">
      <c r="A156" s="63">
        <v>45966</v>
      </c>
      <c r="B156" s="64">
        <v>0.32543981481481482</v>
      </c>
      <c r="C156" s="63">
        <v>45966</v>
      </c>
      <c r="D156" s="62" t="s">
        <v>441</v>
      </c>
      <c r="E156" s="62"/>
      <c r="F156" s="62" t="s">
        <v>442</v>
      </c>
      <c r="G156" s="62">
        <v>0</v>
      </c>
      <c r="H156" s="62">
        <v>1450000</v>
      </c>
      <c r="I156" s="62">
        <v>4487727267.8000002</v>
      </c>
    </row>
    <row r="157" spans="1:9">
      <c r="A157" s="63">
        <v>45966</v>
      </c>
      <c r="B157" s="64">
        <v>0.35071759259259261</v>
      </c>
      <c r="C157" s="63">
        <v>45966</v>
      </c>
      <c r="D157" s="62" t="s">
        <v>443</v>
      </c>
      <c r="E157" s="62"/>
      <c r="F157" s="62" t="s">
        <v>122</v>
      </c>
      <c r="G157" s="62">
        <v>0</v>
      </c>
      <c r="H157" s="62">
        <v>1400000</v>
      </c>
      <c r="I157" s="62">
        <v>4491894767.8000002</v>
      </c>
    </row>
    <row r="158" spans="1:9">
      <c r="A158" s="63">
        <v>45966</v>
      </c>
      <c r="B158" s="64">
        <v>0.35280092592592593</v>
      </c>
      <c r="C158" s="63">
        <v>45966</v>
      </c>
      <c r="D158" s="62" t="s">
        <v>444</v>
      </c>
      <c r="E158" s="62"/>
      <c r="F158" s="62" t="s">
        <v>445</v>
      </c>
      <c r="G158" s="62">
        <v>0</v>
      </c>
      <c r="H158" s="62">
        <v>1450000</v>
      </c>
      <c r="I158" s="62">
        <v>4496112267.8000002</v>
      </c>
    </row>
    <row r="159" spans="1:9">
      <c r="A159" s="63">
        <v>45966</v>
      </c>
      <c r="B159" s="64">
        <v>0.4092824074074074</v>
      </c>
      <c r="C159" s="63">
        <v>45966</v>
      </c>
      <c r="D159" s="62" t="s">
        <v>446</v>
      </c>
      <c r="E159" s="62"/>
      <c r="F159" s="62" t="s">
        <v>447</v>
      </c>
      <c r="G159" s="62">
        <v>0</v>
      </c>
      <c r="H159" s="62">
        <v>1400000</v>
      </c>
      <c r="I159" s="62">
        <v>1500854767.8</v>
      </c>
    </row>
    <row r="160" spans="1:9">
      <c r="A160" s="63">
        <v>45966</v>
      </c>
      <c r="B160" s="64">
        <v>0.41065972222222225</v>
      </c>
      <c r="C160" s="63">
        <v>45966</v>
      </c>
      <c r="D160" s="62" t="s">
        <v>448</v>
      </c>
      <c r="E160" s="62"/>
      <c r="F160" s="62" t="s">
        <v>449</v>
      </c>
      <c r="G160" s="62">
        <v>0</v>
      </c>
      <c r="H160" s="62">
        <v>1400000</v>
      </c>
      <c r="I160" s="62">
        <v>1502254767.8</v>
      </c>
    </row>
    <row r="161" spans="1:9">
      <c r="A161" s="63">
        <v>45966</v>
      </c>
      <c r="B161" s="64">
        <v>0.42505787037037035</v>
      </c>
      <c r="C161" s="63">
        <v>45966</v>
      </c>
      <c r="D161" s="62" t="s">
        <v>450</v>
      </c>
      <c r="E161" s="62"/>
      <c r="F161" s="62" t="s">
        <v>78</v>
      </c>
      <c r="G161" s="62">
        <v>0</v>
      </c>
      <c r="H161" s="62">
        <v>1450000</v>
      </c>
      <c r="I161" s="62">
        <v>1503704767.8</v>
      </c>
    </row>
    <row r="162" spans="1:9">
      <c r="A162" s="63">
        <v>45966</v>
      </c>
      <c r="B162" s="64">
        <v>0.46560185185185188</v>
      </c>
      <c r="C162" s="63">
        <v>45966</v>
      </c>
      <c r="D162" s="62" t="s">
        <v>451</v>
      </c>
      <c r="E162" s="62"/>
      <c r="F162" s="62" t="s">
        <v>127</v>
      </c>
      <c r="G162" s="62">
        <v>0</v>
      </c>
      <c r="H162" s="62">
        <v>1617000</v>
      </c>
      <c r="I162" s="62">
        <v>1506421767.8</v>
      </c>
    </row>
    <row r="163" spans="1:9">
      <c r="A163" s="63">
        <v>45966</v>
      </c>
      <c r="B163" s="64">
        <v>0.47413194444444445</v>
      </c>
      <c r="C163" s="63">
        <v>45966</v>
      </c>
      <c r="D163" s="62" t="s">
        <v>452</v>
      </c>
      <c r="E163" s="62"/>
      <c r="F163" s="62" t="s">
        <v>130</v>
      </c>
      <c r="G163" s="62">
        <v>0</v>
      </c>
      <c r="H163" s="62">
        <v>1617000</v>
      </c>
      <c r="I163" s="62">
        <v>1515518767.8</v>
      </c>
    </row>
    <row r="164" spans="1:9">
      <c r="A164" s="63">
        <v>45966</v>
      </c>
      <c r="B164" s="64">
        <v>0.47447916666666667</v>
      </c>
      <c r="C164" s="63">
        <v>45966</v>
      </c>
      <c r="D164" s="62" t="s">
        <v>453</v>
      </c>
      <c r="E164" s="62"/>
      <c r="F164" s="62" t="s">
        <v>80</v>
      </c>
      <c r="G164" s="62">
        <v>0</v>
      </c>
      <c r="H164" s="62">
        <v>1400000</v>
      </c>
      <c r="I164" s="62">
        <v>1516918767.8</v>
      </c>
    </row>
    <row r="165" spans="1:9">
      <c r="A165" s="63">
        <v>45966</v>
      </c>
      <c r="B165" s="64">
        <v>0.50150462962962961</v>
      </c>
      <c r="C165" s="63">
        <v>45966</v>
      </c>
      <c r="D165" s="62" t="s">
        <v>454</v>
      </c>
      <c r="E165" s="62"/>
      <c r="F165" s="62" t="s">
        <v>148</v>
      </c>
      <c r="G165" s="62">
        <v>0</v>
      </c>
      <c r="H165" s="62">
        <v>1540000</v>
      </c>
      <c r="I165" s="62">
        <v>1520383767.8</v>
      </c>
    </row>
    <row r="166" spans="1:9">
      <c r="A166" s="63">
        <v>45966</v>
      </c>
      <c r="B166" s="64">
        <v>0.54280092592592588</v>
      </c>
      <c r="C166" s="63">
        <v>45966</v>
      </c>
      <c r="D166" s="62" t="s">
        <v>455</v>
      </c>
      <c r="E166" s="62"/>
      <c r="F166" s="62" t="s">
        <v>129</v>
      </c>
      <c r="G166" s="62">
        <v>0</v>
      </c>
      <c r="H166" s="62">
        <v>1400000</v>
      </c>
      <c r="I166" s="62">
        <v>1534848767.8</v>
      </c>
    </row>
    <row r="167" spans="1:9">
      <c r="A167" s="63">
        <v>45966</v>
      </c>
      <c r="B167" s="64">
        <v>0.55751157407407403</v>
      </c>
      <c r="C167" s="63">
        <v>45966</v>
      </c>
      <c r="D167" s="62" t="s">
        <v>456</v>
      </c>
      <c r="E167" s="62"/>
      <c r="F167" s="62" t="s">
        <v>79</v>
      </c>
      <c r="G167" s="62">
        <v>0</v>
      </c>
      <c r="H167" s="62">
        <v>1400000</v>
      </c>
      <c r="I167" s="62">
        <v>1539348767.8</v>
      </c>
    </row>
    <row r="168" spans="1:9">
      <c r="A168" s="63">
        <v>45966</v>
      </c>
      <c r="B168" s="64">
        <v>0.57373842592592594</v>
      </c>
      <c r="C168" s="63">
        <v>45966</v>
      </c>
      <c r="D168" s="62" t="s">
        <v>457</v>
      </c>
      <c r="E168" s="62"/>
      <c r="F168" s="62" t="s">
        <v>458</v>
      </c>
      <c r="G168" s="62">
        <v>0</v>
      </c>
      <c r="H168" s="62">
        <v>1540000</v>
      </c>
      <c r="I168" s="62">
        <v>1542043767.8</v>
      </c>
    </row>
    <row r="169" spans="1:9">
      <c r="A169" s="63">
        <v>45966</v>
      </c>
      <c r="B169" s="64">
        <v>0.62717592592592597</v>
      </c>
      <c r="C169" s="63">
        <v>45966</v>
      </c>
      <c r="D169" s="62" t="s">
        <v>459</v>
      </c>
      <c r="E169" s="62"/>
      <c r="F169" s="62" t="s">
        <v>460</v>
      </c>
      <c r="G169" s="62">
        <v>0</v>
      </c>
      <c r="H169" s="62">
        <v>2800000</v>
      </c>
      <c r="I169" s="62">
        <v>1546933767.8</v>
      </c>
    </row>
    <row r="170" spans="1:9">
      <c r="A170" s="63">
        <v>45966</v>
      </c>
      <c r="B170" s="64">
        <v>0.62870370370370365</v>
      </c>
      <c r="C170" s="63">
        <v>45966</v>
      </c>
      <c r="D170" s="62" t="s">
        <v>461</v>
      </c>
      <c r="E170" s="62"/>
      <c r="F170" s="62" t="s">
        <v>462</v>
      </c>
      <c r="G170" s="62">
        <v>0</v>
      </c>
      <c r="H170" s="62">
        <v>2800000</v>
      </c>
      <c r="I170" s="62">
        <v>1549733767.8</v>
      </c>
    </row>
    <row r="171" spans="1:9">
      <c r="A171" s="63">
        <v>45966</v>
      </c>
      <c r="B171" s="64">
        <v>0.65810185185185188</v>
      </c>
      <c r="C171" s="63">
        <v>45966</v>
      </c>
      <c r="D171" s="62" t="s">
        <v>463</v>
      </c>
      <c r="E171" s="62"/>
      <c r="F171" s="62" t="s">
        <v>464</v>
      </c>
      <c r="G171" s="62">
        <v>0</v>
      </c>
      <c r="H171" s="62">
        <v>1400000</v>
      </c>
      <c r="I171" s="62">
        <v>1551133767.8</v>
      </c>
    </row>
    <row r="172" spans="1:9">
      <c r="A172" s="63">
        <v>45966</v>
      </c>
      <c r="B172" s="64">
        <v>0.68918981481481478</v>
      </c>
      <c r="C172" s="63">
        <v>45966</v>
      </c>
      <c r="D172" s="62" t="s">
        <v>465</v>
      </c>
      <c r="E172" s="62"/>
      <c r="F172" s="62" t="s">
        <v>466</v>
      </c>
      <c r="G172" s="62">
        <v>0</v>
      </c>
      <c r="H172" s="62">
        <v>1450000</v>
      </c>
      <c r="I172" s="62">
        <v>1552583767.8</v>
      </c>
    </row>
    <row r="173" spans="1:9">
      <c r="A173" s="63">
        <v>45966</v>
      </c>
      <c r="B173" s="64">
        <v>0.71728009259259262</v>
      </c>
      <c r="C173" s="63">
        <v>45966</v>
      </c>
      <c r="D173" s="62" t="s">
        <v>467</v>
      </c>
      <c r="E173" s="62"/>
      <c r="F173" s="62" t="s">
        <v>77</v>
      </c>
      <c r="G173" s="62">
        <v>0</v>
      </c>
      <c r="H173" s="62">
        <v>1400000</v>
      </c>
      <c r="I173" s="62">
        <v>1553983767.8</v>
      </c>
    </row>
    <row r="174" spans="1:9">
      <c r="A174" s="63">
        <v>45966</v>
      </c>
      <c r="B174" s="64">
        <v>0.76386574074074076</v>
      </c>
      <c r="C174" s="63">
        <v>45966</v>
      </c>
      <c r="D174" s="62" t="s">
        <v>468</v>
      </c>
      <c r="E174" s="62"/>
      <c r="F174" s="62" t="s">
        <v>469</v>
      </c>
      <c r="G174" s="62">
        <v>0</v>
      </c>
      <c r="H174" s="62">
        <v>1540000</v>
      </c>
      <c r="I174" s="62">
        <v>1555523767.8</v>
      </c>
    </row>
    <row r="175" spans="1:9">
      <c r="A175" s="63">
        <v>45966</v>
      </c>
      <c r="B175" s="64">
        <v>0.78200231481481486</v>
      </c>
      <c r="C175" s="63">
        <v>45966</v>
      </c>
      <c r="D175" s="62" t="s">
        <v>470</v>
      </c>
      <c r="E175" s="62"/>
      <c r="F175" s="62" t="s">
        <v>471</v>
      </c>
      <c r="G175" s="62">
        <v>0</v>
      </c>
      <c r="H175" s="62">
        <v>1550000</v>
      </c>
      <c r="I175" s="62">
        <v>1557073767.8</v>
      </c>
    </row>
    <row r="176" spans="1:9">
      <c r="A176" s="63">
        <v>45966</v>
      </c>
      <c r="B176" s="64">
        <v>0.80141203703703701</v>
      </c>
      <c r="C176" s="63">
        <v>45966</v>
      </c>
      <c r="D176" s="62" t="s">
        <v>472</v>
      </c>
      <c r="E176" s="62"/>
      <c r="F176" s="62" t="s">
        <v>163</v>
      </c>
      <c r="G176" s="62">
        <v>0</v>
      </c>
      <c r="H176" s="62">
        <v>1400000</v>
      </c>
      <c r="I176" s="62">
        <v>1558473767.8</v>
      </c>
    </row>
    <row r="177" spans="1:9">
      <c r="A177" s="63">
        <v>45966</v>
      </c>
      <c r="B177" s="64">
        <v>0.86447916666666669</v>
      </c>
      <c r="C177" s="63">
        <v>45966</v>
      </c>
      <c r="D177" s="62" t="s">
        <v>473</v>
      </c>
      <c r="E177" s="62"/>
      <c r="F177" s="62" t="s">
        <v>474</v>
      </c>
      <c r="G177" s="62">
        <v>0</v>
      </c>
      <c r="H177" s="62">
        <v>1400000</v>
      </c>
      <c r="I177" s="62">
        <v>1559873767.8</v>
      </c>
    </row>
    <row r="178" spans="1:9">
      <c r="A178" s="63">
        <v>45966</v>
      </c>
      <c r="B178" s="64">
        <v>0.92886574074074069</v>
      </c>
      <c r="C178" s="63">
        <v>45966</v>
      </c>
      <c r="D178" s="62" t="s">
        <v>475</v>
      </c>
      <c r="E178" s="62"/>
      <c r="F178" s="62" t="s">
        <v>476</v>
      </c>
      <c r="G178" s="62">
        <v>0</v>
      </c>
      <c r="H178" s="62">
        <v>1450000</v>
      </c>
      <c r="I178" s="62">
        <v>1561323767.8</v>
      </c>
    </row>
    <row r="179" spans="1:9">
      <c r="A179" s="63">
        <v>45967</v>
      </c>
      <c r="B179" s="64">
        <v>0.24674768518518519</v>
      </c>
      <c r="C179" s="63">
        <v>45967</v>
      </c>
      <c r="D179" s="62" t="s">
        <v>477</v>
      </c>
      <c r="E179" s="62"/>
      <c r="F179" s="62" t="s">
        <v>478</v>
      </c>
      <c r="G179" s="62">
        <v>0</v>
      </c>
      <c r="H179" s="62">
        <v>1400000</v>
      </c>
      <c r="I179" s="62">
        <v>1565491267.8</v>
      </c>
    </row>
    <row r="180" spans="1:9">
      <c r="A180" s="63">
        <v>45967</v>
      </c>
      <c r="B180" s="64">
        <v>0.27637731481481481</v>
      </c>
      <c r="C180" s="63">
        <v>45967</v>
      </c>
      <c r="D180" s="62" t="s">
        <v>479</v>
      </c>
      <c r="E180" s="62"/>
      <c r="F180" s="62" t="s">
        <v>82</v>
      </c>
      <c r="G180" s="62">
        <v>0</v>
      </c>
      <c r="H180" s="62">
        <v>1400000</v>
      </c>
      <c r="I180" s="62">
        <v>1569385023.8</v>
      </c>
    </row>
    <row r="181" spans="1:9">
      <c r="A181" s="63">
        <v>45967</v>
      </c>
      <c r="B181" s="64">
        <v>0.27687499999999998</v>
      </c>
      <c r="C181" s="63">
        <v>45967</v>
      </c>
      <c r="D181" s="62" t="s">
        <v>480</v>
      </c>
      <c r="E181" s="62"/>
      <c r="F181" s="62" t="s">
        <v>83</v>
      </c>
      <c r="G181" s="62">
        <v>0</v>
      </c>
      <c r="H181" s="62">
        <v>1540000</v>
      </c>
      <c r="I181" s="62">
        <v>1570925023.8</v>
      </c>
    </row>
    <row r="182" spans="1:9">
      <c r="A182" s="63">
        <v>45967</v>
      </c>
      <c r="B182" s="64">
        <v>0.52306712962962965</v>
      </c>
      <c r="C182" s="63">
        <v>45967</v>
      </c>
      <c r="D182" s="62" t="s">
        <v>481</v>
      </c>
      <c r="E182" s="62"/>
      <c r="F182" s="62" t="s">
        <v>482</v>
      </c>
      <c r="G182" s="62">
        <v>0</v>
      </c>
      <c r="H182" s="62">
        <v>1540000</v>
      </c>
      <c r="I182" s="62">
        <v>1587007523.8</v>
      </c>
    </row>
    <row r="183" spans="1:9">
      <c r="A183" s="63">
        <v>45967</v>
      </c>
      <c r="B183" s="64">
        <v>0.53017361111111116</v>
      </c>
      <c r="C183" s="63">
        <v>45967</v>
      </c>
      <c r="D183" s="62" t="s">
        <v>483</v>
      </c>
      <c r="E183" s="62"/>
      <c r="F183" s="62" t="s">
        <v>484</v>
      </c>
      <c r="G183" s="62">
        <v>0</v>
      </c>
      <c r="H183" s="62">
        <v>1450000</v>
      </c>
      <c r="I183" s="62">
        <v>1588457523.8</v>
      </c>
    </row>
    <row r="184" spans="1:9">
      <c r="A184" s="63">
        <v>45967</v>
      </c>
      <c r="B184" s="64">
        <v>0.55768518518518517</v>
      </c>
      <c r="C184" s="63">
        <v>45967</v>
      </c>
      <c r="D184" s="62" t="s">
        <v>485</v>
      </c>
      <c r="E184" s="62"/>
      <c r="F184" s="62" t="s">
        <v>486</v>
      </c>
      <c r="G184" s="62">
        <v>0</v>
      </c>
      <c r="H184" s="62">
        <v>1400000</v>
      </c>
      <c r="I184" s="62">
        <v>1589857523.8</v>
      </c>
    </row>
    <row r="185" spans="1:9">
      <c r="A185" s="63">
        <v>45967</v>
      </c>
      <c r="B185" s="64">
        <v>0.55892361111111111</v>
      </c>
      <c r="C185" s="63">
        <v>45967</v>
      </c>
      <c r="D185" s="62" t="s">
        <v>487</v>
      </c>
      <c r="E185" s="62"/>
      <c r="F185" s="62" t="s">
        <v>488</v>
      </c>
      <c r="G185" s="62">
        <v>0</v>
      </c>
      <c r="H185" s="62">
        <v>1540000</v>
      </c>
      <c r="I185" s="62">
        <v>1591397523.8</v>
      </c>
    </row>
    <row r="186" spans="1:9">
      <c r="A186" s="63">
        <v>45967</v>
      </c>
      <c r="B186" s="64">
        <v>0.57059027777777782</v>
      </c>
      <c r="C186" s="63">
        <v>45967</v>
      </c>
      <c r="D186" s="62" t="s">
        <v>489</v>
      </c>
      <c r="E186" s="62"/>
      <c r="F186" s="62" t="s">
        <v>490</v>
      </c>
      <c r="G186" s="62">
        <v>0</v>
      </c>
      <c r="H186" s="62">
        <v>1450000</v>
      </c>
      <c r="I186" s="62">
        <v>1594527523.8</v>
      </c>
    </row>
    <row r="187" spans="1:9">
      <c r="A187" s="63">
        <v>45967</v>
      </c>
      <c r="B187" s="64">
        <v>0.6758912037037037</v>
      </c>
      <c r="C187" s="63">
        <v>45967</v>
      </c>
      <c r="D187" s="62" t="s">
        <v>491</v>
      </c>
      <c r="E187" s="62"/>
      <c r="F187" s="62" t="s">
        <v>492</v>
      </c>
      <c r="G187" s="62">
        <v>0</v>
      </c>
      <c r="H187" s="62">
        <v>1400000</v>
      </c>
      <c r="I187" s="62">
        <v>1599245023.8</v>
      </c>
    </row>
    <row r="188" spans="1:9">
      <c r="A188" s="63">
        <v>45967</v>
      </c>
      <c r="B188" s="64">
        <v>0.69355324074074076</v>
      </c>
      <c r="C188" s="63">
        <v>45967</v>
      </c>
      <c r="D188" s="62" t="s">
        <v>493</v>
      </c>
      <c r="E188" s="62"/>
      <c r="F188" s="62" t="s">
        <v>494</v>
      </c>
      <c r="G188" s="62">
        <v>0</v>
      </c>
      <c r="H188" s="62">
        <v>1617000</v>
      </c>
      <c r="I188" s="62">
        <v>1600862023.8</v>
      </c>
    </row>
    <row r="189" spans="1:9">
      <c r="A189" s="63">
        <v>45967</v>
      </c>
      <c r="B189" s="64">
        <v>0.72424768518518523</v>
      </c>
      <c r="C189" s="63">
        <v>45967</v>
      </c>
      <c r="D189" s="62" t="s">
        <v>495</v>
      </c>
      <c r="E189" s="62"/>
      <c r="F189" s="62" t="s">
        <v>496</v>
      </c>
      <c r="G189" s="62">
        <v>0</v>
      </c>
      <c r="H189" s="62">
        <v>1540000</v>
      </c>
      <c r="I189" s="62">
        <v>1604152023.8</v>
      </c>
    </row>
    <row r="190" spans="1:9">
      <c r="A190" s="63">
        <v>45967</v>
      </c>
      <c r="B190" s="64">
        <v>0.78355324074074073</v>
      </c>
      <c r="C190" s="63">
        <v>45967</v>
      </c>
      <c r="D190" s="62" t="s">
        <v>497</v>
      </c>
      <c r="E190" s="62"/>
      <c r="F190" s="62" t="s">
        <v>498</v>
      </c>
      <c r="G190" s="62">
        <v>0</v>
      </c>
      <c r="H190" s="62">
        <v>1540000</v>
      </c>
      <c r="I190" s="62">
        <v>1605692023.8</v>
      </c>
    </row>
    <row r="191" spans="1:9">
      <c r="A191" s="63">
        <v>45967</v>
      </c>
      <c r="B191" s="64">
        <v>0.89376157407407408</v>
      </c>
      <c r="C191" s="63">
        <v>45967</v>
      </c>
      <c r="D191" s="62" t="s">
        <v>499</v>
      </c>
      <c r="E191" s="62"/>
      <c r="F191" s="62" t="s">
        <v>500</v>
      </c>
      <c r="G191" s="62">
        <v>0</v>
      </c>
      <c r="H191" s="62">
        <v>1617000</v>
      </c>
      <c r="I191" s="62">
        <v>1609209023.8</v>
      </c>
    </row>
    <row r="192" spans="1:9">
      <c r="A192" s="63">
        <v>45967</v>
      </c>
      <c r="B192" s="64">
        <v>0.9167939814814815</v>
      </c>
      <c r="C192" s="63">
        <v>45967</v>
      </c>
      <c r="D192" s="62" t="s">
        <v>501</v>
      </c>
      <c r="E192" s="62"/>
      <c r="F192" s="62" t="s">
        <v>502</v>
      </c>
      <c r="G192" s="62">
        <v>0</v>
      </c>
      <c r="H192" s="62">
        <v>1540000</v>
      </c>
      <c r="I192" s="62">
        <v>1610749023.8</v>
      </c>
    </row>
    <row r="193" spans="1:9">
      <c r="A193" s="63">
        <v>45967</v>
      </c>
      <c r="B193" s="64">
        <v>0.92575231481481479</v>
      </c>
      <c r="C193" s="63">
        <v>45967</v>
      </c>
      <c r="D193" s="62" t="s">
        <v>503</v>
      </c>
      <c r="E193" s="62"/>
      <c r="F193" s="62" t="s">
        <v>504</v>
      </c>
      <c r="G193" s="62">
        <v>0</v>
      </c>
      <c r="H193" s="62">
        <v>1400000</v>
      </c>
      <c r="I193" s="62">
        <v>1612149023.8</v>
      </c>
    </row>
    <row r="194" spans="1:9">
      <c r="A194" s="63">
        <v>45968</v>
      </c>
      <c r="B194" s="64">
        <v>5.486111111111111E-2</v>
      </c>
      <c r="C194" s="63">
        <v>45968</v>
      </c>
      <c r="D194" s="62" t="s">
        <v>505</v>
      </c>
      <c r="E194" s="62"/>
      <c r="F194" s="62" t="s">
        <v>506</v>
      </c>
      <c r="G194" s="62">
        <v>0</v>
      </c>
      <c r="H194" s="62">
        <v>1400000</v>
      </c>
      <c r="I194" s="62">
        <v>1613549023.8</v>
      </c>
    </row>
    <row r="195" spans="1:9">
      <c r="A195" s="63">
        <v>45968</v>
      </c>
      <c r="B195" s="64">
        <v>0.22768518518518518</v>
      </c>
      <c r="C195" s="63">
        <v>45968</v>
      </c>
      <c r="D195" s="62" t="s">
        <v>507</v>
      </c>
      <c r="E195" s="62"/>
      <c r="F195" s="62" t="s">
        <v>508</v>
      </c>
      <c r="G195" s="62">
        <v>0</v>
      </c>
      <c r="H195" s="62">
        <v>1400000</v>
      </c>
      <c r="I195" s="62">
        <v>1614949023.8</v>
      </c>
    </row>
    <row r="196" spans="1:9">
      <c r="A196" s="63">
        <v>45968</v>
      </c>
      <c r="B196" s="64">
        <v>0.26115740740740739</v>
      </c>
      <c r="C196" s="63">
        <v>45968</v>
      </c>
      <c r="D196" s="62" t="s">
        <v>509</v>
      </c>
      <c r="E196" s="62"/>
      <c r="F196" s="62" t="s">
        <v>510</v>
      </c>
      <c r="G196" s="62">
        <v>0</v>
      </c>
      <c r="H196" s="62">
        <v>1400000</v>
      </c>
      <c r="I196" s="62">
        <v>1616349023.8</v>
      </c>
    </row>
    <row r="197" spans="1:9">
      <c r="A197" s="63">
        <v>45968</v>
      </c>
      <c r="B197" s="64">
        <v>0.26250000000000001</v>
      </c>
      <c r="C197" s="63">
        <v>45968</v>
      </c>
      <c r="D197" s="62" t="s">
        <v>511</v>
      </c>
      <c r="E197" s="62"/>
      <c r="F197" s="62" t="s">
        <v>512</v>
      </c>
      <c r="G197" s="62">
        <v>0</v>
      </c>
      <c r="H197" s="62">
        <v>1540000</v>
      </c>
      <c r="I197" s="62">
        <v>1617889023.8</v>
      </c>
    </row>
    <row r="198" spans="1:9">
      <c r="A198" s="63">
        <v>45968</v>
      </c>
      <c r="B198" s="64">
        <v>0.26538194444444446</v>
      </c>
      <c r="C198" s="63">
        <v>45968</v>
      </c>
      <c r="D198" s="62" t="s">
        <v>513</v>
      </c>
      <c r="E198" s="62"/>
      <c r="F198" s="62" t="s">
        <v>514</v>
      </c>
      <c r="G198" s="62">
        <v>0</v>
      </c>
      <c r="H198" s="62">
        <v>1617000</v>
      </c>
      <c r="I198" s="62">
        <v>1620856023.8</v>
      </c>
    </row>
    <row r="199" spans="1:9">
      <c r="A199" s="63">
        <v>45968</v>
      </c>
      <c r="B199" s="64">
        <v>0.26802083333333332</v>
      </c>
      <c r="C199" s="63">
        <v>45968</v>
      </c>
      <c r="D199" s="62" t="s">
        <v>515</v>
      </c>
      <c r="E199" s="62"/>
      <c r="F199" s="62" t="s">
        <v>516</v>
      </c>
      <c r="G199" s="62">
        <v>0</v>
      </c>
      <c r="H199" s="62">
        <v>1450000</v>
      </c>
      <c r="I199" s="62">
        <v>1624056023.8</v>
      </c>
    </row>
    <row r="200" spans="1:9">
      <c r="A200" s="63">
        <v>45968</v>
      </c>
      <c r="B200" s="64">
        <v>0.34719907407407408</v>
      </c>
      <c r="C200" s="63">
        <v>45968</v>
      </c>
      <c r="D200" s="62" t="s">
        <v>517</v>
      </c>
      <c r="E200" s="62"/>
      <c r="F200" s="62" t="s">
        <v>518</v>
      </c>
      <c r="G200" s="62">
        <v>0</v>
      </c>
      <c r="H200" s="62">
        <v>1400000</v>
      </c>
      <c r="I200" s="62">
        <v>1625456023.8</v>
      </c>
    </row>
    <row r="201" spans="1:9">
      <c r="A201" s="63">
        <v>45968</v>
      </c>
      <c r="B201" s="64">
        <v>0.36890046296296297</v>
      </c>
      <c r="C201" s="63">
        <v>45968</v>
      </c>
      <c r="D201" s="62" t="s">
        <v>519</v>
      </c>
      <c r="E201" s="62"/>
      <c r="F201" s="62" t="s">
        <v>520</v>
      </c>
      <c r="G201" s="62">
        <v>0</v>
      </c>
      <c r="H201" s="62">
        <v>1400000</v>
      </c>
      <c r="I201" s="62">
        <v>1632623523.8</v>
      </c>
    </row>
    <row r="202" spans="1:9">
      <c r="A202" s="63">
        <v>45968</v>
      </c>
      <c r="B202" s="64">
        <v>0.42023148148148148</v>
      </c>
      <c r="C202" s="63">
        <v>45968</v>
      </c>
      <c r="D202" s="62" t="s">
        <v>521</v>
      </c>
      <c r="E202" s="62"/>
      <c r="F202" s="62" t="s">
        <v>522</v>
      </c>
      <c r="G202" s="62">
        <v>0</v>
      </c>
      <c r="H202" s="62">
        <v>2800000</v>
      </c>
      <c r="I202" s="62">
        <v>1636578523.8</v>
      </c>
    </row>
    <row r="203" spans="1:9">
      <c r="A203" s="63">
        <v>45968</v>
      </c>
      <c r="B203" s="64">
        <v>0.42194444444444446</v>
      </c>
      <c r="C203" s="63">
        <v>45968</v>
      </c>
      <c r="D203" s="62" t="s">
        <v>523</v>
      </c>
      <c r="E203" s="62"/>
      <c r="F203" s="62" t="s">
        <v>167</v>
      </c>
      <c r="G203" s="62">
        <v>0</v>
      </c>
      <c r="H203" s="62">
        <v>1400000</v>
      </c>
      <c r="I203" s="62">
        <v>1637978523.8</v>
      </c>
    </row>
    <row r="204" spans="1:9">
      <c r="A204" s="63">
        <v>45968</v>
      </c>
      <c r="B204" s="64">
        <v>0.45869212962962963</v>
      </c>
      <c r="C204" s="63">
        <v>45968</v>
      </c>
      <c r="D204" s="62" t="s">
        <v>524</v>
      </c>
      <c r="E204" s="62"/>
      <c r="F204" s="62" t="s">
        <v>177</v>
      </c>
      <c r="G204" s="62">
        <v>0</v>
      </c>
      <c r="H204" s="62">
        <v>1400000</v>
      </c>
      <c r="I204" s="62">
        <v>1639378523.8</v>
      </c>
    </row>
    <row r="205" spans="1:9">
      <c r="A205" s="63">
        <v>45968</v>
      </c>
      <c r="B205" s="64">
        <v>0.46309027777777778</v>
      </c>
      <c r="C205" s="63">
        <v>45968</v>
      </c>
      <c r="D205" s="62" t="s">
        <v>525</v>
      </c>
      <c r="E205" s="62"/>
      <c r="F205" s="62" t="s">
        <v>84</v>
      </c>
      <c r="G205" s="62">
        <v>0</v>
      </c>
      <c r="H205" s="62">
        <v>1400000</v>
      </c>
      <c r="I205" s="62">
        <v>1642458523.8</v>
      </c>
    </row>
    <row r="206" spans="1:9">
      <c r="A206" s="63">
        <v>45968</v>
      </c>
      <c r="B206" s="64">
        <v>0.48949074074074073</v>
      </c>
      <c r="C206" s="63">
        <v>45968</v>
      </c>
      <c r="D206" s="62" t="s">
        <v>526</v>
      </c>
      <c r="E206" s="62"/>
      <c r="F206" s="62" t="s">
        <v>527</v>
      </c>
      <c r="G206" s="62">
        <v>0</v>
      </c>
      <c r="H206" s="62">
        <v>1540000</v>
      </c>
      <c r="I206" s="62">
        <v>1643998523.8</v>
      </c>
    </row>
    <row r="207" spans="1:9">
      <c r="A207" s="63">
        <v>45968</v>
      </c>
      <c r="B207" s="64">
        <v>0.50640046296296293</v>
      </c>
      <c r="C207" s="63">
        <v>45968</v>
      </c>
      <c r="D207" s="62" t="s">
        <v>528</v>
      </c>
      <c r="E207" s="62"/>
      <c r="F207" s="62" t="s">
        <v>529</v>
      </c>
      <c r="G207" s="62">
        <v>0</v>
      </c>
      <c r="H207" s="62">
        <v>1400000</v>
      </c>
      <c r="I207" s="62">
        <v>1645398523.8</v>
      </c>
    </row>
    <row r="208" spans="1:9">
      <c r="A208" s="63">
        <v>45968</v>
      </c>
      <c r="B208" s="64">
        <v>0.53545138888888888</v>
      </c>
      <c r="C208" s="63">
        <v>45968</v>
      </c>
      <c r="D208" s="62" t="s">
        <v>530</v>
      </c>
      <c r="E208" s="62"/>
      <c r="F208" s="62" t="s">
        <v>531</v>
      </c>
      <c r="G208" s="62">
        <v>0</v>
      </c>
      <c r="H208" s="62">
        <v>1450000</v>
      </c>
      <c r="I208" s="62">
        <v>1648598523.8</v>
      </c>
    </row>
    <row r="209" spans="1:9">
      <c r="A209" s="63">
        <v>45968</v>
      </c>
      <c r="B209" s="64">
        <v>0.5606944444444445</v>
      </c>
      <c r="C209" s="63">
        <v>45968</v>
      </c>
      <c r="D209" s="62" t="s">
        <v>532</v>
      </c>
      <c r="E209" s="62"/>
      <c r="F209" s="62" t="s">
        <v>165</v>
      </c>
      <c r="G209" s="62">
        <v>0</v>
      </c>
      <c r="H209" s="62">
        <v>1400000</v>
      </c>
      <c r="I209" s="62">
        <v>1651748523.8</v>
      </c>
    </row>
    <row r="210" spans="1:9">
      <c r="A210" s="63">
        <v>45968</v>
      </c>
      <c r="B210" s="64">
        <v>0.56116898148148153</v>
      </c>
      <c r="C210" s="63">
        <v>45968</v>
      </c>
      <c r="D210" s="62" t="s">
        <v>533</v>
      </c>
      <c r="E210" s="62"/>
      <c r="F210" s="62" t="s">
        <v>166</v>
      </c>
      <c r="G210" s="62">
        <v>0</v>
      </c>
      <c r="H210" s="62">
        <v>1540000</v>
      </c>
      <c r="I210" s="62">
        <v>1653288523.8</v>
      </c>
    </row>
    <row r="211" spans="1:9">
      <c r="A211" s="63">
        <v>45968</v>
      </c>
      <c r="B211" s="64">
        <v>0.57121527777777781</v>
      </c>
      <c r="C211" s="63">
        <v>45968</v>
      </c>
      <c r="D211" s="62" t="s">
        <v>534</v>
      </c>
      <c r="E211" s="62"/>
      <c r="F211" s="62" t="s">
        <v>535</v>
      </c>
      <c r="G211" s="62">
        <v>0</v>
      </c>
      <c r="H211" s="62">
        <v>1450000</v>
      </c>
      <c r="I211" s="62">
        <v>1656828523.8</v>
      </c>
    </row>
    <row r="212" spans="1:9">
      <c r="A212" s="63">
        <v>45968</v>
      </c>
      <c r="B212" s="64">
        <v>0.57328703703703698</v>
      </c>
      <c r="C212" s="63">
        <v>45968</v>
      </c>
      <c r="D212" s="62" t="s">
        <v>536</v>
      </c>
      <c r="E212" s="62"/>
      <c r="F212" s="62" t="s">
        <v>537</v>
      </c>
      <c r="G212" s="62">
        <v>0</v>
      </c>
      <c r="H212" s="62">
        <v>1400000</v>
      </c>
      <c r="I212" s="62">
        <v>1658228523.8</v>
      </c>
    </row>
    <row r="213" spans="1:9">
      <c r="A213" s="63">
        <v>45968</v>
      </c>
      <c r="B213" s="64">
        <v>0.59185185185185185</v>
      </c>
      <c r="C213" s="63">
        <v>45968</v>
      </c>
      <c r="D213" s="62" t="s">
        <v>538</v>
      </c>
      <c r="E213" s="62"/>
      <c r="F213" s="62" t="s">
        <v>539</v>
      </c>
      <c r="G213" s="62">
        <v>0</v>
      </c>
      <c r="H213" s="62">
        <v>1450000</v>
      </c>
      <c r="I213" s="62">
        <v>1659678523.8</v>
      </c>
    </row>
    <row r="214" spans="1:9">
      <c r="A214" s="63">
        <v>45968</v>
      </c>
      <c r="B214" s="64">
        <v>0.64740740740740743</v>
      </c>
      <c r="C214" s="63">
        <v>45968</v>
      </c>
      <c r="D214" s="62" t="s">
        <v>540</v>
      </c>
      <c r="E214" s="62"/>
      <c r="F214" s="62" t="s">
        <v>541</v>
      </c>
      <c r="G214" s="62">
        <v>0</v>
      </c>
      <c r="H214" s="62">
        <v>1617000</v>
      </c>
      <c r="I214" s="62">
        <v>1662735523.8</v>
      </c>
    </row>
    <row r="215" spans="1:9">
      <c r="A215" s="63">
        <v>45968</v>
      </c>
      <c r="B215" s="64">
        <v>0.6937268518518519</v>
      </c>
      <c r="C215" s="63">
        <v>45968</v>
      </c>
      <c r="D215" s="62" t="s">
        <v>542</v>
      </c>
      <c r="E215" s="62"/>
      <c r="F215" s="62" t="s">
        <v>543</v>
      </c>
      <c r="G215" s="62">
        <v>0</v>
      </c>
      <c r="H215" s="62">
        <v>1400000</v>
      </c>
      <c r="I215" s="62">
        <v>1664135523.8</v>
      </c>
    </row>
    <row r="216" spans="1:9">
      <c r="A216" s="63">
        <v>45968</v>
      </c>
      <c r="B216" s="64">
        <v>0.71021990740740737</v>
      </c>
      <c r="C216" s="63">
        <v>45968</v>
      </c>
      <c r="D216" s="62" t="s">
        <v>544</v>
      </c>
      <c r="E216" s="62"/>
      <c r="F216" s="62" t="s">
        <v>545</v>
      </c>
      <c r="G216" s="62">
        <v>0</v>
      </c>
      <c r="H216" s="62">
        <v>1540000</v>
      </c>
      <c r="I216" s="62">
        <v>1665675523.8</v>
      </c>
    </row>
    <row r="217" spans="1:9">
      <c r="A217" s="63">
        <v>45968</v>
      </c>
      <c r="B217" s="64">
        <v>0.71947916666666667</v>
      </c>
      <c r="C217" s="63">
        <v>45968</v>
      </c>
      <c r="D217" s="62" t="s">
        <v>546</v>
      </c>
      <c r="E217" s="62"/>
      <c r="F217" s="62" t="s">
        <v>547</v>
      </c>
      <c r="G217" s="62">
        <v>0</v>
      </c>
      <c r="H217" s="62">
        <v>1400000</v>
      </c>
      <c r="I217" s="62">
        <v>1667075523.8</v>
      </c>
    </row>
    <row r="218" spans="1:9">
      <c r="A218" s="63">
        <v>45968</v>
      </c>
      <c r="B218" s="64">
        <v>0.76334490740740746</v>
      </c>
      <c r="C218" s="63">
        <v>45968</v>
      </c>
      <c r="D218" s="62" t="s">
        <v>548</v>
      </c>
      <c r="E218" s="62"/>
      <c r="F218" s="62" t="s">
        <v>112</v>
      </c>
      <c r="G218" s="62">
        <v>0</v>
      </c>
      <c r="H218" s="62">
        <v>1400000</v>
      </c>
      <c r="I218" s="62">
        <v>1671380523.8</v>
      </c>
    </row>
    <row r="219" spans="1:9">
      <c r="A219" s="63">
        <v>45968</v>
      </c>
      <c r="B219" s="64">
        <v>0.7678935185185185</v>
      </c>
      <c r="C219" s="63">
        <v>45968</v>
      </c>
      <c r="D219" s="62" t="s">
        <v>549</v>
      </c>
      <c r="E219" s="62"/>
      <c r="F219" s="62" t="s">
        <v>550</v>
      </c>
      <c r="G219" s="62">
        <v>0</v>
      </c>
      <c r="H219" s="62">
        <v>1620000</v>
      </c>
      <c r="I219" s="62">
        <v>1673000523.8</v>
      </c>
    </row>
    <row r="220" spans="1:9">
      <c r="A220" s="63">
        <v>45968</v>
      </c>
      <c r="B220" s="64">
        <v>0.79386574074074079</v>
      </c>
      <c r="C220" s="63">
        <v>45968</v>
      </c>
      <c r="D220" s="62" t="s">
        <v>551</v>
      </c>
      <c r="E220" s="62"/>
      <c r="F220" s="62" t="s">
        <v>552</v>
      </c>
      <c r="G220" s="62">
        <v>0</v>
      </c>
      <c r="H220" s="62">
        <v>1400000</v>
      </c>
      <c r="I220" s="62">
        <v>1675109273.8</v>
      </c>
    </row>
    <row r="221" spans="1:9">
      <c r="A221" s="63">
        <v>45968</v>
      </c>
      <c r="B221" s="64">
        <v>0.79459490740740746</v>
      </c>
      <c r="C221" s="63">
        <v>45968</v>
      </c>
      <c r="D221" s="62" t="s">
        <v>553</v>
      </c>
      <c r="E221" s="62"/>
      <c r="F221" s="62" t="s">
        <v>88</v>
      </c>
      <c r="G221" s="62">
        <v>0</v>
      </c>
      <c r="H221" s="62">
        <v>1450000</v>
      </c>
      <c r="I221" s="62">
        <v>1676559273.8</v>
      </c>
    </row>
    <row r="222" spans="1:9">
      <c r="A222" s="63">
        <v>45968</v>
      </c>
      <c r="B222" s="64">
        <v>0.91369212962962965</v>
      </c>
      <c r="C222" s="63">
        <v>45968</v>
      </c>
      <c r="D222" s="62" t="s">
        <v>554</v>
      </c>
      <c r="E222" s="62"/>
      <c r="F222" s="62" t="s">
        <v>175</v>
      </c>
      <c r="G222" s="62">
        <v>0</v>
      </c>
      <c r="H222" s="62">
        <v>1400000</v>
      </c>
      <c r="I222" s="62">
        <v>1677959273.8</v>
      </c>
    </row>
    <row r="223" spans="1:9">
      <c r="A223" s="63">
        <v>45969</v>
      </c>
      <c r="B223" s="64">
        <v>0.23931712962962962</v>
      </c>
      <c r="C223" s="63">
        <v>45969</v>
      </c>
      <c r="D223" s="62" t="s">
        <v>555</v>
      </c>
      <c r="E223" s="62"/>
      <c r="F223" s="62" t="s">
        <v>556</v>
      </c>
      <c r="G223" s="62">
        <v>0</v>
      </c>
      <c r="H223" s="62">
        <v>1400000</v>
      </c>
      <c r="I223" s="62">
        <v>1680776773.8</v>
      </c>
    </row>
    <row r="224" spans="1:9">
      <c r="A224" s="63">
        <v>45969</v>
      </c>
      <c r="B224" s="64">
        <v>0.31138888888888888</v>
      </c>
      <c r="C224" s="63">
        <v>45969</v>
      </c>
      <c r="D224" s="62" t="s">
        <v>557</v>
      </c>
      <c r="E224" s="62"/>
      <c r="F224" s="62" t="s">
        <v>168</v>
      </c>
      <c r="G224" s="62">
        <v>0</v>
      </c>
      <c r="H224" s="62">
        <v>1400000</v>
      </c>
      <c r="I224" s="62">
        <v>1685916773.8</v>
      </c>
    </row>
    <row r="225" spans="1:9">
      <c r="A225" s="63">
        <v>45969</v>
      </c>
      <c r="B225" s="64">
        <v>0.31415509259259261</v>
      </c>
      <c r="C225" s="63">
        <v>45969</v>
      </c>
      <c r="D225" s="62" t="s">
        <v>558</v>
      </c>
      <c r="E225" s="62"/>
      <c r="F225" s="62" t="s">
        <v>169</v>
      </c>
      <c r="G225" s="62">
        <v>0</v>
      </c>
      <c r="H225" s="62">
        <v>1550000</v>
      </c>
      <c r="I225" s="62">
        <v>1687466773.8</v>
      </c>
    </row>
    <row r="226" spans="1:9">
      <c r="A226" s="63">
        <v>45969</v>
      </c>
      <c r="B226" s="64">
        <v>0.3190972222222222</v>
      </c>
      <c r="C226" s="63">
        <v>45969</v>
      </c>
      <c r="D226" s="62" t="s">
        <v>559</v>
      </c>
      <c r="E226" s="62"/>
      <c r="F226" s="62" t="s">
        <v>560</v>
      </c>
      <c r="G226" s="62">
        <v>0</v>
      </c>
      <c r="H226" s="62">
        <v>1400000</v>
      </c>
      <c r="I226" s="62">
        <v>1690791773.8</v>
      </c>
    </row>
    <row r="227" spans="1:9">
      <c r="A227" s="63">
        <v>45969</v>
      </c>
      <c r="B227" s="64">
        <v>0.34100694444444446</v>
      </c>
      <c r="C227" s="63">
        <v>45969</v>
      </c>
      <c r="D227" s="62" t="s">
        <v>561</v>
      </c>
      <c r="E227" s="62"/>
      <c r="F227" s="62" t="s">
        <v>562</v>
      </c>
      <c r="G227" s="62">
        <v>0</v>
      </c>
      <c r="H227" s="62">
        <v>1617000</v>
      </c>
      <c r="I227" s="62">
        <v>1693563773.8</v>
      </c>
    </row>
    <row r="228" spans="1:9">
      <c r="A228" s="63">
        <v>45969</v>
      </c>
      <c r="B228" s="64">
        <v>0.37493055555555554</v>
      </c>
      <c r="C228" s="63">
        <v>45969</v>
      </c>
      <c r="D228" s="62" t="s">
        <v>563</v>
      </c>
      <c r="E228" s="62"/>
      <c r="F228" s="62" t="s">
        <v>96</v>
      </c>
      <c r="G228" s="62">
        <v>0</v>
      </c>
      <c r="H228" s="62">
        <v>725000</v>
      </c>
      <c r="I228" s="62">
        <v>1696038773.8</v>
      </c>
    </row>
    <row r="229" spans="1:9">
      <c r="A229" s="63">
        <v>45969</v>
      </c>
      <c r="B229" s="64">
        <v>0.38679398148148147</v>
      </c>
      <c r="C229" s="63">
        <v>45969</v>
      </c>
      <c r="D229" s="62" t="s">
        <v>564</v>
      </c>
      <c r="E229" s="62"/>
      <c r="F229" s="62" t="s">
        <v>565</v>
      </c>
      <c r="G229" s="62">
        <v>0</v>
      </c>
      <c r="H229" s="62">
        <v>1540000</v>
      </c>
      <c r="I229" s="62">
        <v>1697578773.8</v>
      </c>
    </row>
    <row r="230" spans="1:9">
      <c r="A230" s="63">
        <v>45969</v>
      </c>
      <c r="B230" s="64">
        <v>0.65924768518518517</v>
      </c>
      <c r="C230" s="63">
        <v>45969</v>
      </c>
      <c r="D230" s="62" t="s">
        <v>566</v>
      </c>
      <c r="E230" s="62"/>
      <c r="F230" s="62" t="s">
        <v>149</v>
      </c>
      <c r="G230" s="62">
        <v>0</v>
      </c>
      <c r="H230" s="62">
        <v>1617000</v>
      </c>
      <c r="I230" s="62">
        <v>1707818273.8</v>
      </c>
    </row>
    <row r="231" spans="1:9">
      <c r="A231" s="63">
        <v>45969</v>
      </c>
      <c r="B231" s="64">
        <v>0.66243055555555552</v>
      </c>
      <c r="C231" s="63">
        <v>45969</v>
      </c>
      <c r="D231" s="62" t="s">
        <v>567</v>
      </c>
      <c r="E231" s="62"/>
      <c r="F231" s="62" t="s">
        <v>568</v>
      </c>
      <c r="G231" s="62">
        <v>0</v>
      </c>
      <c r="H231" s="62">
        <v>1400000</v>
      </c>
      <c r="I231" s="62">
        <v>1709218273.8</v>
      </c>
    </row>
    <row r="232" spans="1:9">
      <c r="A232" s="63">
        <v>45969</v>
      </c>
      <c r="B232" s="64">
        <v>0.67500000000000004</v>
      </c>
      <c r="C232" s="63">
        <v>45969</v>
      </c>
      <c r="D232" s="62" t="s">
        <v>569</v>
      </c>
      <c r="E232" s="62"/>
      <c r="F232" s="62" t="s">
        <v>570</v>
      </c>
      <c r="G232" s="62">
        <v>0</v>
      </c>
      <c r="H232" s="62">
        <v>1450000</v>
      </c>
      <c r="I232" s="62">
        <v>1710668273.8</v>
      </c>
    </row>
    <row r="233" spans="1:9">
      <c r="A233" s="63">
        <v>45969</v>
      </c>
      <c r="B233" s="64">
        <v>0.81368055555555552</v>
      </c>
      <c r="C233" s="63">
        <v>45969</v>
      </c>
      <c r="D233" s="62" t="s">
        <v>571</v>
      </c>
      <c r="E233" s="62"/>
      <c r="F233" s="62" t="s">
        <v>572</v>
      </c>
      <c r="G233" s="62">
        <v>0</v>
      </c>
      <c r="H233" s="62">
        <v>1617000</v>
      </c>
      <c r="I233" s="62">
        <v>1713965273.8</v>
      </c>
    </row>
    <row r="234" spans="1:9">
      <c r="A234" s="63">
        <v>45970</v>
      </c>
      <c r="B234" s="64">
        <v>0.27225694444444443</v>
      </c>
      <c r="C234" s="63">
        <v>45970</v>
      </c>
      <c r="D234" s="62" t="s">
        <v>573</v>
      </c>
      <c r="E234" s="62"/>
      <c r="F234" s="62" t="s">
        <v>574</v>
      </c>
      <c r="G234" s="62">
        <v>0</v>
      </c>
      <c r="H234" s="62">
        <v>1617000</v>
      </c>
      <c r="I234" s="62">
        <v>1715582273.8</v>
      </c>
    </row>
    <row r="235" spans="1:9">
      <c r="A235" s="63">
        <v>45970</v>
      </c>
      <c r="B235" s="64">
        <v>0.28354166666666669</v>
      </c>
      <c r="C235" s="63">
        <v>45970</v>
      </c>
      <c r="D235" s="62" t="s">
        <v>575</v>
      </c>
      <c r="E235" s="62"/>
      <c r="F235" s="62" t="s">
        <v>576</v>
      </c>
      <c r="G235" s="62">
        <v>0</v>
      </c>
      <c r="H235" s="62">
        <v>1450000</v>
      </c>
      <c r="I235" s="62">
        <v>1717032273.8</v>
      </c>
    </row>
    <row r="236" spans="1:9">
      <c r="A236" s="63">
        <v>45970</v>
      </c>
      <c r="B236" s="64">
        <v>0.3926736111111111</v>
      </c>
      <c r="C236" s="63">
        <v>45970</v>
      </c>
      <c r="D236" s="62" t="s">
        <v>577</v>
      </c>
      <c r="E236" s="62"/>
      <c r="F236" s="62" t="s">
        <v>578</v>
      </c>
      <c r="G236" s="62">
        <v>0</v>
      </c>
      <c r="H236" s="62">
        <v>1400000</v>
      </c>
      <c r="I236" s="62">
        <v>1718432273.8</v>
      </c>
    </row>
    <row r="237" spans="1:9">
      <c r="A237" s="63">
        <v>45970</v>
      </c>
      <c r="B237" s="64">
        <v>0.39754629629629629</v>
      </c>
      <c r="C237" s="63">
        <v>45970</v>
      </c>
      <c r="D237" s="62" t="s">
        <v>579</v>
      </c>
      <c r="E237" s="62"/>
      <c r="F237" s="62" t="s">
        <v>580</v>
      </c>
      <c r="G237" s="62">
        <v>0</v>
      </c>
      <c r="H237" s="62">
        <v>1450000</v>
      </c>
      <c r="I237" s="62">
        <v>1724982273.8</v>
      </c>
    </row>
    <row r="238" spans="1:9">
      <c r="A238" s="63">
        <v>45970</v>
      </c>
      <c r="B238" s="64">
        <v>0.48351851851851851</v>
      </c>
      <c r="C238" s="63">
        <v>45970</v>
      </c>
      <c r="D238" s="62" t="s">
        <v>581</v>
      </c>
      <c r="E238" s="62"/>
      <c r="F238" s="62" t="s">
        <v>582</v>
      </c>
      <c r="G238" s="62">
        <v>0</v>
      </c>
      <c r="H238" s="62">
        <v>1600000</v>
      </c>
      <c r="I238" s="62">
        <v>1730089773.8</v>
      </c>
    </row>
    <row r="239" spans="1:9" s="67" customFormat="1">
      <c r="A239" s="65">
        <v>45970</v>
      </c>
      <c r="B239" s="66">
        <v>0.50233796296296296</v>
      </c>
      <c r="C239" s="65">
        <v>45970</v>
      </c>
      <c r="D239" s="67" t="s">
        <v>583</v>
      </c>
      <c r="F239" s="67" t="s">
        <v>584</v>
      </c>
      <c r="G239" s="67">
        <v>0</v>
      </c>
      <c r="H239" s="67">
        <v>1540000</v>
      </c>
      <c r="I239" s="67">
        <v>1731629773.8</v>
      </c>
    </row>
    <row r="240" spans="1:9">
      <c r="A240" s="63">
        <v>45970</v>
      </c>
      <c r="B240" s="64">
        <v>0.60351851851851857</v>
      </c>
      <c r="C240" s="63">
        <v>45970</v>
      </c>
      <c r="D240" s="62" t="s">
        <v>585</v>
      </c>
      <c r="E240" s="62"/>
      <c r="F240" s="62" t="s">
        <v>586</v>
      </c>
      <c r="G240" s="62">
        <v>0</v>
      </c>
      <c r="H240" s="62">
        <v>1617000</v>
      </c>
      <c r="I240" s="62">
        <v>1735171773.8</v>
      </c>
    </row>
    <row r="241" spans="1:9" s="67" customFormat="1">
      <c r="A241" s="65">
        <v>45970</v>
      </c>
      <c r="B241" s="66">
        <v>0.76362268518518517</v>
      </c>
      <c r="C241" s="65">
        <v>45970</v>
      </c>
      <c r="D241" s="67" t="s">
        <v>587</v>
      </c>
      <c r="F241" s="67" t="s">
        <v>588</v>
      </c>
      <c r="G241" s="67">
        <v>0</v>
      </c>
      <c r="H241" s="67">
        <v>1540000</v>
      </c>
      <c r="I241" s="67">
        <v>1739161773.8</v>
      </c>
    </row>
    <row r="242" spans="1:9">
      <c r="A242" s="63">
        <v>45970</v>
      </c>
      <c r="B242" s="64">
        <v>0.84847222222222218</v>
      </c>
      <c r="C242" s="63">
        <v>45970</v>
      </c>
      <c r="D242" s="62" t="s">
        <v>589</v>
      </c>
      <c r="E242" s="62"/>
      <c r="F242" s="62" t="s">
        <v>590</v>
      </c>
      <c r="G242" s="62">
        <v>0</v>
      </c>
      <c r="H242" s="62">
        <v>1540000</v>
      </c>
      <c r="I242" s="62">
        <v>1742451773.8</v>
      </c>
    </row>
    <row r="243" spans="1:9">
      <c r="A243" s="63">
        <v>45970</v>
      </c>
      <c r="B243" s="64">
        <v>0.94346064814814812</v>
      </c>
      <c r="C243" s="63">
        <v>45970</v>
      </c>
      <c r="D243" s="62" t="s">
        <v>591</v>
      </c>
      <c r="E243" s="62"/>
      <c r="F243" s="62" t="s">
        <v>592</v>
      </c>
      <c r="G243" s="62">
        <v>0</v>
      </c>
      <c r="H243" s="62">
        <v>1400000</v>
      </c>
      <c r="I243" s="62">
        <v>1745601773.8</v>
      </c>
    </row>
    <row r="244" spans="1:9">
      <c r="A244" s="63">
        <v>45970</v>
      </c>
      <c r="B244" s="64">
        <v>0.94502314814814814</v>
      </c>
      <c r="C244" s="63">
        <v>45970</v>
      </c>
      <c r="D244" s="62" t="s">
        <v>593</v>
      </c>
      <c r="E244" s="62"/>
      <c r="F244" s="62" t="s">
        <v>594</v>
      </c>
      <c r="G244" s="62">
        <v>0</v>
      </c>
      <c r="H244" s="62">
        <v>1400000</v>
      </c>
      <c r="I244" s="62">
        <v>1747001773.8</v>
      </c>
    </row>
    <row r="245" spans="1:9">
      <c r="A245" s="63">
        <v>45971</v>
      </c>
      <c r="B245" s="64">
        <v>0.26851851851851855</v>
      </c>
      <c r="C245" s="63">
        <v>45971</v>
      </c>
      <c r="D245" s="62" t="s">
        <v>595</v>
      </c>
      <c r="E245" s="62"/>
      <c r="F245" s="62" t="s">
        <v>596</v>
      </c>
      <c r="G245" s="62">
        <v>0</v>
      </c>
      <c r="H245" s="62">
        <v>1450000</v>
      </c>
      <c r="I245" s="62">
        <v>1752111773.8</v>
      </c>
    </row>
    <row r="246" spans="1:9">
      <c r="A246" s="63">
        <v>45971</v>
      </c>
      <c r="B246" s="64">
        <v>0.27741898148148147</v>
      </c>
      <c r="C246" s="63">
        <v>45971</v>
      </c>
      <c r="D246" s="62" t="s">
        <v>597</v>
      </c>
      <c r="E246" s="62"/>
      <c r="F246" s="62" t="s">
        <v>93</v>
      </c>
      <c r="G246" s="62">
        <v>0</v>
      </c>
      <c r="H246" s="62">
        <v>1400000</v>
      </c>
      <c r="I246" s="62">
        <v>1753511773.8</v>
      </c>
    </row>
    <row r="247" spans="1:9">
      <c r="A247" s="63">
        <v>45971</v>
      </c>
      <c r="B247" s="64">
        <v>0.27785879629629628</v>
      </c>
      <c r="C247" s="63">
        <v>45971</v>
      </c>
      <c r="D247" s="62" t="s">
        <v>598</v>
      </c>
      <c r="E247" s="62"/>
      <c r="F247" s="62" t="s">
        <v>174</v>
      </c>
      <c r="G247" s="62">
        <v>0</v>
      </c>
      <c r="H247" s="62">
        <v>1400000</v>
      </c>
      <c r="I247" s="62">
        <v>1754911773.8</v>
      </c>
    </row>
    <row r="248" spans="1:9">
      <c r="A248" s="63">
        <v>45971</v>
      </c>
      <c r="B248" s="64">
        <v>0.29951388888888891</v>
      </c>
      <c r="C248" s="63">
        <v>45971</v>
      </c>
      <c r="D248" s="62" t="s">
        <v>599</v>
      </c>
      <c r="E248" s="62"/>
      <c r="F248" s="62" t="s">
        <v>600</v>
      </c>
      <c r="G248" s="62">
        <v>0</v>
      </c>
      <c r="H248" s="62">
        <v>1540000</v>
      </c>
      <c r="I248" s="62">
        <v>1759008023.8</v>
      </c>
    </row>
    <row r="249" spans="1:9">
      <c r="A249" s="63">
        <v>45971</v>
      </c>
      <c r="B249" s="64">
        <v>0.30609953703703702</v>
      </c>
      <c r="C249" s="63">
        <v>45971</v>
      </c>
      <c r="D249" s="62" t="s">
        <v>601</v>
      </c>
      <c r="E249" s="62"/>
      <c r="F249" s="62" t="s">
        <v>602</v>
      </c>
      <c r="G249" s="62">
        <v>0</v>
      </c>
      <c r="H249" s="62">
        <v>1400000</v>
      </c>
      <c r="I249" s="62">
        <v>1761825523.8</v>
      </c>
    </row>
    <row r="250" spans="1:9">
      <c r="A250" s="63">
        <v>45971</v>
      </c>
      <c r="B250" s="64">
        <v>0.32899305555555558</v>
      </c>
      <c r="C250" s="63">
        <v>45971</v>
      </c>
      <c r="D250" s="62" t="s">
        <v>603</v>
      </c>
      <c r="E250" s="62"/>
      <c r="F250" s="62" t="s">
        <v>604</v>
      </c>
      <c r="G250" s="62">
        <v>0</v>
      </c>
      <c r="H250" s="62">
        <v>1400000</v>
      </c>
      <c r="I250" s="62">
        <v>1766543023.8</v>
      </c>
    </row>
    <row r="251" spans="1:9">
      <c r="A251" s="63">
        <v>45971</v>
      </c>
      <c r="B251" s="64">
        <v>0.33353009259259259</v>
      </c>
      <c r="C251" s="63">
        <v>45971</v>
      </c>
      <c r="D251" s="62" t="s">
        <v>605</v>
      </c>
      <c r="E251" s="62"/>
      <c r="F251" s="62" t="s">
        <v>606</v>
      </c>
      <c r="G251" s="62">
        <v>0</v>
      </c>
      <c r="H251" s="62">
        <v>1450000</v>
      </c>
      <c r="I251" s="62">
        <v>1769343023.8</v>
      </c>
    </row>
    <row r="252" spans="1:9">
      <c r="A252" s="63">
        <v>45971</v>
      </c>
      <c r="B252" s="64">
        <v>0.34212962962962962</v>
      </c>
      <c r="C252" s="63">
        <v>45971</v>
      </c>
      <c r="D252" s="62" t="s">
        <v>607</v>
      </c>
      <c r="E252" s="62"/>
      <c r="F252" s="62" t="s">
        <v>608</v>
      </c>
      <c r="G252" s="62">
        <v>0</v>
      </c>
      <c r="H252" s="62">
        <v>1400000</v>
      </c>
      <c r="I252" s="62">
        <v>1770743023.8</v>
      </c>
    </row>
    <row r="253" spans="1:9">
      <c r="A253" s="63">
        <v>45971</v>
      </c>
      <c r="B253" s="64">
        <v>0.36548611111111112</v>
      </c>
      <c r="C253" s="63">
        <v>45971</v>
      </c>
      <c r="D253" s="62" t="s">
        <v>609</v>
      </c>
      <c r="E253" s="62"/>
      <c r="F253" s="62" t="s">
        <v>610</v>
      </c>
      <c r="G253" s="62">
        <v>0</v>
      </c>
      <c r="H253" s="62">
        <v>1400000</v>
      </c>
      <c r="I253" s="62">
        <v>1775460523.8</v>
      </c>
    </row>
    <row r="254" spans="1:9">
      <c r="A254" s="63">
        <v>45971</v>
      </c>
      <c r="B254" s="64">
        <v>0.37796296296296295</v>
      </c>
      <c r="C254" s="63">
        <v>45971</v>
      </c>
      <c r="D254" s="62" t="s">
        <v>611</v>
      </c>
      <c r="E254" s="62"/>
      <c r="F254" s="62" t="s">
        <v>612</v>
      </c>
      <c r="G254" s="62">
        <v>0</v>
      </c>
      <c r="H254" s="62">
        <v>1540000</v>
      </c>
      <c r="I254" s="62">
        <v>1778418023.8</v>
      </c>
    </row>
    <row r="255" spans="1:9">
      <c r="A255" s="63">
        <v>45971</v>
      </c>
      <c r="B255" s="64">
        <v>0.38766203703703705</v>
      </c>
      <c r="C255" s="63">
        <v>45971</v>
      </c>
      <c r="D255" s="62" t="s">
        <v>613</v>
      </c>
      <c r="E255" s="62"/>
      <c r="F255" s="62" t="s">
        <v>614</v>
      </c>
      <c r="G255" s="62">
        <v>0</v>
      </c>
      <c r="H255" s="62">
        <v>1540000</v>
      </c>
      <c r="I255" s="62">
        <v>1781375523.8</v>
      </c>
    </row>
    <row r="256" spans="1:9">
      <c r="A256" s="63">
        <v>45971</v>
      </c>
      <c r="B256" s="64">
        <v>0.38953703703703701</v>
      </c>
      <c r="C256" s="63">
        <v>45971</v>
      </c>
      <c r="D256" s="62" t="s">
        <v>615</v>
      </c>
      <c r="E256" s="62"/>
      <c r="F256" s="62" t="s">
        <v>616</v>
      </c>
      <c r="G256" s="62">
        <v>0</v>
      </c>
      <c r="H256" s="62">
        <v>1617000</v>
      </c>
      <c r="I256" s="62">
        <v>1782992523.8</v>
      </c>
    </row>
    <row r="257" spans="1:9">
      <c r="A257" s="63">
        <v>45971</v>
      </c>
      <c r="B257" s="64">
        <v>0.3913888888888889</v>
      </c>
      <c r="C257" s="63">
        <v>45971</v>
      </c>
      <c r="D257" s="62" t="s">
        <v>617</v>
      </c>
      <c r="E257" s="62"/>
      <c r="F257" s="62" t="s">
        <v>618</v>
      </c>
      <c r="G257" s="62">
        <v>0</v>
      </c>
      <c r="H257" s="62">
        <v>1540000</v>
      </c>
      <c r="I257" s="62">
        <v>1784532523.8</v>
      </c>
    </row>
    <row r="258" spans="1:9">
      <c r="A258" s="63">
        <v>45971</v>
      </c>
      <c r="B258" s="64">
        <v>0.3988888888888889</v>
      </c>
      <c r="C258" s="63">
        <v>45971</v>
      </c>
      <c r="D258" s="62" t="s">
        <v>619</v>
      </c>
      <c r="E258" s="62"/>
      <c r="F258" s="62" t="s">
        <v>119</v>
      </c>
      <c r="G258" s="62">
        <v>0</v>
      </c>
      <c r="H258" s="62">
        <v>1400000</v>
      </c>
      <c r="I258" s="62">
        <v>1785932523.8</v>
      </c>
    </row>
    <row r="259" spans="1:9">
      <c r="A259" s="63">
        <v>45971</v>
      </c>
      <c r="B259" s="64">
        <v>0.44145833333333334</v>
      </c>
      <c r="C259" s="63">
        <v>45971</v>
      </c>
      <c r="D259" s="62" t="s">
        <v>620</v>
      </c>
      <c r="E259" s="62"/>
      <c r="F259" s="62" t="s">
        <v>621</v>
      </c>
      <c r="G259" s="62">
        <v>0</v>
      </c>
      <c r="H259" s="62">
        <v>1540000</v>
      </c>
      <c r="I259" s="62">
        <v>1790497523.8</v>
      </c>
    </row>
    <row r="260" spans="1:9">
      <c r="A260" s="63">
        <v>45971</v>
      </c>
      <c r="B260" s="64">
        <v>0.45383101851851854</v>
      </c>
      <c r="C260" s="63">
        <v>45971</v>
      </c>
      <c r="D260" s="62" t="s">
        <v>622</v>
      </c>
      <c r="E260" s="62"/>
      <c r="F260" s="62" t="s">
        <v>623</v>
      </c>
      <c r="G260" s="62">
        <v>0</v>
      </c>
      <c r="H260" s="62">
        <v>1450000</v>
      </c>
      <c r="I260" s="62">
        <v>1791947523.8</v>
      </c>
    </row>
    <row r="261" spans="1:9">
      <c r="A261" s="63">
        <v>45971</v>
      </c>
      <c r="B261" s="64">
        <v>0.47282407407407406</v>
      </c>
      <c r="C261" s="63">
        <v>45971</v>
      </c>
      <c r="D261" s="62" t="s">
        <v>624</v>
      </c>
      <c r="E261" s="62"/>
      <c r="F261" s="62" t="s">
        <v>625</v>
      </c>
      <c r="G261" s="62">
        <v>0</v>
      </c>
      <c r="H261" s="62">
        <v>2800000</v>
      </c>
      <c r="I261" s="62">
        <v>1800032523.8</v>
      </c>
    </row>
    <row r="262" spans="1:9">
      <c r="A262" s="63">
        <v>45971</v>
      </c>
      <c r="B262" s="64">
        <v>0.51745370370370369</v>
      </c>
      <c r="C262" s="63">
        <v>45971</v>
      </c>
      <c r="D262" s="62" t="s">
        <v>626</v>
      </c>
      <c r="E262" s="62"/>
      <c r="F262" s="62" t="s">
        <v>627</v>
      </c>
      <c r="G262" s="62">
        <v>0</v>
      </c>
      <c r="H262" s="62">
        <v>1617000</v>
      </c>
      <c r="I262" s="62">
        <v>1801649523.8</v>
      </c>
    </row>
    <row r="263" spans="1:9">
      <c r="A263" s="63">
        <v>45971</v>
      </c>
      <c r="B263" s="64">
        <v>0.53594907407407411</v>
      </c>
      <c r="C263" s="63">
        <v>45971</v>
      </c>
      <c r="D263" s="62" t="s">
        <v>628</v>
      </c>
      <c r="E263" s="62"/>
      <c r="F263" s="62" t="s">
        <v>152</v>
      </c>
      <c r="G263" s="62">
        <v>0</v>
      </c>
      <c r="H263" s="62">
        <v>1540000</v>
      </c>
      <c r="I263" s="62">
        <v>1803189523.8</v>
      </c>
    </row>
    <row r="264" spans="1:9">
      <c r="A264" s="63">
        <v>45971</v>
      </c>
      <c r="B264" s="64">
        <v>0.54043981481481485</v>
      </c>
      <c r="C264" s="63">
        <v>45971</v>
      </c>
      <c r="D264" s="62" t="s">
        <v>629</v>
      </c>
      <c r="E264" s="62"/>
      <c r="F264" s="62" t="s">
        <v>630</v>
      </c>
      <c r="G264" s="62">
        <v>0</v>
      </c>
      <c r="H264" s="62">
        <v>1540000</v>
      </c>
      <c r="I264" s="62">
        <v>1804729523.8</v>
      </c>
    </row>
    <row r="265" spans="1:9">
      <c r="A265" s="63">
        <v>45971</v>
      </c>
      <c r="B265" s="64">
        <v>0.65902777777777777</v>
      </c>
      <c r="C265" s="63">
        <v>45971</v>
      </c>
      <c r="D265" s="62" t="s">
        <v>631</v>
      </c>
      <c r="E265" s="62"/>
      <c r="F265" s="62" t="s">
        <v>632</v>
      </c>
      <c r="G265" s="62">
        <v>0</v>
      </c>
      <c r="H265" s="62">
        <v>2800000</v>
      </c>
      <c r="I265" s="62">
        <v>1814687023.8</v>
      </c>
    </row>
    <row r="266" spans="1:9">
      <c r="A266" s="63">
        <v>45971</v>
      </c>
      <c r="B266" s="64">
        <v>0.66082175925925923</v>
      </c>
      <c r="C266" s="63">
        <v>45971</v>
      </c>
      <c r="D266" s="62" t="s">
        <v>633</v>
      </c>
      <c r="E266" s="62"/>
      <c r="F266" s="62" t="s">
        <v>634</v>
      </c>
      <c r="G266" s="62">
        <v>0</v>
      </c>
      <c r="H266" s="62">
        <v>1540000</v>
      </c>
      <c r="I266" s="62">
        <v>1817644523.8</v>
      </c>
    </row>
    <row r="267" spans="1:9">
      <c r="A267" s="63">
        <v>45971</v>
      </c>
      <c r="B267" s="64">
        <v>0.66118055555555555</v>
      </c>
      <c r="C267" s="63">
        <v>45971</v>
      </c>
      <c r="D267" s="62" t="s">
        <v>635</v>
      </c>
      <c r="E267" s="62"/>
      <c r="F267" s="62" t="s">
        <v>636</v>
      </c>
      <c r="G267" s="62">
        <v>0</v>
      </c>
      <c r="H267" s="62">
        <v>2900000</v>
      </c>
      <c r="I267" s="62">
        <v>1820544523.8</v>
      </c>
    </row>
    <row r="268" spans="1:9">
      <c r="A268" s="63">
        <v>45971</v>
      </c>
      <c r="B268" s="64">
        <v>0.6646643518518518</v>
      </c>
      <c r="C268" s="63">
        <v>45971</v>
      </c>
      <c r="D268" s="62" t="s">
        <v>637</v>
      </c>
      <c r="E268" s="62"/>
      <c r="F268" s="62" t="s">
        <v>638</v>
      </c>
      <c r="G268" s="62">
        <v>0</v>
      </c>
      <c r="H268" s="62">
        <v>1617000</v>
      </c>
      <c r="I268" s="62">
        <v>1822161523.8</v>
      </c>
    </row>
    <row r="269" spans="1:9">
      <c r="A269" s="63">
        <v>45971</v>
      </c>
      <c r="B269" s="64">
        <v>0.6662731481481482</v>
      </c>
      <c r="C269" s="63">
        <v>45971</v>
      </c>
      <c r="D269" s="62" t="s">
        <v>639</v>
      </c>
      <c r="E269" s="62"/>
      <c r="F269" s="62" t="s">
        <v>87</v>
      </c>
      <c r="G269" s="62">
        <v>0</v>
      </c>
      <c r="H269" s="62">
        <v>1540000</v>
      </c>
      <c r="I269" s="62">
        <v>1823701523.8</v>
      </c>
    </row>
    <row r="270" spans="1:9">
      <c r="A270" s="63">
        <v>45971</v>
      </c>
      <c r="B270" s="64">
        <v>0.67307870370370371</v>
      </c>
      <c r="C270" s="63">
        <v>45971</v>
      </c>
      <c r="D270" s="62" t="s">
        <v>640</v>
      </c>
      <c r="E270" s="62"/>
      <c r="F270" s="62" t="s">
        <v>641</v>
      </c>
      <c r="G270" s="62">
        <v>0</v>
      </c>
      <c r="H270" s="62">
        <v>1617000</v>
      </c>
      <c r="I270" s="62">
        <v>1827628523.8</v>
      </c>
    </row>
    <row r="271" spans="1:9">
      <c r="A271" s="63">
        <v>45971</v>
      </c>
      <c r="B271" s="64">
        <v>0.74268518518518523</v>
      </c>
      <c r="C271" s="63">
        <v>45971</v>
      </c>
      <c r="D271" s="62" t="s">
        <v>642</v>
      </c>
      <c r="E271" s="62"/>
      <c r="F271" s="62" t="s">
        <v>171</v>
      </c>
      <c r="G271" s="62">
        <v>0</v>
      </c>
      <c r="H271" s="62">
        <v>1450000</v>
      </c>
      <c r="I271" s="62">
        <v>1829078523.8</v>
      </c>
    </row>
    <row r="272" spans="1:9">
      <c r="A272" s="63">
        <v>45971</v>
      </c>
      <c r="B272" s="64">
        <v>0.8190277777777778</v>
      </c>
      <c r="C272" s="63">
        <v>45971</v>
      </c>
      <c r="D272" s="62" t="s">
        <v>643</v>
      </c>
      <c r="E272" s="62"/>
      <c r="F272" s="62" t="s">
        <v>644</v>
      </c>
      <c r="G272" s="62">
        <v>0</v>
      </c>
      <c r="H272" s="62">
        <v>1617000</v>
      </c>
      <c r="I272" s="62">
        <v>1833945523.8</v>
      </c>
    </row>
    <row r="273" spans="1:9">
      <c r="A273" s="63">
        <v>45971</v>
      </c>
      <c r="B273" s="64">
        <v>0.81990740740740742</v>
      </c>
      <c r="C273" s="63">
        <v>45971</v>
      </c>
      <c r="D273" s="62" t="s">
        <v>645</v>
      </c>
      <c r="E273" s="62"/>
      <c r="F273" s="62" t="s">
        <v>646</v>
      </c>
      <c r="G273" s="62">
        <v>0</v>
      </c>
      <c r="H273" s="62">
        <v>1400000</v>
      </c>
      <c r="I273" s="62">
        <v>1835345523.8</v>
      </c>
    </row>
    <row r="274" spans="1:9">
      <c r="A274" s="63">
        <v>45971</v>
      </c>
      <c r="B274" s="64">
        <v>0.85403935185185187</v>
      </c>
      <c r="C274" s="63">
        <v>45971</v>
      </c>
      <c r="D274" s="62" t="s">
        <v>647</v>
      </c>
      <c r="E274" s="62"/>
      <c r="F274" s="62" t="s">
        <v>648</v>
      </c>
      <c r="G274" s="62">
        <v>0</v>
      </c>
      <c r="H274" s="62">
        <v>1400000</v>
      </c>
      <c r="I274" s="62">
        <v>1838645523.8</v>
      </c>
    </row>
    <row r="275" spans="1:9">
      <c r="A275" s="63">
        <v>45971</v>
      </c>
      <c r="B275" s="64">
        <v>0.86089120370370376</v>
      </c>
      <c r="C275" s="63">
        <v>45971</v>
      </c>
      <c r="D275" s="62" t="s">
        <v>649</v>
      </c>
      <c r="E275" s="62"/>
      <c r="F275" s="62" t="s">
        <v>650</v>
      </c>
      <c r="G275" s="62">
        <v>0</v>
      </c>
      <c r="H275" s="62">
        <v>1400000</v>
      </c>
      <c r="I275" s="62">
        <v>1841463023.8</v>
      </c>
    </row>
    <row r="276" spans="1:9">
      <c r="A276" s="63">
        <v>45971</v>
      </c>
      <c r="B276" s="64">
        <v>0.89317129629629632</v>
      </c>
      <c r="C276" s="63">
        <v>45971</v>
      </c>
      <c r="D276" s="62" t="s">
        <v>651</v>
      </c>
      <c r="E276" s="62"/>
      <c r="F276" s="62" t="s">
        <v>652</v>
      </c>
      <c r="G276" s="62">
        <v>0</v>
      </c>
      <c r="H276" s="62">
        <v>1617000</v>
      </c>
      <c r="I276" s="62">
        <v>1845005023.8</v>
      </c>
    </row>
    <row r="277" spans="1:9">
      <c r="A277" s="63">
        <v>45971</v>
      </c>
      <c r="B277" s="64">
        <v>0.89859953703703699</v>
      </c>
      <c r="C277" s="63">
        <v>45971</v>
      </c>
      <c r="D277" s="62" t="s">
        <v>653</v>
      </c>
      <c r="E277" s="62"/>
      <c r="F277" s="62" t="s">
        <v>654</v>
      </c>
      <c r="G277" s="62">
        <v>0</v>
      </c>
      <c r="H277" s="62">
        <v>1617000</v>
      </c>
      <c r="I277" s="62">
        <v>1848039523.8</v>
      </c>
    </row>
    <row r="278" spans="1:9">
      <c r="A278" s="63">
        <v>45971</v>
      </c>
      <c r="B278" s="64">
        <v>0.92212962962962963</v>
      </c>
      <c r="C278" s="63">
        <v>45971</v>
      </c>
      <c r="D278" s="62" t="s">
        <v>655</v>
      </c>
      <c r="E278" s="62"/>
      <c r="F278" s="62" t="s">
        <v>656</v>
      </c>
      <c r="G278" s="62">
        <v>0</v>
      </c>
      <c r="H278" s="62">
        <v>1617000</v>
      </c>
      <c r="I278" s="62">
        <v>1853306523.8</v>
      </c>
    </row>
    <row r="279" spans="1:9">
      <c r="A279" s="63">
        <v>45972</v>
      </c>
      <c r="B279" s="64">
        <v>0.1577662037037037</v>
      </c>
      <c r="C279" s="63">
        <v>45972</v>
      </c>
      <c r="D279" s="62" t="s">
        <v>657</v>
      </c>
      <c r="E279" s="62"/>
      <c r="F279" s="62" t="s">
        <v>658</v>
      </c>
      <c r="G279" s="62">
        <v>0</v>
      </c>
      <c r="H279" s="62">
        <v>1400000</v>
      </c>
      <c r="I279" s="62">
        <v>1854706523.8</v>
      </c>
    </row>
    <row r="280" spans="1:9">
      <c r="A280" s="63">
        <v>45972</v>
      </c>
      <c r="B280" s="64">
        <v>0.15942129629629628</v>
      </c>
      <c r="C280" s="63">
        <v>45972</v>
      </c>
      <c r="D280" s="62" t="s">
        <v>659</v>
      </c>
      <c r="E280" s="62"/>
      <c r="F280" s="62" t="s">
        <v>660</v>
      </c>
      <c r="G280" s="62">
        <v>0</v>
      </c>
      <c r="H280" s="62">
        <v>1617000</v>
      </c>
      <c r="I280" s="62">
        <v>1856323523.8</v>
      </c>
    </row>
    <row r="281" spans="1:9">
      <c r="A281" s="63">
        <v>45972</v>
      </c>
      <c r="B281" s="64">
        <v>0.23741898148148149</v>
      </c>
      <c r="C281" s="63">
        <v>45972</v>
      </c>
      <c r="D281" s="62" t="s">
        <v>661</v>
      </c>
      <c r="E281" s="62"/>
      <c r="F281" s="62" t="s">
        <v>662</v>
      </c>
      <c r="G281" s="62">
        <v>0</v>
      </c>
      <c r="H281" s="62">
        <v>1400000</v>
      </c>
      <c r="I281" s="62">
        <v>1861373523.8</v>
      </c>
    </row>
    <row r="282" spans="1:9">
      <c r="A282" s="63">
        <v>45972</v>
      </c>
      <c r="B282" s="64">
        <v>0.2408912037037037</v>
      </c>
      <c r="C282" s="63">
        <v>45972</v>
      </c>
      <c r="D282" s="62" t="s">
        <v>663</v>
      </c>
      <c r="E282" s="62"/>
      <c r="F282" s="62" t="s">
        <v>664</v>
      </c>
      <c r="G282" s="62">
        <v>0</v>
      </c>
      <c r="H282" s="62">
        <v>1617000</v>
      </c>
      <c r="I282" s="62">
        <v>1862990523.8</v>
      </c>
    </row>
    <row r="283" spans="1:9">
      <c r="A283" s="63">
        <v>45972</v>
      </c>
      <c r="B283" s="64">
        <v>0.29289351851851853</v>
      </c>
      <c r="C283" s="63">
        <v>45972</v>
      </c>
      <c r="D283" s="62" t="s">
        <v>665</v>
      </c>
      <c r="E283" s="62"/>
      <c r="F283" s="62" t="s">
        <v>666</v>
      </c>
      <c r="G283" s="62">
        <v>0</v>
      </c>
      <c r="H283" s="62">
        <v>1540000</v>
      </c>
      <c r="I283" s="62">
        <v>1869045523.8</v>
      </c>
    </row>
    <row r="284" spans="1:9">
      <c r="A284" s="63">
        <v>45972</v>
      </c>
      <c r="B284" s="64">
        <v>0.33012731481481483</v>
      </c>
      <c r="C284" s="63">
        <v>45972</v>
      </c>
      <c r="D284" s="62" t="s">
        <v>667</v>
      </c>
      <c r="E284" s="62"/>
      <c r="F284" s="62" t="s">
        <v>668</v>
      </c>
      <c r="G284" s="62">
        <v>0</v>
      </c>
      <c r="H284" s="62">
        <v>1540000</v>
      </c>
      <c r="I284" s="62">
        <v>1871935523.8</v>
      </c>
    </row>
    <row r="285" spans="1:9">
      <c r="A285" s="63">
        <v>45972</v>
      </c>
      <c r="B285" s="64">
        <v>0.34697916666666667</v>
      </c>
      <c r="C285" s="63">
        <v>45972</v>
      </c>
      <c r="D285" s="62" t="s">
        <v>669</v>
      </c>
      <c r="E285" s="62"/>
      <c r="F285" s="62" t="s">
        <v>670</v>
      </c>
      <c r="G285" s="62">
        <v>0</v>
      </c>
      <c r="H285" s="62">
        <v>1450000</v>
      </c>
      <c r="I285" s="62">
        <v>1873385523.8</v>
      </c>
    </row>
    <row r="286" spans="1:9">
      <c r="A286" s="63">
        <v>45972</v>
      </c>
      <c r="B286" s="64">
        <v>0.40471064814814817</v>
      </c>
      <c r="C286" s="63">
        <v>45972</v>
      </c>
      <c r="D286" s="62" t="s">
        <v>671</v>
      </c>
      <c r="E286" s="62"/>
      <c r="F286" s="62" t="s">
        <v>672</v>
      </c>
      <c r="G286" s="62">
        <v>0</v>
      </c>
      <c r="H286" s="62">
        <v>700000</v>
      </c>
      <c r="I286" s="62">
        <v>1882520523.8</v>
      </c>
    </row>
    <row r="287" spans="1:9">
      <c r="A287" s="63">
        <v>45972</v>
      </c>
      <c r="B287" s="64">
        <v>0.4052662037037037</v>
      </c>
      <c r="C287" s="63">
        <v>45972</v>
      </c>
      <c r="D287" s="62" t="s">
        <v>673</v>
      </c>
      <c r="E287" s="62"/>
      <c r="F287" s="62" t="s">
        <v>674</v>
      </c>
      <c r="G287" s="62">
        <v>0</v>
      </c>
      <c r="H287" s="62">
        <v>770000</v>
      </c>
      <c r="I287" s="62">
        <v>1883290523.8</v>
      </c>
    </row>
    <row r="288" spans="1:9">
      <c r="A288" s="63">
        <v>45972</v>
      </c>
      <c r="B288" s="64">
        <v>0.42905092592592592</v>
      </c>
      <c r="C288" s="63">
        <v>45972</v>
      </c>
      <c r="D288" s="62" t="s">
        <v>675</v>
      </c>
      <c r="E288" s="62"/>
      <c r="F288" s="62" t="s">
        <v>676</v>
      </c>
      <c r="G288" s="62">
        <v>0</v>
      </c>
      <c r="H288" s="62">
        <v>1400000</v>
      </c>
      <c r="I288" s="62">
        <v>1890465523.8</v>
      </c>
    </row>
    <row r="289" spans="1:9">
      <c r="A289" s="63">
        <v>45972</v>
      </c>
      <c r="B289" s="64">
        <v>0.4293865740740741</v>
      </c>
      <c r="C289" s="63">
        <v>45972</v>
      </c>
      <c r="D289" s="62" t="s">
        <v>677</v>
      </c>
      <c r="E289" s="62"/>
      <c r="F289" s="62" t="s">
        <v>678</v>
      </c>
      <c r="G289" s="62">
        <v>0</v>
      </c>
      <c r="H289" s="62">
        <v>1540000</v>
      </c>
      <c r="I289" s="62">
        <v>1892005523.8</v>
      </c>
    </row>
    <row r="290" spans="1:9">
      <c r="A290" s="63">
        <v>45972</v>
      </c>
      <c r="B290" s="64">
        <v>0.42974537037037036</v>
      </c>
      <c r="C290" s="63">
        <v>45972</v>
      </c>
      <c r="D290" s="62" t="s">
        <v>679</v>
      </c>
      <c r="E290" s="62"/>
      <c r="F290" s="62" t="s">
        <v>680</v>
      </c>
      <c r="G290" s="62">
        <v>0</v>
      </c>
      <c r="H290" s="62">
        <v>1617000</v>
      </c>
      <c r="I290" s="62">
        <v>1893622523.8</v>
      </c>
    </row>
    <row r="291" spans="1:9">
      <c r="A291" s="63">
        <v>45972</v>
      </c>
      <c r="B291" s="64">
        <v>0.5154050925925926</v>
      </c>
      <c r="C291" s="63">
        <v>45972</v>
      </c>
      <c r="D291" s="62" t="s">
        <v>681</v>
      </c>
      <c r="E291" s="62"/>
      <c r="F291" s="62" t="s">
        <v>682</v>
      </c>
      <c r="G291" s="62">
        <v>0</v>
      </c>
      <c r="H291" s="62">
        <v>1617000</v>
      </c>
      <c r="I291" s="62">
        <v>1896589523.8</v>
      </c>
    </row>
    <row r="292" spans="1:9">
      <c r="A292" s="63">
        <v>45972</v>
      </c>
      <c r="B292" s="64">
        <v>0.60320601851851852</v>
      </c>
      <c r="C292" s="63">
        <v>45972</v>
      </c>
      <c r="D292" s="62" t="s">
        <v>683</v>
      </c>
      <c r="E292" s="62"/>
      <c r="F292" s="62" t="s">
        <v>133</v>
      </c>
      <c r="G292" s="62">
        <v>0</v>
      </c>
      <c r="H292" s="62">
        <v>1540000</v>
      </c>
      <c r="I292" s="62">
        <v>1902934523.8</v>
      </c>
    </row>
    <row r="293" spans="1:9">
      <c r="A293" s="63">
        <v>45972</v>
      </c>
      <c r="B293" s="64">
        <v>0.75672453703703701</v>
      </c>
      <c r="C293" s="63">
        <v>45972</v>
      </c>
      <c r="D293" s="62" t="s">
        <v>684</v>
      </c>
      <c r="E293" s="62"/>
      <c r="F293" s="62" t="s">
        <v>685</v>
      </c>
      <c r="G293" s="62">
        <v>0</v>
      </c>
      <c r="H293" s="62">
        <v>2800000</v>
      </c>
      <c r="I293" s="62">
        <v>1905734523.8</v>
      </c>
    </row>
    <row r="294" spans="1:9">
      <c r="A294" s="63">
        <v>45972</v>
      </c>
      <c r="B294" s="64">
        <v>0.78785879629629629</v>
      </c>
      <c r="C294" s="63">
        <v>45972</v>
      </c>
      <c r="D294" s="62" t="s">
        <v>686</v>
      </c>
      <c r="E294" s="62"/>
      <c r="F294" s="62" t="s">
        <v>86</v>
      </c>
      <c r="G294" s="62">
        <v>0</v>
      </c>
      <c r="H294" s="62">
        <v>1540000</v>
      </c>
      <c r="I294" s="62">
        <v>1907274523.8</v>
      </c>
    </row>
    <row r="295" spans="1:9">
      <c r="A295" s="63">
        <v>45972</v>
      </c>
      <c r="B295" s="64">
        <v>0.79872685185185188</v>
      </c>
      <c r="C295" s="63">
        <v>45972</v>
      </c>
      <c r="D295" s="62" t="s">
        <v>687</v>
      </c>
      <c r="E295" s="62"/>
      <c r="F295" s="62" t="s">
        <v>688</v>
      </c>
      <c r="G295" s="62">
        <v>0</v>
      </c>
      <c r="H295" s="62">
        <v>1450000</v>
      </c>
      <c r="I295" s="62">
        <v>1908724523.8</v>
      </c>
    </row>
    <row r="296" spans="1:9">
      <c r="A296" s="63">
        <v>45972</v>
      </c>
      <c r="B296" s="64">
        <v>0.79964120370370373</v>
      </c>
      <c r="C296" s="63">
        <v>45972</v>
      </c>
      <c r="D296" s="62" t="s">
        <v>689</v>
      </c>
      <c r="E296" s="62"/>
      <c r="F296" s="62" t="s">
        <v>690</v>
      </c>
      <c r="G296" s="62">
        <v>0</v>
      </c>
      <c r="H296" s="62">
        <v>1400000</v>
      </c>
      <c r="I296" s="62">
        <v>1910124523.8</v>
      </c>
    </row>
    <row r="297" spans="1:9">
      <c r="A297" s="63">
        <v>45973</v>
      </c>
      <c r="B297" s="64">
        <v>0.41763888888888889</v>
      </c>
      <c r="C297" s="63">
        <v>45973</v>
      </c>
      <c r="D297" s="62" t="s">
        <v>691</v>
      </c>
      <c r="E297" s="62"/>
      <c r="F297" s="62" t="s">
        <v>132</v>
      </c>
      <c r="G297" s="62">
        <v>0</v>
      </c>
      <c r="H297" s="62">
        <v>1400000</v>
      </c>
      <c r="I297" s="62">
        <v>1915314523.8</v>
      </c>
    </row>
    <row r="298" spans="1:9">
      <c r="A298" s="63">
        <v>45973</v>
      </c>
      <c r="B298" s="64">
        <v>0.87172453703703701</v>
      </c>
      <c r="C298" s="63">
        <v>45973</v>
      </c>
      <c r="D298" s="62" t="s">
        <v>692</v>
      </c>
      <c r="E298" s="62"/>
      <c r="F298" s="62" t="s">
        <v>693</v>
      </c>
      <c r="G298" s="62">
        <v>0</v>
      </c>
      <c r="H298" s="62">
        <v>1617000</v>
      </c>
      <c r="I298" s="62">
        <v>1929049023.8</v>
      </c>
    </row>
    <row r="299" spans="1:9">
      <c r="A299" s="63">
        <v>45974</v>
      </c>
      <c r="B299" s="64">
        <v>0.28001157407407407</v>
      </c>
      <c r="C299" s="63">
        <v>45974</v>
      </c>
      <c r="D299" s="62" t="s">
        <v>694</v>
      </c>
      <c r="E299" s="62"/>
      <c r="F299" s="62" t="s">
        <v>695</v>
      </c>
      <c r="G299" s="62">
        <v>0</v>
      </c>
      <c r="H299" s="62">
        <v>1400000</v>
      </c>
      <c r="I299" s="62">
        <v>1932129023.8</v>
      </c>
    </row>
    <row r="300" spans="1:9">
      <c r="A300" s="63">
        <v>45974</v>
      </c>
      <c r="B300" s="64">
        <v>0.41237268518518516</v>
      </c>
      <c r="C300" s="63">
        <v>45974</v>
      </c>
      <c r="D300" s="62" t="s">
        <v>696</v>
      </c>
      <c r="E300" s="62"/>
      <c r="F300" s="62" t="s">
        <v>697</v>
      </c>
      <c r="G300" s="62">
        <v>0</v>
      </c>
      <c r="H300" s="62">
        <v>2800000</v>
      </c>
      <c r="I300" s="62">
        <v>1934929023.8</v>
      </c>
    </row>
    <row r="301" spans="1:9">
      <c r="A301" s="63">
        <v>45974</v>
      </c>
      <c r="B301" s="64">
        <v>0.51541666666666663</v>
      </c>
      <c r="C301" s="63">
        <v>45974</v>
      </c>
      <c r="D301" s="62" t="s">
        <v>698</v>
      </c>
      <c r="E301" s="62"/>
      <c r="F301" s="62" t="s">
        <v>699</v>
      </c>
      <c r="G301" s="62">
        <v>0</v>
      </c>
      <c r="H301" s="62">
        <v>1450000</v>
      </c>
      <c r="I301" s="62">
        <v>1940559023.8</v>
      </c>
    </row>
    <row r="302" spans="1:9">
      <c r="A302" s="63">
        <v>45974</v>
      </c>
      <c r="B302" s="64">
        <v>0.51585648148148144</v>
      </c>
      <c r="C302" s="63">
        <v>45974</v>
      </c>
      <c r="D302" s="62" t="s">
        <v>700</v>
      </c>
      <c r="E302" s="62"/>
      <c r="F302" s="62" t="s">
        <v>701</v>
      </c>
      <c r="G302" s="62">
        <v>0</v>
      </c>
      <c r="H302" s="62">
        <v>1617000</v>
      </c>
      <c r="I302" s="62">
        <v>1942176023.8</v>
      </c>
    </row>
    <row r="303" spans="1:9">
      <c r="A303" s="63">
        <v>45974</v>
      </c>
      <c r="B303" s="64">
        <v>0.5176736111111111</v>
      </c>
      <c r="C303" s="63">
        <v>45974</v>
      </c>
      <c r="D303" s="62" t="s">
        <v>702</v>
      </c>
      <c r="E303" s="62"/>
      <c r="F303" s="62" t="s">
        <v>703</v>
      </c>
      <c r="G303" s="62">
        <v>0</v>
      </c>
      <c r="H303" s="62">
        <v>1450000</v>
      </c>
      <c r="I303" s="62">
        <v>1943626023.8</v>
      </c>
    </row>
    <row r="304" spans="1:9">
      <c r="A304" s="63">
        <v>45974</v>
      </c>
      <c r="B304" s="64">
        <v>0.5190393518518519</v>
      </c>
      <c r="C304" s="63">
        <v>45974</v>
      </c>
      <c r="D304" s="62" t="s">
        <v>704</v>
      </c>
      <c r="E304" s="62"/>
      <c r="F304" s="62" t="s">
        <v>705</v>
      </c>
      <c r="G304" s="62">
        <v>0</v>
      </c>
      <c r="H304" s="62">
        <v>1540000</v>
      </c>
      <c r="I304" s="62">
        <v>1945166023.8</v>
      </c>
    </row>
    <row r="305" spans="1:9">
      <c r="A305" s="63">
        <v>45974</v>
      </c>
      <c r="B305" s="64">
        <v>0.53315972222222219</v>
      </c>
      <c r="C305" s="63">
        <v>45974</v>
      </c>
      <c r="D305" s="62" t="s">
        <v>706</v>
      </c>
      <c r="E305" s="62"/>
      <c r="F305" s="62" t="s">
        <v>707</v>
      </c>
      <c r="G305" s="62">
        <v>0</v>
      </c>
      <c r="H305" s="62">
        <v>1400000</v>
      </c>
      <c r="I305" s="62">
        <v>1948246023.8</v>
      </c>
    </row>
    <row r="306" spans="1:9">
      <c r="A306" s="63">
        <v>45974</v>
      </c>
      <c r="B306" s="64">
        <v>0.54494212962962962</v>
      </c>
      <c r="C306" s="63">
        <v>45974</v>
      </c>
      <c r="D306" s="62" t="s">
        <v>708</v>
      </c>
      <c r="E306" s="62"/>
      <c r="F306" s="62" t="s">
        <v>709</v>
      </c>
      <c r="G306" s="62">
        <v>0</v>
      </c>
      <c r="H306" s="62">
        <v>1400000</v>
      </c>
      <c r="I306" s="62">
        <v>1949646023.8</v>
      </c>
    </row>
    <row r="307" spans="1:9">
      <c r="A307" s="63">
        <v>45974</v>
      </c>
      <c r="B307" s="64">
        <v>0.58042824074074073</v>
      </c>
      <c r="C307" s="63">
        <v>45974</v>
      </c>
      <c r="D307" s="62" t="s">
        <v>710</v>
      </c>
      <c r="E307" s="62"/>
      <c r="F307" s="62" t="s">
        <v>711</v>
      </c>
      <c r="G307" s="62">
        <v>0</v>
      </c>
      <c r="H307" s="62">
        <v>1400000</v>
      </c>
      <c r="I307" s="62">
        <v>1951046023.8</v>
      </c>
    </row>
    <row r="308" spans="1:9">
      <c r="A308" s="63">
        <v>45974</v>
      </c>
      <c r="B308" s="64">
        <v>0.63650462962962961</v>
      </c>
      <c r="C308" s="63">
        <v>45974</v>
      </c>
      <c r="D308" s="62" t="s">
        <v>712</v>
      </c>
      <c r="E308" s="62"/>
      <c r="F308" s="62" t="s">
        <v>172</v>
      </c>
      <c r="G308" s="62">
        <v>0</v>
      </c>
      <c r="H308" s="62">
        <v>1617000</v>
      </c>
      <c r="I308" s="62">
        <v>1952663023.8</v>
      </c>
    </row>
    <row r="309" spans="1:9">
      <c r="A309" s="63">
        <v>45974</v>
      </c>
      <c r="B309" s="64">
        <v>0.638275462962963</v>
      </c>
      <c r="C309" s="63">
        <v>45974</v>
      </c>
      <c r="D309" s="62" t="s">
        <v>713</v>
      </c>
      <c r="E309" s="62"/>
      <c r="F309" s="62" t="s">
        <v>173</v>
      </c>
      <c r="G309" s="62">
        <v>0</v>
      </c>
      <c r="H309" s="62">
        <v>1450000</v>
      </c>
      <c r="I309" s="62">
        <v>1954113023.8</v>
      </c>
    </row>
    <row r="310" spans="1:9">
      <c r="A310" s="63">
        <v>45974</v>
      </c>
      <c r="B310" s="64">
        <v>0.7600231481481482</v>
      </c>
      <c r="C310" s="63">
        <v>45974</v>
      </c>
      <c r="D310" s="62" t="s">
        <v>714</v>
      </c>
      <c r="E310" s="62"/>
      <c r="F310" s="62" t="s">
        <v>74</v>
      </c>
      <c r="G310" s="62">
        <v>0</v>
      </c>
      <c r="H310" s="62">
        <v>1400000</v>
      </c>
      <c r="I310" s="62">
        <v>1959063023.8</v>
      </c>
    </row>
    <row r="311" spans="1:9">
      <c r="A311" s="63">
        <v>45974</v>
      </c>
      <c r="B311" s="64">
        <v>0.86710648148148151</v>
      </c>
      <c r="C311" s="63">
        <v>45974</v>
      </c>
      <c r="D311" s="62" t="s">
        <v>715</v>
      </c>
      <c r="E311" s="62"/>
      <c r="F311" s="62" t="s">
        <v>716</v>
      </c>
      <c r="G311" s="62">
        <v>0</v>
      </c>
      <c r="H311" s="62">
        <v>1450000</v>
      </c>
      <c r="I311" s="62">
        <v>1963383856.8</v>
      </c>
    </row>
    <row r="312" spans="1:9">
      <c r="A312" s="63">
        <v>45975</v>
      </c>
      <c r="B312" s="64">
        <v>0.15174768518518519</v>
      </c>
      <c r="C312" s="63">
        <v>45975</v>
      </c>
      <c r="D312" s="62" t="s">
        <v>717</v>
      </c>
      <c r="E312" s="62"/>
      <c r="F312" s="62" t="s">
        <v>718</v>
      </c>
      <c r="G312" s="62">
        <v>0</v>
      </c>
      <c r="H312" s="62">
        <v>1450000</v>
      </c>
      <c r="I312" s="62">
        <v>1967668856.8</v>
      </c>
    </row>
    <row r="313" spans="1:9">
      <c r="A313" s="63">
        <v>45975</v>
      </c>
      <c r="B313" s="64">
        <v>0.18891203703703704</v>
      </c>
      <c r="C313" s="63">
        <v>45975</v>
      </c>
      <c r="D313" s="62" t="s">
        <v>719</v>
      </c>
      <c r="E313" s="62"/>
      <c r="F313" s="62" t="s">
        <v>720</v>
      </c>
      <c r="G313" s="62">
        <v>0</v>
      </c>
      <c r="H313" s="62">
        <v>2800000</v>
      </c>
      <c r="I313" s="62">
        <v>1970468856.8</v>
      </c>
    </row>
    <row r="314" spans="1:9">
      <c r="A314" s="63">
        <v>45975</v>
      </c>
      <c r="B314" s="64">
        <v>0.27878472222222223</v>
      </c>
      <c r="C314" s="63">
        <v>45975</v>
      </c>
      <c r="D314" s="62" t="s">
        <v>721</v>
      </c>
      <c r="E314" s="62"/>
      <c r="F314" s="62" t="s">
        <v>722</v>
      </c>
      <c r="G314" s="62">
        <v>0</v>
      </c>
      <c r="H314" s="62">
        <v>1617000</v>
      </c>
      <c r="I314" s="62">
        <v>1975880856.8</v>
      </c>
    </row>
    <row r="315" spans="1:9">
      <c r="A315" s="63">
        <v>45975</v>
      </c>
      <c r="B315" s="64">
        <v>0.28692129629629631</v>
      </c>
      <c r="C315" s="63">
        <v>45975</v>
      </c>
      <c r="D315" s="62" t="s">
        <v>723</v>
      </c>
      <c r="E315" s="62"/>
      <c r="F315" s="62" t="s">
        <v>118</v>
      </c>
      <c r="G315" s="62">
        <v>0</v>
      </c>
      <c r="H315" s="62">
        <v>1450000</v>
      </c>
      <c r="I315" s="62">
        <v>1977330856.8</v>
      </c>
    </row>
    <row r="316" spans="1:9">
      <c r="A316" s="63">
        <v>45975</v>
      </c>
      <c r="B316" s="64">
        <v>0.49155092592592592</v>
      </c>
      <c r="C316" s="63">
        <v>45975</v>
      </c>
      <c r="D316" s="62" t="s">
        <v>724</v>
      </c>
      <c r="E316" s="62"/>
      <c r="F316" s="62" t="s">
        <v>725</v>
      </c>
      <c r="G316" s="62">
        <v>0</v>
      </c>
      <c r="H316" s="62">
        <v>5000000</v>
      </c>
      <c r="I316" s="62">
        <v>1989230856.8</v>
      </c>
    </row>
    <row r="317" spans="1:9">
      <c r="A317" s="63">
        <v>45975</v>
      </c>
      <c r="B317" s="64">
        <v>0.51040509259259259</v>
      </c>
      <c r="C317" s="63">
        <v>45975</v>
      </c>
      <c r="D317" s="62" t="s">
        <v>726</v>
      </c>
      <c r="E317" s="62"/>
      <c r="F317" s="62" t="s">
        <v>727</v>
      </c>
      <c r="G317" s="62">
        <v>0</v>
      </c>
      <c r="H317" s="62">
        <v>2900000</v>
      </c>
      <c r="I317" s="62">
        <v>1992130856.8</v>
      </c>
    </row>
    <row r="318" spans="1:9">
      <c r="A318" s="63">
        <v>45975</v>
      </c>
      <c r="B318" s="64">
        <v>0.56377314814814816</v>
      </c>
      <c r="C318" s="63">
        <v>45975</v>
      </c>
      <c r="D318" s="62" t="s">
        <v>728</v>
      </c>
      <c r="E318" s="62"/>
      <c r="F318" s="62" t="s">
        <v>729</v>
      </c>
      <c r="G318" s="62">
        <v>0</v>
      </c>
      <c r="H318" s="62">
        <v>4350000</v>
      </c>
      <c r="I318" s="62">
        <v>1996480856.8</v>
      </c>
    </row>
    <row r="319" spans="1:9">
      <c r="A319" s="63">
        <v>45975</v>
      </c>
      <c r="B319" s="64">
        <v>0.7050925925925926</v>
      </c>
      <c r="C319" s="63">
        <v>45975</v>
      </c>
      <c r="D319" s="62" t="s">
        <v>730</v>
      </c>
      <c r="E319" s="62"/>
      <c r="F319" s="62" t="s">
        <v>731</v>
      </c>
      <c r="G319" s="62">
        <v>0</v>
      </c>
      <c r="H319" s="62">
        <v>1400000</v>
      </c>
      <c r="I319" s="62">
        <v>2008142106.8</v>
      </c>
    </row>
    <row r="320" spans="1:9">
      <c r="A320" s="63">
        <v>45975</v>
      </c>
      <c r="B320" s="64">
        <v>0.86233796296296295</v>
      </c>
      <c r="C320" s="63">
        <v>45975</v>
      </c>
      <c r="D320" s="62" t="s">
        <v>732</v>
      </c>
      <c r="E320" s="62"/>
      <c r="F320" s="62" t="s">
        <v>170</v>
      </c>
      <c r="G320" s="62">
        <v>0</v>
      </c>
      <c r="H320" s="62">
        <v>1617000</v>
      </c>
      <c r="I320" s="62">
        <v>2013529106.8</v>
      </c>
    </row>
    <row r="321" spans="1:9">
      <c r="A321" s="63">
        <v>45976</v>
      </c>
      <c r="B321" s="64">
        <v>0.19885416666666667</v>
      </c>
      <c r="C321" s="63">
        <v>45976</v>
      </c>
      <c r="D321" s="62" t="s">
        <v>733</v>
      </c>
      <c r="E321" s="62"/>
      <c r="F321" s="62" t="s">
        <v>734</v>
      </c>
      <c r="G321" s="62">
        <v>0</v>
      </c>
      <c r="H321" s="62">
        <v>808500</v>
      </c>
      <c r="I321" s="62">
        <v>2014337606.8</v>
      </c>
    </row>
    <row r="322" spans="1:9">
      <c r="A322" s="63">
        <v>45976</v>
      </c>
      <c r="B322" s="64">
        <v>0.20043981481481482</v>
      </c>
      <c r="C322" s="63">
        <v>45976</v>
      </c>
      <c r="D322" s="62" t="s">
        <v>735</v>
      </c>
      <c r="E322" s="62"/>
      <c r="F322" s="62" t="s">
        <v>736</v>
      </c>
      <c r="G322" s="62">
        <v>0</v>
      </c>
      <c r="H322" s="62">
        <v>700000</v>
      </c>
      <c r="I322" s="62">
        <v>2015037606.8</v>
      </c>
    </row>
    <row r="323" spans="1:9">
      <c r="A323" s="63">
        <v>45976</v>
      </c>
      <c r="B323" s="64">
        <v>0.44696759259259261</v>
      </c>
      <c r="C323" s="63">
        <v>45976</v>
      </c>
      <c r="D323" s="62" t="s">
        <v>737</v>
      </c>
      <c r="E323" s="62"/>
      <c r="F323" s="62" t="s">
        <v>738</v>
      </c>
      <c r="G323" s="62">
        <v>0</v>
      </c>
      <c r="H323" s="62">
        <v>1540000</v>
      </c>
      <c r="I323" s="62">
        <v>2018257606.8</v>
      </c>
    </row>
    <row r="324" spans="1:9">
      <c r="A324" s="63">
        <v>45976</v>
      </c>
      <c r="B324" s="64">
        <v>0.51416666666666666</v>
      </c>
      <c r="C324" s="63">
        <v>45976</v>
      </c>
      <c r="D324" s="62" t="s">
        <v>739</v>
      </c>
      <c r="E324" s="62"/>
      <c r="F324" s="62" t="s">
        <v>740</v>
      </c>
      <c r="G324" s="62">
        <v>0</v>
      </c>
      <c r="H324" s="62">
        <v>1400000</v>
      </c>
      <c r="I324" s="62">
        <v>2019657606.8</v>
      </c>
    </row>
    <row r="325" spans="1:9">
      <c r="A325" s="63">
        <v>45976</v>
      </c>
      <c r="B325" s="64">
        <v>0.58061342592592591</v>
      </c>
      <c r="C325" s="63">
        <v>45976</v>
      </c>
      <c r="D325" s="62" t="s">
        <v>741</v>
      </c>
      <c r="E325" s="62"/>
      <c r="F325" s="62" t="s">
        <v>742</v>
      </c>
      <c r="G325" s="62">
        <v>0</v>
      </c>
      <c r="H325" s="62">
        <v>1450000</v>
      </c>
      <c r="I325" s="62">
        <v>2021107606.8</v>
      </c>
    </row>
    <row r="326" spans="1:9">
      <c r="A326" s="63">
        <v>45976</v>
      </c>
      <c r="B326" s="64">
        <v>0.71758101851851852</v>
      </c>
      <c r="C326" s="63">
        <v>45976</v>
      </c>
      <c r="D326" s="62" t="s">
        <v>743</v>
      </c>
      <c r="E326" s="62"/>
      <c r="F326" s="62" t="s">
        <v>744</v>
      </c>
      <c r="G326" s="62">
        <v>0</v>
      </c>
      <c r="H326" s="62">
        <v>1400000</v>
      </c>
      <c r="I326" s="62">
        <v>2026207606.8</v>
      </c>
    </row>
    <row r="327" spans="1:9">
      <c r="A327" s="63">
        <v>45976</v>
      </c>
      <c r="B327" s="64">
        <v>0.81186342592592597</v>
      </c>
      <c r="C327" s="63">
        <v>45976</v>
      </c>
      <c r="D327" s="62" t="s">
        <v>745</v>
      </c>
      <c r="E327" s="62"/>
      <c r="F327" s="62" t="s">
        <v>746</v>
      </c>
      <c r="G327" s="62">
        <v>0</v>
      </c>
      <c r="H327" s="62">
        <v>1400000</v>
      </c>
      <c r="I327" s="62">
        <v>2027607606.8</v>
      </c>
    </row>
    <row r="328" spans="1:9">
      <c r="A328" s="63">
        <v>45977</v>
      </c>
      <c r="B328" s="64">
        <v>0.48835648148148147</v>
      </c>
      <c r="C328" s="63">
        <v>45977</v>
      </c>
      <c r="D328" s="62" t="s">
        <v>747</v>
      </c>
      <c r="E328" s="62"/>
      <c r="F328" s="62" t="s">
        <v>178</v>
      </c>
      <c r="G328" s="62">
        <v>0</v>
      </c>
      <c r="H328" s="62">
        <v>1400000</v>
      </c>
      <c r="I328" s="62">
        <v>2029007606.8</v>
      </c>
    </row>
    <row r="329" spans="1:9">
      <c r="A329" s="63">
        <v>45977</v>
      </c>
      <c r="B329" s="64">
        <v>0.49906250000000002</v>
      </c>
      <c r="C329" s="63">
        <v>45977</v>
      </c>
      <c r="D329" s="62" t="s">
        <v>748</v>
      </c>
      <c r="E329" s="62"/>
      <c r="F329" s="62" t="s">
        <v>116</v>
      </c>
      <c r="G329" s="62">
        <v>0</v>
      </c>
      <c r="H329" s="62">
        <v>1400000</v>
      </c>
      <c r="I329" s="62">
        <v>2030407606.8</v>
      </c>
    </row>
    <row r="330" spans="1:9">
      <c r="A330" s="63">
        <v>45977</v>
      </c>
      <c r="B330" s="64">
        <v>0.56535879629629626</v>
      </c>
      <c r="C330" s="63">
        <v>45977</v>
      </c>
      <c r="D330" s="62" t="s">
        <v>749</v>
      </c>
      <c r="E330" s="62"/>
      <c r="F330" s="62" t="s">
        <v>750</v>
      </c>
      <c r="G330" s="62">
        <v>0</v>
      </c>
      <c r="H330" s="62">
        <v>1400000</v>
      </c>
      <c r="I330" s="62">
        <v>2033557606.8</v>
      </c>
    </row>
    <row r="331" spans="1:9">
      <c r="A331" s="63">
        <v>45977</v>
      </c>
      <c r="B331" s="64">
        <v>0.59717592592592594</v>
      </c>
      <c r="C331" s="63">
        <v>45977</v>
      </c>
      <c r="D331" s="62" t="s">
        <v>751</v>
      </c>
      <c r="E331" s="62"/>
      <c r="F331" s="62" t="s">
        <v>131</v>
      </c>
      <c r="G331" s="62">
        <v>0</v>
      </c>
      <c r="H331" s="62">
        <v>1540000</v>
      </c>
      <c r="I331" s="62">
        <v>2035097606.8</v>
      </c>
    </row>
    <row r="332" spans="1:9">
      <c r="A332" s="63">
        <v>45977</v>
      </c>
      <c r="B332" s="64">
        <v>0.62787037037037041</v>
      </c>
      <c r="C332" s="63">
        <v>45977</v>
      </c>
      <c r="D332" s="62" t="s">
        <v>752</v>
      </c>
      <c r="E332" s="62"/>
      <c r="F332" s="62" t="s">
        <v>753</v>
      </c>
      <c r="G332" s="62">
        <v>0</v>
      </c>
      <c r="H332" s="62">
        <v>1400000</v>
      </c>
      <c r="I332" s="62">
        <v>2036497606.8</v>
      </c>
    </row>
    <row r="333" spans="1:9">
      <c r="A333" s="63">
        <v>45977</v>
      </c>
      <c r="B333" s="64">
        <v>0.72864583333333333</v>
      </c>
      <c r="C333" s="63">
        <v>45977</v>
      </c>
      <c r="D333" s="62" t="s">
        <v>754</v>
      </c>
      <c r="E333" s="62"/>
      <c r="F333" s="62" t="s">
        <v>755</v>
      </c>
      <c r="G333" s="62">
        <v>0</v>
      </c>
      <c r="H333" s="62">
        <v>1617000</v>
      </c>
      <c r="I333" s="62">
        <v>2038114606.8</v>
      </c>
    </row>
    <row r="334" spans="1:9">
      <c r="A334" s="63">
        <v>45977</v>
      </c>
      <c r="B334" s="64">
        <v>0.77034722222222218</v>
      </c>
      <c r="C334" s="63">
        <v>45977</v>
      </c>
      <c r="D334" s="62" t="s">
        <v>756</v>
      </c>
      <c r="E334" s="62"/>
      <c r="F334" s="62" t="s">
        <v>757</v>
      </c>
      <c r="G334" s="62">
        <v>0</v>
      </c>
      <c r="H334" s="62">
        <v>1617000</v>
      </c>
      <c r="I334" s="62">
        <v>2039731606.8</v>
      </c>
    </row>
    <row r="335" spans="1:9">
      <c r="A335" s="63">
        <v>45977</v>
      </c>
      <c r="B335" s="64">
        <v>0.85465277777777782</v>
      </c>
      <c r="C335" s="63">
        <v>45977</v>
      </c>
      <c r="D335" s="62" t="s">
        <v>758</v>
      </c>
      <c r="E335" s="62"/>
      <c r="F335" s="62" t="s">
        <v>759</v>
      </c>
      <c r="G335" s="62">
        <v>0</v>
      </c>
      <c r="H335" s="62">
        <v>2800000</v>
      </c>
      <c r="I335" s="62">
        <v>2042531606.8</v>
      </c>
    </row>
    <row r="336" spans="1:9">
      <c r="A336" s="63">
        <v>45977</v>
      </c>
      <c r="B336" s="64">
        <v>0.88783564814814819</v>
      </c>
      <c r="C336" s="63">
        <v>45977</v>
      </c>
      <c r="D336" s="62" t="s">
        <v>760</v>
      </c>
      <c r="E336" s="62"/>
      <c r="F336" s="62" t="s">
        <v>151</v>
      </c>
      <c r="G336" s="62">
        <v>0</v>
      </c>
      <c r="H336" s="62">
        <v>1450000</v>
      </c>
      <c r="I336" s="62">
        <v>2043981606.8</v>
      </c>
    </row>
    <row r="337" spans="1:9">
      <c r="A337" s="63">
        <v>45978</v>
      </c>
      <c r="B337" s="64">
        <v>0.31451388888888887</v>
      </c>
      <c r="C337" s="63">
        <v>45978</v>
      </c>
      <c r="D337" s="62" t="s">
        <v>761</v>
      </c>
      <c r="E337" s="62"/>
      <c r="F337" s="62" t="s">
        <v>762</v>
      </c>
      <c r="G337" s="62">
        <v>0</v>
      </c>
      <c r="H337" s="62">
        <v>1540000</v>
      </c>
      <c r="I337" s="62">
        <v>2045521606.8</v>
      </c>
    </row>
    <row r="338" spans="1:9">
      <c r="A338" s="63">
        <v>45978</v>
      </c>
      <c r="B338" s="64">
        <v>0.58546296296296296</v>
      </c>
      <c r="C338" s="63">
        <v>45978</v>
      </c>
      <c r="D338" s="62" t="s">
        <v>763</v>
      </c>
      <c r="E338" s="62"/>
      <c r="F338" s="62" t="s">
        <v>764</v>
      </c>
      <c r="G338" s="62">
        <v>0</v>
      </c>
      <c r="H338" s="62">
        <v>1450000</v>
      </c>
      <c r="I338" s="62">
        <v>2054706772.8</v>
      </c>
    </row>
    <row r="339" spans="1:9">
      <c r="A339" s="63">
        <v>45978</v>
      </c>
      <c r="B339" s="64">
        <v>0.59225694444444443</v>
      </c>
      <c r="C339" s="63">
        <v>45978</v>
      </c>
      <c r="D339" s="62" t="s">
        <v>765</v>
      </c>
      <c r="E339" s="62"/>
      <c r="F339" s="62" t="s">
        <v>766</v>
      </c>
      <c r="G339" s="62">
        <v>0</v>
      </c>
      <c r="H339" s="62">
        <v>1617000</v>
      </c>
      <c r="I339" s="62">
        <v>2056323772.8</v>
      </c>
    </row>
    <row r="340" spans="1:9">
      <c r="A340" s="63">
        <v>45978</v>
      </c>
      <c r="B340" s="64">
        <v>0.65011574074074074</v>
      </c>
      <c r="C340" s="63">
        <v>45978</v>
      </c>
      <c r="D340" s="62" t="s">
        <v>767</v>
      </c>
      <c r="E340" s="62"/>
      <c r="F340" s="62" t="s">
        <v>768</v>
      </c>
      <c r="G340" s="62">
        <v>0</v>
      </c>
      <c r="H340" s="62">
        <v>1450000</v>
      </c>
      <c r="I340" s="62">
        <v>2057773772.8</v>
      </c>
    </row>
    <row r="341" spans="1:9">
      <c r="A341" s="63">
        <v>45978</v>
      </c>
      <c r="B341" s="64">
        <v>0.69550925925925922</v>
      </c>
      <c r="C341" s="63">
        <v>45978</v>
      </c>
      <c r="D341" s="62" t="s">
        <v>769</v>
      </c>
      <c r="E341" s="62"/>
      <c r="F341" s="62" t="s">
        <v>770</v>
      </c>
      <c r="G341" s="62">
        <v>0</v>
      </c>
      <c r="H341" s="62">
        <v>1617000</v>
      </c>
      <c r="I341" s="62">
        <v>2059390772.8</v>
      </c>
    </row>
    <row r="342" spans="1:9">
      <c r="A342" s="63">
        <v>45978</v>
      </c>
      <c r="B342" s="64">
        <v>0.77134259259259264</v>
      </c>
      <c r="C342" s="63">
        <v>45978</v>
      </c>
      <c r="D342" s="62" t="s">
        <v>771</v>
      </c>
      <c r="E342" s="62"/>
      <c r="F342" s="62" t="s">
        <v>92</v>
      </c>
      <c r="G342" s="62">
        <v>0</v>
      </c>
      <c r="H342" s="62">
        <v>1400000</v>
      </c>
      <c r="I342" s="62">
        <v>2062690772.8</v>
      </c>
    </row>
    <row r="343" spans="1:9">
      <c r="A343" s="63">
        <v>45979</v>
      </c>
      <c r="B343" s="64">
        <v>0.91287037037037033</v>
      </c>
      <c r="C343" s="63">
        <v>45979</v>
      </c>
      <c r="D343" s="62" t="s">
        <v>772</v>
      </c>
      <c r="E343" s="62"/>
      <c r="F343" s="62" t="s">
        <v>773</v>
      </c>
      <c r="G343" s="62">
        <v>0</v>
      </c>
      <c r="H343" s="62">
        <v>1450000</v>
      </c>
      <c r="I343" s="62">
        <v>2067910772.8</v>
      </c>
    </row>
    <row r="344" spans="1:9">
      <c r="A344" s="63">
        <v>45980</v>
      </c>
      <c r="B344" s="64">
        <v>0.23826388888888889</v>
      </c>
      <c r="C344" s="63">
        <v>45980</v>
      </c>
      <c r="D344" s="62" t="s">
        <v>774</v>
      </c>
      <c r="E344" s="62"/>
      <c r="F344" s="62" t="s">
        <v>775</v>
      </c>
      <c r="G344" s="62">
        <v>0</v>
      </c>
      <c r="H344" s="62">
        <v>1450000</v>
      </c>
      <c r="I344" s="62">
        <v>2069360772.8</v>
      </c>
    </row>
    <row r="345" spans="1:9">
      <c r="A345" s="63">
        <v>45980</v>
      </c>
      <c r="B345" s="64">
        <v>0.38163194444444443</v>
      </c>
      <c r="C345" s="63">
        <v>45980</v>
      </c>
      <c r="D345" s="62" t="s">
        <v>776</v>
      </c>
      <c r="E345" s="62"/>
      <c r="F345" s="62" t="s">
        <v>777</v>
      </c>
      <c r="G345" s="62">
        <v>0</v>
      </c>
      <c r="H345" s="62">
        <v>4200000</v>
      </c>
      <c r="I345" s="62">
        <v>2073560772.8</v>
      </c>
    </row>
    <row r="346" spans="1:9">
      <c r="A346" s="63">
        <v>45980</v>
      </c>
      <c r="B346" s="64">
        <v>0.41346064814814815</v>
      </c>
      <c r="C346" s="63">
        <v>45980</v>
      </c>
      <c r="D346" s="62" t="s">
        <v>778</v>
      </c>
      <c r="E346" s="62"/>
      <c r="F346" s="62" t="s">
        <v>779</v>
      </c>
      <c r="G346" s="62">
        <v>0</v>
      </c>
      <c r="H346" s="62">
        <v>1450000</v>
      </c>
      <c r="I346" s="62">
        <v>2075010772.8</v>
      </c>
    </row>
    <row r="347" spans="1:9">
      <c r="A347" s="63">
        <v>45980</v>
      </c>
      <c r="B347" s="64">
        <v>0.41400462962962964</v>
      </c>
      <c r="C347" s="63">
        <v>45980</v>
      </c>
      <c r="D347" s="62" t="s">
        <v>780</v>
      </c>
      <c r="E347" s="62"/>
      <c r="F347" s="62" t="s">
        <v>781</v>
      </c>
      <c r="G347" s="62">
        <v>0</v>
      </c>
      <c r="H347" s="62">
        <v>1540000</v>
      </c>
      <c r="I347" s="62">
        <v>2076550772.8</v>
      </c>
    </row>
    <row r="348" spans="1:9">
      <c r="A348" s="63">
        <v>45980</v>
      </c>
      <c r="B348" s="64">
        <v>0.45126157407407408</v>
      </c>
      <c r="C348" s="63">
        <v>45980</v>
      </c>
      <c r="D348" s="62" t="s">
        <v>782</v>
      </c>
      <c r="E348" s="62"/>
      <c r="F348" s="62" t="s">
        <v>783</v>
      </c>
      <c r="G348" s="62">
        <v>0</v>
      </c>
      <c r="H348" s="62">
        <v>1540000</v>
      </c>
      <c r="I348" s="62">
        <v>2084975243.8</v>
      </c>
    </row>
    <row r="349" spans="1:9">
      <c r="A349" s="63">
        <v>45980</v>
      </c>
      <c r="B349" s="64">
        <v>0.45307870370370368</v>
      </c>
      <c r="C349" s="63">
        <v>45980</v>
      </c>
      <c r="D349" s="62" t="s">
        <v>784</v>
      </c>
      <c r="E349" s="62"/>
      <c r="F349" s="62" t="s">
        <v>785</v>
      </c>
      <c r="G349" s="62">
        <v>0</v>
      </c>
      <c r="H349" s="62">
        <v>1400000</v>
      </c>
      <c r="I349" s="62">
        <v>2086375243.8</v>
      </c>
    </row>
    <row r="350" spans="1:9">
      <c r="A350" s="63">
        <v>45980</v>
      </c>
      <c r="B350" s="64">
        <v>0.82574074074074078</v>
      </c>
      <c r="C350" s="63">
        <v>45980</v>
      </c>
      <c r="D350" s="62" t="s">
        <v>786</v>
      </c>
      <c r="E350" s="62"/>
      <c r="F350" s="62" t="s">
        <v>787</v>
      </c>
      <c r="G350" s="62">
        <v>0</v>
      </c>
      <c r="H350" s="62">
        <v>1400000</v>
      </c>
      <c r="I350" s="62">
        <v>2089525243.8</v>
      </c>
    </row>
    <row r="351" spans="1:9">
      <c r="A351" s="63">
        <v>45981</v>
      </c>
      <c r="B351" s="64">
        <v>0.27251157407407406</v>
      </c>
      <c r="C351" s="63">
        <v>45981</v>
      </c>
      <c r="D351" s="62" t="s">
        <v>788</v>
      </c>
      <c r="E351" s="62"/>
      <c r="F351" s="62" t="s">
        <v>789</v>
      </c>
      <c r="G351" s="62">
        <v>0</v>
      </c>
      <c r="H351" s="62">
        <v>1400000</v>
      </c>
      <c r="I351" s="62">
        <v>2092825243.8</v>
      </c>
    </row>
    <row r="352" spans="1:9">
      <c r="A352" s="63">
        <v>45981</v>
      </c>
      <c r="B352" s="64">
        <v>0.27355324074074072</v>
      </c>
      <c r="C352" s="63">
        <v>45981</v>
      </c>
      <c r="D352" s="62" t="s">
        <v>790</v>
      </c>
      <c r="E352" s="62"/>
      <c r="F352" s="62" t="s">
        <v>791</v>
      </c>
      <c r="G352" s="62">
        <v>0</v>
      </c>
      <c r="H352" s="62">
        <v>1400000</v>
      </c>
      <c r="I352" s="62">
        <v>2094225243.8</v>
      </c>
    </row>
    <row r="353" spans="1:9">
      <c r="A353" s="63">
        <v>45981</v>
      </c>
      <c r="B353" s="64">
        <v>0.42978009259259259</v>
      </c>
      <c r="C353" s="63">
        <v>45981</v>
      </c>
      <c r="D353" s="62" t="s">
        <v>792</v>
      </c>
      <c r="E353" s="62"/>
      <c r="F353" s="62" t="s">
        <v>793</v>
      </c>
      <c r="G353" s="62">
        <v>0</v>
      </c>
      <c r="H353" s="62">
        <v>1540000</v>
      </c>
      <c r="I353" s="62">
        <v>2095765243.8</v>
      </c>
    </row>
    <row r="354" spans="1:9">
      <c r="A354" s="63">
        <v>45981</v>
      </c>
      <c r="B354" s="64">
        <v>0.48480324074074072</v>
      </c>
      <c r="C354" s="63">
        <v>45981</v>
      </c>
      <c r="D354" s="62" t="s">
        <v>794</v>
      </c>
      <c r="E354" s="62"/>
      <c r="F354" s="62" t="s">
        <v>795</v>
      </c>
      <c r="G354" s="62">
        <v>0</v>
      </c>
      <c r="H354" s="62">
        <v>1400000</v>
      </c>
      <c r="I354" s="62">
        <v>2097165243.8</v>
      </c>
    </row>
    <row r="355" spans="1:9">
      <c r="A355" s="63">
        <v>45981</v>
      </c>
      <c r="B355" s="64">
        <v>0.78925925925925922</v>
      </c>
      <c r="C355" s="63">
        <v>45981</v>
      </c>
      <c r="D355" s="62" t="s">
        <v>796</v>
      </c>
      <c r="E355" s="62"/>
      <c r="F355" s="62" t="s">
        <v>797</v>
      </c>
      <c r="G355" s="62">
        <v>0</v>
      </c>
      <c r="H355" s="62">
        <v>8400000</v>
      </c>
      <c r="I355" s="62">
        <v>2107245243.8</v>
      </c>
    </row>
    <row r="356" spans="1:9">
      <c r="A356" s="63">
        <v>45981</v>
      </c>
      <c r="B356" s="64">
        <v>0.79399305555555555</v>
      </c>
      <c r="C356" s="63">
        <v>45981</v>
      </c>
      <c r="D356" s="62" t="s">
        <v>798</v>
      </c>
      <c r="E356" s="62"/>
      <c r="F356" s="62" t="s">
        <v>799</v>
      </c>
      <c r="G356" s="62">
        <v>0</v>
      </c>
      <c r="H356" s="62">
        <v>8400000</v>
      </c>
      <c r="I356" s="62">
        <v>2115645243.8</v>
      </c>
    </row>
    <row r="357" spans="1:9">
      <c r="A357" s="63">
        <v>45982</v>
      </c>
      <c r="B357" s="64">
        <v>0.36978009259259259</v>
      </c>
      <c r="C357" s="63">
        <v>45982</v>
      </c>
      <c r="D357" s="62" t="s">
        <v>800</v>
      </c>
      <c r="E357" s="62"/>
      <c r="F357" s="62" t="s">
        <v>801</v>
      </c>
      <c r="G357" s="62">
        <v>0</v>
      </c>
      <c r="H357" s="62">
        <v>1540000</v>
      </c>
      <c r="I357" s="62">
        <v>2119085243.8</v>
      </c>
    </row>
    <row r="358" spans="1:9">
      <c r="A358" s="63">
        <v>45982</v>
      </c>
      <c r="B358" s="64">
        <v>0.3699189814814815</v>
      </c>
      <c r="C358" s="63">
        <v>45982</v>
      </c>
      <c r="D358" s="62" t="s">
        <v>802</v>
      </c>
      <c r="E358" s="62"/>
      <c r="F358" s="62" t="s">
        <v>803</v>
      </c>
      <c r="G358" s="62">
        <v>0</v>
      </c>
      <c r="H358" s="62">
        <v>1617000</v>
      </c>
      <c r="I358" s="62">
        <v>2120702243.8</v>
      </c>
    </row>
    <row r="359" spans="1:9">
      <c r="A359" s="63">
        <v>45982</v>
      </c>
      <c r="B359" s="64">
        <v>0.78040509259259261</v>
      </c>
      <c r="C359" s="63">
        <v>45982</v>
      </c>
      <c r="D359" s="62" t="s">
        <v>804</v>
      </c>
      <c r="E359" s="62"/>
      <c r="F359" s="62" t="s">
        <v>805</v>
      </c>
      <c r="G359" s="62">
        <v>0</v>
      </c>
      <c r="H359" s="62">
        <v>1450000</v>
      </c>
      <c r="I359" s="62">
        <v>2122152243.8</v>
      </c>
    </row>
    <row r="360" spans="1:9" s="67" customFormat="1">
      <c r="A360" s="65">
        <v>45983</v>
      </c>
      <c r="B360" s="66">
        <v>0.20343749999999999</v>
      </c>
      <c r="C360" s="65">
        <v>45983</v>
      </c>
      <c r="D360" s="67" t="s">
        <v>806</v>
      </c>
      <c r="F360" s="67" t="s">
        <v>807</v>
      </c>
      <c r="G360" s="67">
        <v>0</v>
      </c>
      <c r="H360" s="67">
        <v>1617000</v>
      </c>
      <c r="I360" s="67">
        <v>2123769243.8</v>
      </c>
    </row>
    <row r="361" spans="1:9" s="67" customFormat="1">
      <c r="A361" s="65">
        <v>45983</v>
      </c>
      <c r="B361" s="66">
        <v>0.20399305555555555</v>
      </c>
      <c r="C361" s="65">
        <v>45983</v>
      </c>
      <c r="D361" s="67" t="s">
        <v>808</v>
      </c>
      <c r="F361" s="67" t="s">
        <v>809</v>
      </c>
      <c r="G361" s="67">
        <v>0</v>
      </c>
      <c r="H361" s="67">
        <v>1617000</v>
      </c>
      <c r="I361" s="67">
        <v>2125386243.8</v>
      </c>
    </row>
    <row r="362" spans="1:9">
      <c r="A362" s="63">
        <v>45983</v>
      </c>
      <c r="B362" s="64">
        <v>0.41642361111111109</v>
      </c>
      <c r="C362" s="63">
        <v>45983</v>
      </c>
      <c r="D362" s="62" t="s">
        <v>810</v>
      </c>
      <c r="E362" s="62"/>
      <c r="F362" s="62" t="s">
        <v>811</v>
      </c>
      <c r="G362" s="62">
        <v>0</v>
      </c>
      <c r="H362" s="62">
        <v>1450000</v>
      </c>
      <c r="I362" s="62">
        <v>2126836243.8</v>
      </c>
    </row>
    <row r="363" spans="1:9">
      <c r="A363" s="63">
        <v>45984</v>
      </c>
      <c r="B363" s="64">
        <v>0.78855324074074074</v>
      </c>
      <c r="C363" s="63">
        <v>45984</v>
      </c>
      <c r="D363" s="62" t="s">
        <v>812</v>
      </c>
      <c r="E363" s="62"/>
      <c r="F363" s="62" t="s">
        <v>813</v>
      </c>
      <c r="G363" s="62">
        <v>0</v>
      </c>
      <c r="H363" s="62">
        <v>1617000</v>
      </c>
      <c r="I363" s="62">
        <v>2130203243.8</v>
      </c>
    </row>
    <row r="364" spans="1:9">
      <c r="A364" s="63">
        <v>45985</v>
      </c>
      <c r="B364" s="64">
        <v>0.32648148148148148</v>
      </c>
      <c r="C364" s="63">
        <v>45985</v>
      </c>
      <c r="D364" s="62" t="s">
        <v>814</v>
      </c>
      <c r="E364" s="62"/>
      <c r="F364" s="62" t="s">
        <v>815</v>
      </c>
      <c r="G364" s="62">
        <v>0</v>
      </c>
      <c r="H364" s="62">
        <v>1400000</v>
      </c>
      <c r="I364" s="62">
        <v>2138428243.8</v>
      </c>
    </row>
    <row r="365" spans="1:9">
      <c r="A365" s="63">
        <v>45985</v>
      </c>
      <c r="B365" s="64">
        <v>0.40317129629629628</v>
      </c>
      <c r="C365" s="63">
        <v>45985</v>
      </c>
      <c r="D365" s="62" t="s">
        <v>816</v>
      </c>
      <c r="E365" s="62"/>
      <c r="F365" s="62" t="s">
        <v>817</v>
      </c>
      <c r="G365" s="62">
        <v>0</v>
      </c>
      <c r="H365" s="62">
        <v>1540000</v>
      </c>
      <c r="I365" s="62">
        <v>2142735743.8</v>
      </c>
    </row>
    <row r="366" spans="1:9">
      <c r="A366" s="63">
        <v>45985</v>
      </c>
      <c r="B366" s="64">
        <v>0.40515046296296298</v>
      </c>
      <c r="C366" s="63">
        <v>45985</v>
      </c>
      <c r="D366" s="62" t="s">
        <v>818</v>
      </c>
      <c r="E366" s="62"/>
      <c r="F366" s="62" t="s">
        <v>819</v>
      </c>
      <c r="G366" s="62">
        <v>0</v>
      </c>
      <c r="H366" s="62">
        <v>1450000</v>
      </c>
      <c r="I366" s="62">
        <v>2144185743.8</v>
      </c>
    </row>
    <row r="367" spans="1:9">
      <c r="A367" s="63">
        <v>45985</v>
      </c>
      <c r="B367" s="64">
        <v>0.42552083333333335</v>
      </c>
      <c r="C367" s="63">
        <v>45985</v>
      </c>
      <c r="D367" s="62" t="s">
        <v>820</v>
      </c>
      <c r="E367" s="62"/>
      <c r="F367" s="62" t="s">
        <v>821</v>
      </c>
      <c r="G367" s="62">
        <v>0</v>
      </c>
      <c r="H367" s="62">
        <v>1617000</v>
      </c>
      <c r="I367" s="62">
        <v>2147752743.8000002</v>
      </c>
    </row>
    <row r="368" spans="1:9">
      <c r="A368" s="63">
        <v>45985</v>
      </c>
      <c r="B368" s="64">
        <v>0.56999999999999995</v>
      </c>
      <c r="C368" s="63">
        <v>45985</v>
      </c>
      <c r="D368" s="62" t="s">
        <v>822</v>
      </c>
      <c r="E368" s="62"/>
      <c r="F368" s="62" t="s">
        <v>823</v>
      </c>
      <c r="G368" s="62">
        <v>0</v>
      </c>
      <c r="H368" s="62">
        <v>1400000</v>
      </c>
      <c r="I368" s="62">
        <v>2152320243.8000002</v>
      </c>
    </row>
    <row r="369" spans="1:9">
      <c r="A369" s="63">
        <v>45985</v>
      </c>
      <c r="B369" s="64">
        <v>0.57103009259259263</v>
      </c>
      <c r="C369" s="63">
        <v>45985</v>
      </c>
      <c r="D369" s="62" t="s">
        <v>824</v>
      </c>
      <c r="E369" s="62"/>
      <c r="F369" s="62" t="s">
        <v>825</v>
      </c>
      <c r="G369" s="62">
        <v>0</v>
      </c>
      <c r="H369" s="62">
        <v>1617000</v>
      </c>
      <c r="I369" s="62">
        <v>2153937243.8000002</v>
      </c>
    </row>
    <row r="370" spans="1:9">
      <c r="A370" s="63">
        <v>45985</v>
      </c>
      <c r="B370" s="64">
        <v>0.63361111111111112</v>
      </c>
      <c r="C370" s="63">
        <v>45985</v>
      </c>
      <c r="D370" s="62" t="s">
        <v>826</v>
      </c>
      <c r="E370" s="62"/>
      <c r="F370" s="62" t="s">
        <v>827</v>
      </c>
      <c r="G370" s="62">
        <v>0</v>
      </c>
      <c r="H370" s="62">
        <v>1450000</v>
      </c>
      <c r="I370" s="62">
        <v>2159437243.8000002</v>
      </c>
    </row>
    <row r="371" spans="1:9">
      <c r="A371" s="63">
        <v>45985</v>
      </c>
      <c r="B371" s="64">
        <v>0.64659722222222227</v>
      </c>
      <c r="C371" s="63">
        <v>45985</v>
      </c>
      <c r="D371" s="62" t="s">
        <v>828</v>
      </c>
      <c r="E371" s="62"/>
      <c r="F371" s="62" t="s">
        <v>829</v>
      </c>
      <c r="G371" s="62">
        <v>0</v>
      </c>
      <c r="H371" s="62">
        <v>1400000</v>
      </c>
      <c r="I371" s="62">
        <v>2160837243.8000002</v>
      </c>
    </row>
    <row r="372" spans="1:9">
      <c r="A372" s="63">
        <v>45986</v>
      </c>
      <c r="B372" s="64">
        <v>0.20729166666666668</v>
      </c>
      <c r="C372" s="63">
        <v>45986</v>
      </c>
      <c r="D372" s="62" t="s">
        <v>830</v>
      </c>
      <c r="E372" s="62"/>
      <c r="F372" s="62" t="s">
        <v>153</v>
      </c>
      <c r="G372" s="62">
        <v>0</v>
      </c>
      <c r="H372" s="62">
        <v>1400000</v>
      </c>
      <c r="I372" s="62">
        <v>2170062812.8000002</v>
      </c>
    </row>
    <row r="373" spans="1:9">
      <c r="A373" s="63">
        <v>45986</v>
      </c>
      <c r="B373" s="64">
        <v>0.23412037037037037</v>
      </c>
      <c r="C373" s="63">
        <v>45986</v>
      </c>
      <c r="D373" s="62" t="s">
        <v>831</v>
      </c>
      <c r="E373" s="62"/>
      <c r="F373" s="62" t="s">
        <v>832</v>
      </c>
      <c r="G373" s="62">
        <v>0</v>
      </c>
      <c r="H373" s="62">
        <v>1450000</v>
      </c>
      <c r="I373" s="62">
        <v>2171512812.8000002</v>
      </c>
    </row>
    <row r="374" spans="1:9">
      <c r="A374" s="63">
        <v>45986</v>
      </c>
      <c r="B374" s="64">
        <v>0.26126157407407408</v>
      </c>
      <c r="C374" s="63">
        <v>45986</v>
      </c>
      <c r="D374" s="62" t="s">
        <v>833</v>
      </c>
      <c r="E374" s="62"/>
      <c r="F374" s="62" t="s">
        <v>834</v>
      </c>
      <c r="G374" s="62">
        <v>0</v>
      </c>
      <c r="H374" s="62">
        <v>1400000</v>
      </c>
      <c r="I374" s="62">
        <v>2175002812.8000002</v>
      </c>
    </row>
    <row r="375" spans="1:9">
      <c r="A375" s="63">
        <v>45986</v>
      </c>
      <c r="B375" s="64">
        <v>0.26931712962962961</v>
      </c>
      <c r="C375" s="63">
        <v>45986</v>
      </c>
      <c r="D375" s="62" t="s">
        <v>835</v>
      </c>
      <c r="E375" s="62"/>
      <c r="F375" s="62" t="s">
        <v>836</v>
      </c>
      <c r="G375" s="62">
        <v>0</v>
      </c>
      <c r="H375" s="62">
        <v>1540000</v>
      </c>
      <c r="I375" s="62">
        <v>2176542812.8000002</v>
      </c>
    </row>
    <row r="376" spans="1:9">
      <c r="A376" s="63">
        <v>45986</v>
      </c>
      <c r="B376" s="64">
        <v>0.28974537037037035</v>
      </c>
      <c r="C376" s="63">
        <v>45986</v>
      </c>
      <c r="D376" s="62" t="s">
        <v>837</v>
      </c>
      <c r="E376" s="62"/>
      <c r="F376" s="62" t="s">
        <v>64</v>
      </c>
      <c r="G376" s="62">
        <v>0</v>
      </c>
      <c r="H376" s="62">
        <v>1450000</v>
      </c>
      <c r="I376" s="62">
        <v>2177992812.8000002</v>
      </c>
    </row>
    <row r="377" spans="1:9">
      <c r="A377" s="63">
        <v>45986</v>
      </c>
      <c r="B377" s="64">
        <v>0.30204861111111109</v>
      </c>
      <c r="C377" s="63">
        <v>45986</v>
      </c>
      <c r="D377" s="62" t="s">
        <v>838</v>
      </c>
      <c r="E377" s="62"/>
      <c r="F377" s="62" t="s">
        <v>839</v>
      </c>
      <c r="G377" s="62">
        <v>0</v>
      </c>
      <c r="H377" s="62">
        <v>1617000</v>
      </c>
      <c r="I377" s="62">
        <v>2179609812.8000002</v>
      </c>
    </row>
    <row r="378" spans="1:9">
      <c r="A378" s="63">
        <v>45986</v>
      </c>
      <c r="B378" s="64">
        <v>0.30814814814814817</v>
      </c>
      <c r="C378" s="63">
        <v>45986</v>
      </c>
      <c r="D378" s="62" t="s">
        <v>840</v>
      </c>
      <c r="E378" s="62"/>
      <c r="F378" s="62" t="s">
        <v>841</v>
      </c>
      <c r="G378" s="62">
        <v>0</v>
      </c>
      <c r="H378" s="62">
        <v>1540000</v>
      </c>
      <c r="I378" s="62">
        <v>2181149812.8000002</v>
      </c>
    </row>
    <row r="379" spans="1:9">
      <c r="A379" s="63">
        <v>45986</v>
      </c>
      <c r="B379" s="64">
        <v>0.30913194444444442</v>
      </c>
      <c r="C379" s="63">
        <v>45986</v>
      </c>
      <c r="D379" s="62" t="s">
        <v>842</v>
      </c>
      <c r="E379" s="62"/>
      <c r="F379" s="62" t="s">
        <v>843</v>
      </c>
      <c r="G379" s="62">
        <v>0</v>
      </c>
      <c r="H379" s="62">
        <v>1540000</v>
      </c>
      <c r="I379" s="62">
        <v>2182689812.8000002</v>
      </c>
    </row>
    <row r="380" spans="1:9">
      <c r="A380" s="63">
        <v>45986</v>
      </c>
      <c r="B380" s="64">
        <v>0.35631944444444447</v>
      </c>
      <c r="C380" s="63">
        <v>45986</v>
      </c>
      <c r="D380" s="62" t="s">
        <v>844</v>
      </c>
      <c r="E380" s="62"/>
      <c r="F380" s="62" t="s">
        <v>845</v>
      </c>
      <c r="G380" s="62">
        <v>0</v>
      </c>
      <c r="H380" s="62">
        <v>1617000</v>
      </c>
      <c r="I380" s="62">
        <v>2189896812.8000002</v>
      </c>
    </row>
    <row r="381" spans="1:9">
      <c r="A381" s="63">
        <v>45986</v>
      </c>
      <c r="B381" s="64">
        <v>0.35846064814814815</v>
      </c>
      <c r="C381" s="63">
        <v>45986</v>
      </c>
      <c r="D381" s="62" t="s">
        <v>846</v>
      </c>
      <c r="E381" s="62"/>
      <c r="F381" s="62" t="s">
        <v>847</v>
      </c>
      <c r="G381" s="62">
        <v>0</v>
      </c>
      <c r="H381" s="62">
        <v>1400000</v>
      </c>
      <c r="I381" s="62">
        <v>2191296812.8000002</v>
      </c>
    </row>
    <row r="382" spans="1:9">
      <c r="A382" s="63">
        <v>45986</v>
      </c>
      <c r="B382" s="64">
        <v>0.3590740740740741</v>
      </c>
      <c r="C382" s="63">
        <v>45986</v>
      </c>
      <c r="D382" s="62" t="s">
        <v>848</v>
      </c>
      <c r="E382" s="62"/>
      <c r="F382" s="62" t="s">
        <v>849</v>
      </c>
      <c r="G382" s="62">
        <v>0</v>
      </c>
      <c r="H382" s="62">
        <v>1400000</v>
      </c>
      <c r="I382" s="62">
        <v>2192696812.8000002</v>
      </c>
    </row>
    <row r="383" spans="1:9">
      <c r="A383" s="63">
        <v>45986</v>
      </c>
      <c r="B383" s="64">
        <v>0.35975694444444445</v>
      </c>
      <c r="C383" s="63">
        <v>45986</v>
      </c>
      <c r="D383" s="62" t="s">
        <v>850</v>
      </c>
      <c r="E383" s="62"/>
      <c r="F383" s="62" t="s">
        <v>851</v>
      </c>
      <c r="G383" s="62">
        <v>0</v>
      </c>
      <c r="H383" s="62">
        <v>1450000</v>
      </c>
      <c r="I383" s="62">
        <v>2194146812.8000002</v>
      </c>
    </row>
    <row r="384" spans="1:9">
      <c r="A384" s="63">
        <v>45986</v>
      </c>
      <c r="B384" s="64">
        <v>0.3606597222222222</v>
      </c>
      <c r="C384" s="63">
        <v>45986</v>
      </c>
      <c r="D384" s="62" t="s">
        <v>852</v>
      </c>
      <c r="E384" s="62"/>
      <c r="F384" s="62" t="s">
        <v>853</v>
      </c>
      <c r="G384" s="62">
        <v>0</v>
      </c>
      <c r="H384" s="62">
        <v>1400000</v>
      </c>
      <c r="I384" s="62">
        <v>2195546812.8000002</v>
      </c>
    </row>
    <row r="385" spans="1:9">
      <c r="A385" s="63">
        <v>45986</v>
      </c>
      <c r="B385" s="64">
        <v>0.37493055555555554</v>
      </c>
      <c r="C385" s="63">
        <v>45986</v>
      </c>
      <c r="D385" s="62" t="s">
        <v>854</v>
      </c>
      <c r="E385" s="62"/>
      <c r="F385" s="62" t="s">
        <v>855</v>
      </c>
      <c r="G385" s="62">
        <v>0</v>
      </c>
      <c r="H385" s="62">
        <v>1540000</v>
      </c>
      <c r="I385" s="62">
        <v>2197086812.8000002</v>
      </c>
    </row>
    <row r="386" spans="1:9">
      <c r="A386" s="63">
        <v>45986</v>
      </c>
      <c r="B386" s="64">
        <v>0.38809027777777777</v>
      </c>
      <c r="C386" s="63">
        <v>45986</v>
      </c>
      <c r="D386" s="62" t="s">
        <v>856</v>
      </c>
      <c r="E386" s="62"/>
      <c r="F386" s="62" t="s">
        <v>857</v>
      </c>
      <c r="G386" s="62">
        <v>0</v>
      </c>
      <c r="H386" s="62">
        <v>1450000</v>
      </c>
      <c r="I386" s="62">
        <v>2201109312.8000002</v>
      </c>
    </row>
    <row r="387" spans="1:9">
      <c r="A387" s="63">
        <v>45986</v>
      </c>
      <c r="B387" s="64">
        <v>0.39101851851851854</v>
      </c>
      <c r="C387" s="63">
        <v>45986</v>
      </c>
      <c r="D387" s="62" t="s">
        <v>858</v>
      </c>
      <c r="E387" s="62"/>
      <c r="F387" s="62" t="s">
        <v>859</v>
      </c>
      <c r="G387" s="62">
        <v>0</v>
      </c>
      <c r="H387" s="62">
        <v>1540000</v>
      </c>
      <c r="I387" s="62">
        <v>2202649312.8000002</v>
      </c>
    </row>
    <row r="388" spans="1:9">
      <c r="A388" s="63">
        <v>45986</v>
      </c>
      <c r="B388" s="64">
        <v>0.41965277777777776</v>
      </c>
      <c r="C388" s="63">
        <v>45986</v>
      </c>
      <c r="D388" s="62" t="s">
        <v>860</v>
      </c>
      <c r="E388" s="62"/>
      <c r="F388" s="62" t="s">
        <v>861</v>
      </c>
      <c r="G388" s="62">
        <v>0</v>
      </c>
      <c r="H388" s="62">
        <v>1617000</v>
      </c>
      <c r="I388" s="62">
        <v>2206166312.8000002</v>
      </c>
    </row>
    <row r="389" spans="1:9">
      <c r="A389" s="63">
        <v>45986</v>
      </c>
      <c r="B389" s="64">
        <v>0.42994212962962963</v>
      </c>
      <c r="C389" s="63">
        <v>45986</v>
      </c>
      <c r="D389" s="62" t="s">
        <v>862</v>
      </c>
      <c r="E389" s="62"/>
      <c r="F389" s="62" t="s">
        <v>863</v>
      </c>
      <c r="G389" s="62">
        <v>0</v>
      </c>
      <c r="H389" s="62">
        <v>1450000</v>
      </c>
      <c r="I389" s="62">
        <v>2207616312.8000002</v>
      </c>
    </row>
    <row r="390" spans="1:9">
      <c r="A390" s="63">
        <v>45986</v>
      </c>
      <c r="B390" s="64">
        <v>0.43033564814814818</v>
      </c>
      <c r="C390" s="63">
        <v>45986</v>
      </c>
      <c r="D390" s="62" t="s">
        <v>864</v>
      </c>
      <c r="E390" s="62"/>
      <c r="F390" s="62" t="s">
        <v>865</v>
      </c>
      <c r="G390" s="62">
        <v>0</v>
      </c>
      <c r="H390" s="62">
        <v>1450000</v>
      </c>
      <c r="I390" s="62">
        <v>2209066312.8000002</v>
      </c>
    </row>
    <row r="391" spans="1:9">
      <c r="A391" s="63">
        <v>45986</v>
      </c>
      <c r="B391" s="64">
        <v>0.43234953703703705</v>
      </c>
      <c r="C391" s="63">
        <v>45986</v>
      </c>
      <c r="D391" s="62" t="s">
        <v>866</v>
      </c>
      <c r="E391" s="62"/>
      <c r="F391" s="62" t="s">
        <v>867</v>
      </c>
      <c r="G391" s="62">
        <v>0</v>
      </c>
      <c r="H391" s="62">
        <v>1450000</v>
      </c>
      <c r="I391" s="62">
        <v>2210516312.8000002</v>
      </c>
    </row>
    <row r="392" spans="1:9">
      <c r="A392" s="63">
        <v>45986</v>
      </c>
      <c r="B392" s="64">
        <v>0.45531250000000001</v>
      </c>
      <c r="C392" s="63">
        <v>45986</v>
      </c>
      <c r="D392" s="62" t="s">
        <v>868</v>
      </c>
      <c r="E392" s="62"/>
      <c r="F392" s="62" t="s">
        <v>869</v>
      </c>
      <c r="G392" s="62">
        <v>0</v>
      </c>
      <c r="H392" s="62">
        <v>1617000</v>
      </c>
      <c r="I392" s="62">
        <v>2212133312.8000002</v>
      </c>
    </row>
    <row r="393" spans="1:9">
      <c r="A393" s="63">
        <v>45986</v>
      </c>
      <c r="B393" s="64">
        <v>0.4649537037037037</v>
      </c>
      <c r="C393" s="63">
        <v>45986</v>
      </c>
      <c r="D393" s="62" t="s">
        <v>870</v>
      </c>
      <c r="E393" s="62"/>
      <c r="F393" s="62" t="s">
        <v>128</v>
      </c>
      <c r="G393" s="62">
        <v>0</v>
      </c>
      <c r="H393" s="62">
        <v>1617000</v>
      </c>
      <c r="I393" s="62">
        <v>2213750312.8000002</v>
      </c>
    </row>
    <row r="394" spans="1:9">
      <c r="A394" s="63">
        <v>45986</v>
      </c>
      <c r="B394" s="64">
        <v>0.47930555555555554</v>
      </c>
      <c r="C394" s="63">
        <v>45986</v>
      </c>
      <c r="D394" s="62" t="s">
        <v>871</v>
      </c>
      <c r="E394" s="62"/>
      <c r="F394" s="62" t="s">
        <v>872</v>
      </c>
      <c r="G394" s="62">
        <v>0</v>
      </c>
      <c r="H394" s="62">
        <v>1617000</v>
      </c>
      <c r="I394" s="62">
        <v>2215367312.8000002</v>
      </c>
    </row>
    <row r="395" spans="1:9">
      <c r="A395" s="63">
        <v>45986</v>
      </c>
      <c r="B395" s="64">
        <v>0.48474537037037035</v>
      </c>
      <c r="C395" s="63">
        <v>45986</v>
      </c>
      <c r="D395" s="62" t="s">
        <v>873</v>
      </c>
      <c r="E395" s="62"/>
      <c r="F395" s="62" t="s">
        <v>874</v>
      </c>
      <c r="G395" s="62">
        <v>0</v>
      </c>
      <c r="H395" s="62">
        <v>2800000</v>
      </c>
      <c r="I395" s="62">
        <v>2218167312.8000002</v>
      </c>
    </row>
    <row r="396" spans="1:9">
      <c r="A396" s="63">
        <v>45986</v>
      </c>
      <c r="B396" s="64">
        <v>0.49584490740740739</v>
      </c>
      <c r="C396" s="63">
        <v>45986</v>
      </c>
      <c r="D396" s="62" t="s">
        <v>875</v>
      </c>
      <c r="E396" s="62"/>
      <c r="F396" s="62" t="s">
        <v>876</v>
      </c>
      <c r="G396" s="62">
        <v>0</v>
      </c>
      <c r="H396" s="62">
        <v>3234000</v>
      </c>
      <c r="I396" s="62">
        <v>2221401312.8000002</v>
      </c>
    </row>
    <row r="397" spans="1:9">
      <c r="A397" s="63">
        <v>45986</v>
      </c>
      <c r="B397" s="64">
        <v>0.50608796296296299</v>
      </c>
      <c r="C397" s="63">
        <v>45986</v>
      </c>
      <c r="D397" s="62" t="s">
        <v>877</v>
      </c>
      <c r="E397" s="62"/>
      <c r="F397" s="62" t="s">
        <v>878</v>
      </c>
      <c r="G397" s="62">
        <v>0</v>
      </c>
      <c r="H397" s="62">
        <v>1617000</v>
      </c>
      <c r="I397" s="62">
        <v>2226528312.8000002</v>
      </c>
    </row>
    <row r="398" spans="1:9">
      <c r="A398" s="63">
        <v>45986</v>
      </c>
      <c r="B398" s="64">
        <v>0.53581018518518519</v>
      </c>
      <c r="C398" s="63">
        <v>45986</v>
      </c>
      <c r="D398" s="62" t="s">
        <v>879</v>
      </c>
      <c r="E398" s="62"/>
      <c r="F398" s="62" t="s">
        <v>880</v>
      </c>
      <c r="G398" s="62">
        <v>0</v>
      </c>
      <c r="H398" s="62">
        <v>1540000</v>
      </c>
      <c r="I398" s="62">
        <v>2229168312.8000002</v>
      </c>
    </row>
    <row r="399" spans="1:9">
      <c r="A399" s="63">
        <v>45986</v>
      </c>
      <c r="B399" s="64">
        <v>0.53746527777777775</v>
      </c>
      <c r="C399" s="63">
        <v>45986</v>
      </c>
      <c r="D399" s="62" t="s">
        <v>881</v>
      </c>
      <c r="E399" s="62"/>
      <c r="F399" s="62" t="s">
        <v>882</v>
      </c>
      <c r="G399" s="62">
        <v>0</v>
      </c>
      <c r="H399" s="62">
        <v>1400000</v>
      </c>
      <c r="I399" s="62">
        <v>2230568312.8000002</v>
      </c>
    </row>
    <row r="400" spans="1:9">
      <c r="A400" s="63">
        <v>45986</v>
      </c>
      <c r="B400" s="64">
        <v>0.58261574074074074</v>
      </c>
      <c r="C400" s="63">
        <v>45986</v>
      </c>
      <c r="D400" s="62" t="s">
        <v>883</v>
      </c>
      <c r="E400" s="62"/>
      <c r="F400" s="62" t="s">
        <v>884</v>
      </c>
      <c r="G400" s="62">
        <v>0</v>
      </c>
      <c r="H400" s="62">
        <v>1400000</v>
      </c>
      <c r="I400" s="62">
        <v>2233385812.8000002</v>
      </c>
    </row>
    <row r="401" spans="1:9">
      <c r="A401" s="63">
        <v>45986</v>
      </c>
      <c r="B401" s="64">
        <v>0.60043981481481479</v>
      </c>
      <c r="C401" s="63">
        <v>45986</v>
      </c>
      <c r="D401" s="62" t="s">
        <v>885</v>
      </c>
      <c r="E401" s="62"/>
      <c r="F401" s="62" t="s">
        <v>886</v>
      </c>
      <c r="G401" s="62">
        <v>0</v>
      </c>
      <c r="H401" s="62">
        <v>1450000</v>
      </c>
      <c r="I401" s="62">
        <v>2238335812.8000002</v>
      </c>
    </row>
    <row r="402" spans="1:9">
      <c r="A402" s="63">
        <v>45986</v>
      </c>
      <c r="B402" s="64">
        <v>0.60328703703703701</v>
      </c>
      <c r="C402" s="63">
        <v>45986</v>
      </c>
      <c r="D402" s="62" t="s">
        <v>887</v>
      </c>
      <c r="E402" s="62"/>
      <c r="F402" s="62" t="s">
        <v>145</v>
      </c>
      <c r="G402" s="62">
        <v>0</v>
      </c>
      <c r="H402" s="62">
        <v>1617000</v>
      </c>
      <c r="I402" s="62">
        <v>2239952812.8000002</v>
      </c>
    </row>
    <row r="403" spans="1:9">
      <c r="A403" s="63">
        <v>45986</v>
      </c>
      <c r="B403" s="64">
        <v>0.61869212962962961</v>
      </c>
      <c r="C403" s="63">
        <v>45986</v>
      </c>
      <c r="D403" s="62" t="s">
        <v>888</v>
      </c>
      <c r="E403" s="62"/>
      <c r="F403" s="62" t="s">
        <v>889</v>
      </c>
      <c r="G403" s="62">
        <v>0</v>
      </c>
      <c r="H403" s="62">
        <v>1400000</v>
      </c>
      <c r="I403" s="62">
        <v>2241352812.8000002</v>
      </c>
    </row>
    <row r="404" spans="1:9">
      <c r="A404" s="63">
        <v>45986</v>
      </c>
      <c r="B404" s="64">
        <v>0.64940972222222226</v>
      </c>
      <c r="C404" s="63">
        <v>45986</v>
      </c>
      <c r="D404" s="62" t="s">
        <v>890</v>
      </c>
      <c r="E404" s="62"/>
      <c r="F404" s="62" t="s">
        <v>891</v>
      </c>
      <c r="G404" s="62">
        <v>0</v>
      </c>
      <c r="H404" s="62">
        <v>1540000</v>
      </c>
      <c r="I404" s="62">
        <v>2249892812.8000002</v>
      </c>
    </row>
    <row r="405" spans="1:9">
      <c r="A405" s="63">
        <v>45986</v>
      </c>
      <c r="B405" s="64">
        <v>0.70001157407407411</v>
      </c>
      <c r="C405" s="63">
        <v>45986</v>
      </c>
      <c r="D405" s="62" t="s">
        <v>892</v>
      </c>
      <c r="E405" s="62"/>
      <c r="F405" s="62" t="s">
        <v>893</v>
      </c>
      <c r="G405" s="62">
        <v>0</v>
      </c>
      <c r="H405" s="62">
        <v>1400000</v>
      </c>
      <c r="I405" s="62">
        <v>2258762812.8000002</v>
      </c>
    </row>
    <row r="406" spans="1:9">
      <c r="A406" s="63">
        <v>45986</v>
      </c>
      <c r="B406" s="64">
        <v>0.70053240740740741</v>
      </c>
      <c r="C406" s="63">
        <v>45986</v>
      </c>
      <c r="D406" s="62" t="s">
        <v>894</v>
      </c>
      <c r="E406" s="62"/>
      <c r="F406" s="62" t="s">
        <v>895</v>
      </c>
      <c r="G406" s="62">
        <v>0</v>
      </c>
      <c r="H406" s="62">
        <v>1600000</v>
      </c>
      <c r="I406" s="62">
        <v>2260362812.8000002</v>
      </c>
    </row>
    <row r="407" spans="1:9">
      <c r="A407" s="63">
        <v>45986</v>
      </c>
      <c r="B407" s="64">
        <v>0.71307870370370374</v>
      </c>
      <c r="C407" s="63">
        <v>45986</v>
      </c>
      <c r="D407" s="62" t="s">
        <v>896</v>
      </c>
      <c r="E407" s="62"/>
      <c r="F407" s="62" t="s">
        <v>897</v>
      </c>
      <c r="G407" s="62">
        <v>0</v>
      </c>
      <c r="H407" s="62">
        <v>1400000</v>
      </c>
      <c r="I407" s="62">
        <v>2261762812.8000002</v>
      </c>
    </row>
    <row r="408" spans="1:9">
      <c r="A408" s="63">
        <v>45986</v>
      </c>
      <c r="B408" s="64">
        <v>0.79216435185185186</v>
      </c>
      <c r="C408" s="63">
        <v>45986</v>
      </c>
      <c r="D408" s="62" t="s">
        <v>898</v>
      </c>
      <c r="E408" s="62"/>
      <c r="F408" s="62" t="s">
        <v>899</v>
      </c>
      <c r="G408" s="62">
        <v>0</v>
      </c>
      <c r="H408" s="62">
        <v>1400000</v>
      </c>
      <c r="I408" s="62">
        <v>2263162812.8000002</v>
      </c>
    </row>
    <row r="409" spans="1:9">
      <c r="A409" s="63">
        <v>45986</v>
      </c>
      <c r="B409" s="64">
        <v>0.79714120370370367</v>
      </c>
      <c r="C409" s="63">
        <v>45986</v>
      </c>
      <c r="D409" s="62" t="s">
        <v>900</v>
      </c>
      <c r="E409" s="62"/>
      <c r="F409" s="62" t="s">
        <v>901</v>
      </c>
      <c r="G409" s="62">
        <v>0</v>
      </c>
      <c r="H409" s="62">
        <v>1617000</v>
      </c>
      <c r="I409" s="62">
        <v>2265934812.8000002</v>
      </c>
    </row>
    <row r="410" spans="1:9">
      <c r="A410" s="63">
        <v>45986</v>
      </c>
      <c r="B410" s="64">
        <v>0.79927083333333337</v>
      </c>
      <c r="C410" s="63">
        <v>45986</v>
      </c>
      <c r="D410" s="62" t="s">
        <v>902</v>
      </c>
      <c r="E410" s="62"/>
      <c r="F410" s="62" t="s">
        <v>63</v>
      </c>
      <c r="G410" s="62">
        <v>0</v>
      </c>
      <c r="H410" s="62">
        <v>1450000</v>
      </c>
      <c r="I410" s="62">
        <v>2267384812.8000002</v>
      </c>
    </row>
    <row r="411" spans="1:9">
      <c r="A411" s="63">
        <v>45986</v>
      </c>
      <c r="B411" s="64">
        <v>0.81940972222222219</v>
      </c>
      <c r="C411" s="63">
        <v>45986</v>
      </c>
      <c r="D411" s="62" t="s">
        <v>903</v>
      </c>
      <c r="E411" s="62"/>
      <c r="F411" s="62" t="s">
        <v>904</v>
      </c>
      <c r="G411" s="62">
        <v>0</v>
      </c>
      <c r="H411" s="62">
        <v>1617000</v>
      </c>
      <c r="I411" s="62">
        <v>2270419312.8000002</v>
      </c>
    </row>
    <row r="412" spans="1:9">
      <c r="A412" s="63">
        <v>45986</v>
      </c>
      <c r="B412" s="64">
        <v>0.84244212962962961</v>
      </c>
      <c r="C412" s="63">
        <v>45986</v>
      </c>
      <c r="D412" s="62" t="s">
        <v>905</v>
      </c>
      <c r="E412" s="62"/>
      <c r="F412" s="62" t="s">
        <v>113</v>
      </c>
      <c r="G412" s="62">
        <v>0</v>
      </c>
      <c r="H412" s="62">
        <v>1400000</v>
      </c>
      <c r="I412" s="62">
        <v>2271819312.8000002</v>
      </c>
    </row>
    <row r="413" spans="1:9">
      <c r="A413" s="63">
        <v>45986</v>
      </c>
      <c r="B413" s="64">
        <v>0.85270833333333329</v>
      </c>
      <c r="C413" s="63">
        <v>45986</v>
      </c>
      <c r="D413" s="62" t="s">
        <v>906</v>
      </c>
      <c r="E413" s="62"/>
      <c r="F413" s="62" t="s">
        <v>65</v>
      </c>
      <c r="G413" s="62">
        <v>0</v>
      </c>
      <c r="H413" s="62">
        <v>1540000</v>
      </c>
      <c r="I413" s="62">
        <v>2273359312.8000002</v>
      </c>
    </row>
    <row r="414" spans="1:9">
      <c r="A414" s="63">
        <v>45986</v>
      </c>
      <c r="B414" s="64">
        <v>0.87329861111111107</v>
      </c>
      <c r="C414" s="63">
        <v>45986</v>
      </c>
      <c r="D414" s="62" t="s">
        <v>907</v>
      </c>
      <c r="E414" s="62"/>
      <c r="F414" s="62" t="s">
        <v>182</v>
      </c>
      <c r="G414" s="62">
        <v>0</v>
      </c>
      <c r="H414" s="62">
        <v>1617000</v>
      </c>
      <c r="I414" s="62">
        <v>2274976312.8000002</v>
      </c>
    </row>
    <row r="415" spans="1:9">
      <c r="A415" s="63">
        <v>45987</v>
      </c>
      <c r="B415" s="64">
        <v>0.23689814814814814</v>
      </c>
      <c r="C415" s="63">
        <v>45987</v>
      </c>
      <c r="D415" s="62" t="s">
        <v>908</v>
      </c>
      <c r="E415" s="62"/>
      <c r="F415" s="62" t="s">
        <v>909</v>
      </c>
      <c r="G415" s="62">
        <v>0</v>
      </c>
      <c r="H415" s="62">
        <v>700000</v>
      </c>
      <c r="I415" s="62">
        <v>2278776312.8000002</v>
      </c>
    </row>
    <row r="416" spans="1:9">
      <c r="A416" s="63">
        <v>45987</v>
      </c>
      <c r="B416" s="64">
        <v>0.24090277777777777</v>
      </c>
      <c r="C416" s="63">
        <v>45987</v>
      </c>
      <c r="D416" s="62" t="s">
        <v>910</v>
      </c>
      <c r="E416" s="62"/>
      <c r="F416" s="62" t="s">
        <v>117</v>
      </c>
      <c r="G416" s="62">
        <v>0</v>
      </c>
      <c r="H416" s="62">
        <v>1450000</v>
      </c>
      <c r="I416" s="62">
        <v>2280226312.8000002</v>
      </c>
    </row>
    <row r="417" spans="1:9">
      <c r="A417" s="63">
        <v>45987</v>
      </c>
      <c r="B417" s="64">
        <v>0.25760416666666669</v>
      </c>
      <c r="C417" s="63">
        <v>45987</v>
      </c>
      <c r="D417" s="62" t="s">
        <v>911</v>
      </c>
      <c r="E417" s="62"/>
      <c r="F417" s="62" t="s">
        <v>912</v>
      </c>
      <c r="G417" s="62">
        <v>0</v>
      </c>
      <c r="H417" s="62">
        <v>1400000</v>
      </c>
      <c r="I417" s="62">
        <v>2281626312.8000002</v>
      </c>
    </row>
    <row r="418" spans="1:9">
      <c r="A418" s="63">
        <v>45987</v>
      </c>
      <c r="B418" s="64">
        <v>0.30462962962962964</v>
      </c>
      <c r="C418" s="63">
        <v>45987</v>
      </c>
      <c r="D418" s="62" t="s">
        <v>913</v>
      </c>
      <c r="E418" s="62"/>
      <c r="F418" s="62" t="s">
        <v>180</v>
      </c>
      <c r="G418" s="62">
        <v>0</v>
      </c>
      <c r="H418" s="62">
        <v>1450000</v>
      </c>
      <c r="I418" s="62">
        <v>2286751312.8000002</v>
      </c>
    </row>
    <row r="419" spans="1:9">
      <c r="A419" s="63">
        <v>45987</v>
      </c>
      <c r="B419" s="64">
        <v>0.30499999999999999</v>
      </c>
      <c r="C419" s="63">
        <v>45987</v>
      </c>
      <c r="D419" s="62" t="s">
        <v>914</v>
      </c>
      <c r="E419" s="62"/>
      <c r="F419" s="62" t="s">
        <v>181</v>
      </c>
      <c r="G419" s="62">
        <v>0</v>
      </c>
      <c r="H419" s="62">
        <v>1450000</v>
      </c>
      <c r="I419" s="62">
        <v>2290126312.8000002</v>
      </c>
    </row>
    <row r="420" spans="1:9">
      <c r="A420" s="63">
        <v>45987</v>
      </c>
      <c r="B420" s="64">
        <v>0.30622685185185183</v>
      </c>
      <c r="C420" s="63">
        <v>45987</v>
      </c>
      <c r="D420" s="62" t="s">
        <v>915</v>
      </c>
      <c r="E420" s="62"/>
      <c r="F420" s="62" t="s">
        <v>916</v>
      </c>
      <c r="G420" s="62">
        <v>0</v>
      </c>
      <c r="H420" s="62">
        <v>1400000</v>
      </c>
      <c r="I420" s="62">
        <v>2291526312.8000002</v>
      </c>
    </row>
    <row r="421" spans="1:9">
      <c r="A421" s="63">
        <v>45987</v>
      </c>
      <c r="B421" s="64">
        <v>0.31181712962962965</v>
      </c>
      <c r="C421" s="63">
        <v>45987</v>
      </c>
      <c r="D421" s="62" t="s">
        <v>917</v>
      </c>
      <c r="E421" s="62"/>
      <c r="F421" s="62" t="s">
        <v>179</v>
      </c>
      <c r="G421" s="62">
        <v>0</v>
      </c>
      <c r="H421" s="62">
        <v>1400000</v>
      </c>
      <c r="I421" s="62">
        <v>2292926312.8000002</v>
      </c>
    </row>
    <row r="422" spans="1:9">
      <c r="A422" s="63">
        <v>45987</v>
      </c>
      <c r="B422" s="64">
        <v>0.33004629629629628</v>
      </c>
      <c r="C422" s="63">
        <v>45987</v>
      </c>
      <c r="D422" s="62" t="s">
        <v>918</v>
      </c>
      <c r="E422" s="62"/>
      <c r="F422" s="62" t="s">
        <v>919</v>
      </c>
      <c r="G422" s="62">
        <v>0</v>
      </c>
      <c r="H422" s="62">
        <v>1400000</v>
      </c>
      <c r="I422" s="62">
        <v>2294326312.8000002</v>
      </c>
    </row>
    <row r="423" spans="1:9">
      <c r="A423" s="63">
        <v>45987</v>
      </c>
      <c r="B423" s="64">
        <v>0.34649305555555554</v>
      </c>
      <c r="C423" s="63">
        <v>45987</v>
      </c>
      <c r="D423" s="62" t="s">
        <v>920</v>
      </c>
      <c r="E423" s="62"/>
      <c r="F423" s="62" t="s">
        <v>67</v>
      </c>
      <c r="G423" s="62">
        <v>0</v>
      </c>
      <c r="H423" s="62">
        <v>1540000</v>
      </c>
      <c r="I423" s="62">
        <v>2297116312.8000002</v>
      </c>
    </row>
    <row r="424" spans="1:9">
      <c r="A424" s="63">
        <v>45987</v>
      </c>
      <c r="B424" s="64">
        <v>0.34684027777777776</v>
      </c>
      <c r="C424" s="63">
        <v>45987</v>
      </c>
      <c r="D424" s="62" t="s">
        <v>921</v>
      </c>
      <c r="E424" s="62"/>
      <c r="F424" s="62" t="s">
        <v>66</v>
      </c>
      <c r="G424" s="62">
        <v>0</v>
      </c>
      <c r="H424" s="62">
        <v>1400000</v>
      </c>
      <c r="I424" s="62">
        <v>2298516312.8000002</v>
      </c>
    </row>
    <row r="425" spans="1:9">
      <c r="A425" s="63">
        <v>45987</v>
      </c>
      <c r="B425" s="64">
        <v>0.35076388888888888</v>
      </c>
      <c r="C425" s="63">
        <v>45987</v>
      </c>
      <c r="D425" s="62" t="s">
        <v>922</v>
      </c>
      <c r="E425" s="62"/>
      <c r="F425" s="62" t="s">
        <v>923</v>
      </c>
      <c r="G425" s="62">
        <v>0</v>
      </c>
      <c r="H425" s="62">
        <v>1450000</v>
      </c>
      <c r="I425" s="62">
        <v>2299966312.8000002</v>
      </c>
    </row>
    <row r="426" spans="1:9">
      <c r="A426" s="63">
        <v>45987</v>
      </c>
      <c r="B426" s="64">
        <v>0.3982175925925926</v>
      </c>
      <c r="C426" s="63">
        <v>45987</v>
      </c>
      <c r="D426" s="62" t="s">
        <v>924</v>
      </c>
      <c r="E426" s="62"/>
      <c r="F426" s="62" t="s">
        <v>925</v>
      </c>
      <c r="G426" s="62">
        <v>0</v>
      </c>
      <c r="H426" s="62">
        <v>2800000</v>
      </c>
      <c r="I426" s="62">
        <v>2304691312.8000002</v>
      </c>
    </row>
    <row r="427" spans="1:9">
      <c r="A427" s="63">
        <v>45987</v>
      </c>
      <c r="B427" s="64">
        <v>0.4009490740740741</v>
      </c>
      <c r="C427" s="63">
        <v>45987</v>
      </c>
      <c r="D427" s="62" t="s">
        <v>926</v>
      </c>
      <c r="E427" s="62"/>
      <c r="F427" s="62" t="s">
        <v>927</v>
      </c>
      <c r="G427" s="62">
        <v>0</v>
      </c>
      <c r="H427" s="62">
        <v>1617000</v>
      </c>
      <c r="I427" s="62">
        <v>2308398312.8000002</v>
      </c>
    </row>
    <row r="428" spans="1:9">
      <c r="A428" s="63">
        <v>45987</v>
      </c>
      <c r="B428" s="64">
        <v>0.43703703703703706</v>
      </c>
      <c r="C428" s="63">
        <v>45987</v>
      </c>
      <c r="D428" s="62" t="s">
        <v>928</v>
      </c>
      <c r="E428" s="62"/>
      <c r="F428" s="62" t="s">
        <v>929</v>
      </c>
      <c r="G428" s="62">
        <v>0</v>
      </c>
      <c r="H428" s="62">
        <v>1450000</v>
      </c>
      <c r="I428" s="62">
        <v>2309848312.8000002</v>
      </c>
    </row>
    <row r="429" spans="1:9">
      <c r="A429" s="63">
        <v>45987</v>
      </c>
      <c r="B429" s="64">
        <v>0.4757986111111111</v>
      </c>
      <c r="C429" s="63">
        <v>45987</v>
      </c>
      <c r="D429" s="62" t="s">
        <v>930</v>
      </c>
      <c r="E429" s="62"/>
      <c r="F429" s="62" t="s">
        <v>931</v>
      </c>
      <c r="G429" s="62">
        <v>0</v>
      </c>
      <c r="H429" s="62">
        <v>1617000</v>
      </c>
      <c r="I429" s="62">
        <v>2313365312.8000002</v>
      </c>
    </row>
    <row r="430" spans="1:9">
      <c r="A430" s="63">
        <v>45987</v>
      </c>
      <c r="B430" s="64">
        <v>0.47855324074074074</v>
      </c>
      <c r="C430" s="63">
        <v>45987</v>
      </c>
      <c r="D430" s="62" t="s">
        <v>932</v>
      </c>
      <c r="E430" s="62"/>
      <c r="F430" s="62" t="s">
        <v>933</v>
      </c>
      <c r="G430" s="62">
        <v>0</v>
      </c>
      <c r="H430" s="62">
        <v>2800000</v>
      </c>
      <c r="I430" s="62">
        <v>2316165312.8000002</v>
      </c>
    </row>
    <row r="431" spans="1:9">
      <c r="A431" s="63">
        <v>45987</v>
      </c>
      <c r="B431" s="64">
        <v>0.53158564814814813</v>
      </c>
      <c r="C431" s="63">
        <v>45987</v>
      </c>
      <c r="D431" s="62" t="s">
        <v>934</v>
      </c>
      <c r="E431" s="62"/>
      <c r="F431" s="62" t="s">
        <v>935</v>
      </c>
      <c r="G431" s="62">
        <v>0</v>
      </c>
      <c r="H431" s="62">
        <v>1617000</v>
      </c>
      <c r="I431" s="62">
        <v>2317782312.8000002</v>
      </c>
    </row>
    <row r="432" spans="1:9">
      <c r="A432" s="63">
        <v>45987</v>
      </c>
      <c r="B432" s="64">
        <v>0.53228009259259257</v>
      </c>
      <c r="C432" s="63">
        <v>45987</v>
      </c>
      <c r="D432" s="62" t="s">
        <v>936</v>
      </c>
      <c r="E432" s="62"/>
      <c r="F432" s="62" t="s">
        <v>937</v>
      </c>
      <c r="G432" s="62">
        <v>0</v>
      </c>
      <c r="H432" s="62">
        <v>1540000</v>
      </c>
      <c r="I432" s="62">
        <v>2319322312.8000002</v>
      </c>
    </row>
    <row r="433" spans="1:9">
      <c r="A433" s="63">
        <v>45987</v>
      </c>
      <c r="B433" s="64">
        <v>0.53597222222222218</v>
      </c>
      <c r="C433" s="63">
        <v>45987</v>
      </c>
      <c r="D433" s="62" t="s">
        <v>938</v>
      </c>
      <c r="E433" s="62"/>
      <c r="F433" s="62" t="s">
        <v>76</v>
      </c>
      <c r="G433" s="62">
        <v>0</v>
      </c>
      <c r="H433" s="62">
        <v>1450000</v>
      </c>
      <c r="I433" s="62">
        <v>2320772312.8000002</v>
      </c>
    </row>
    <row r="434" spans="1:9">
      <c r="A434" s="63">
        <v>45987</v>
      </c>
      <c r="B434" s="64">
        <v>0.55997685185185186</v>
      </c>
      <c r="C434" s="63">
        <v>45987</v>
      </c>
      <c r="D434" s="62" t="s">
        <v>939</v>
      </c>
      <c r="E434" s="62"/>
      <c r="F434" s="62" t="s">
        <v>940</v>
      </c>
      <c r="G434" s="62">
        <v>0</v>
      </c>
      <c r="H434" s="62">
        <v>1400000</v>
      </c>
      <c r="I434" s="62">
        <v>2322172312.8000002</v>
      </c>
    </row>
    <row r="435" spans="1:9">
      <c r="A435" s="63">
        <v>45987</v>
      </c>
      <c r="B435" s="64">
        <v>0.56109953703703708</v>
      </c>
      <c r="C435" s="63">
        <v>45987</v>
      </c>
      <c r="D435" s="62" t="s">
        <v>941</v>
      </c>
      <c r="E435" s="62"/>
      <c r="F435" s="62" t="s">
        <v>183</v>
      </c>
      <c r="G435" s="62">
        <v>0</v>
      </c>
      <c r="H435" s="62">
        <v>1400000</v>
      </c>
      <c r="I435" s="62">
        <v>2323572312.8000002</v>
      </c>
    </row>
    <row r="436" spans="1:9">
      <c r="A436" s="63">
        <v>45987</v>
      </c>
      <c r="B436" s="64">
        <v>0.56307870370370372</v>
      </c>
      <c r="C436" s="63">
        <v>45987</v>
      </c>
      <c r="D436" s="62" t="s">
        <v>942</v>
      </c>
      <c r="E436" s="62"/>
      <c r="F436" s="62" t="s">
        <v>943</v>
      </c>
      <c r="G436" s="62">
        <v>0</v>
      </c>
      <c r="H436" s="62">
        <v>1617000</v>
      </c>
      <c r="I436" s="62">
        <v>2325189312.8000002</v>
      </c>
    </row>
    <row r="437" spans="1:9">
      <c r="A437" s="63">
        <v>45987</v>
      </c>
      <c r="B437" s="64">
        <v>0.58879629629629626</v>
      </c>
      <c r="C437" s="63">
        <v>45987</v>
      </c>
      <c r="D437" s="62" t="s">
        <v>944</v>
      </c>
      <c r="E437" s="62"/>
      <c r="F437" s="62" t="s">
        <v>945</v>
      </c>
      <c r="G437" s="62">
        <v>0</v>
      </c>
      <c r="H437" s="62">
        <v>1400000</v>
      </c>
      <c r="I437" s="62">
        <v>2326589312.8000002</v>
      </c>
    </row>
    <row r="438" spans="1:9">
      <c r="A438" s="63">
        <v>45987</v>
      </c>
      <c r="B438" s="64">
        <v>0.61327546296296298</v>
      </c>
      <c r="C438" s="63">
        <v>45987</v>
      </c>
      <c r="D438" s="62" t="s">
        <v>946</v>
      </c>
      <c r="E438" s="62"/>
      <c r="F438" s="62" t="s">
        <v>947</v>
      </c>
      <c r="G438" s="62">
        <v>0</v>
      </c>
      <c r="H438" s="62">
        <v>1540000</v>
      </c>
      <c r="I438" s="62">
        <v>2328129312.8000002</v>
      </c>
    </row>
    <row r="439" spans="1:9">
      <c r="A439" s="63">
        <v>45987</v>
      </c>
      <c r="B439" s="64">
        <v>0.62045138888888884</v>
      </c>
      <c r="C439" s="63">
        <v>45987</v>
      </c>
      <c r="D439" s="62" t="s">
        <v>948</v>
      </c>
      <c r="E439" s="62"/>
      <c r="F439" s="62" t="s">
        <v>949</v>
      </c>
      <c r="G439" s="62">
        <v>0</v>
      </c>
      <c r="H439" s="62">
        <v>1400000</v>
      </c>
      <c r="I439" s="62">
        <v>2329529312.8000002</v>
      </c>
    </row>
    <row r="440" spans="1:9">
      <c r="A440" s="63">
        <v>45987</v>
      </c>
      <c r="B440" s="64">
        <v>0.62146990740740737</v>
      </c>
      <c r="C440" s="63">
        <v>45987</v>
      </c>
      <c r="D440" s="62" t="s">
        <v>950</v>
      </c>
      <c r="E440" s="62"/>
      <c r="F440" s="62" t="s">
        <v>951</v>
      </c>
      <c r="G440" s="62">
        <v>0</v>
      </c>
      <c r="H440" s="62">
        <v>1400000</v>
      </c>
      <c r="I440" s="62">
        <v>2330929312.8000002</v>
      </c>
    </row>
    <row r="441" spans="1:9">
      <c r="A441" s="63">
        <v>45987</v>
      </c>
      <c r="B441" s="64">
        <v>0.62247685185185186</v>
      </c>
      <c r="C441" s="63">
        <v>45987</v>
      </c>
      <c r="D441" s="62" t="s">
        <v>952</v>
      </c>
      <c r="E441" s="62"/>
      <c r="F441" s="62" t="s">
        <v>953</v>
      </c>
      <c r="G441" s="62">
        <v>0</v>
      </c>
      <c r="H441" s="62">
        <v>1450000</v>
      </c>
      <c r="I441" s="62">
        <v>2332379312.8000002</v>
      </c>
    </row>
    <row r="442" spans="1:9">
      <c r="A442" s="63">
        <v>45987</v>
      </c>
      <c r="B442" s="64">
        <v>0.62326388888888884</v>
      </c>
      <c r="C442" s="63">
        <v>45987</v>
      </c>
      <c r="D442" s="62" t="s">
        <v>954</v>
      </c>
      <c r="E442" s="62"/>
      <c r="F442" s="62" t="s">
        <v>955</v>
      </c>
      <c r="G442" s="62">
        <v>0</v>
      </c>
      <c r="H442" s="62">
        <v>1450000</v>
      </c>
      <c r="I442" s="62">
        <v>2333829312.8000002</v>
      </c>
    </row>
    <row r="443" spans="1:9">
      <c r="A443" s="63">
        <v>45987</v>
      </c>
      <c r="B443" s="64">
        <v>0.62657407407407406</v>
      </c>
      <c r="C443" s="63">
        <v>45987</v>
      </c>
      <c r="D443" s="62" t="s">
        <v>956</v>
      </c>
      <c r="E443" s="62"/>
      <c r="F443" s="62" t="s">
        <v>957</v>
      </c>
      <c r="G443" s="62">
        <v>0</v>
      </c>
      <c r="H443" s="62">
        <v>4620000</v>
      </c>
      <c r="I443" s="62">
        <v>2338449312.8000002</v>
      </c>
    </row>
    <row r="444" spans="1:9">
      <c r="A444" s="63">
        <v>45987</v>
      </c>
      <c r="B444" s="64">
        <v>0.67876157407407411</v>
      </c>
      <c r="C444" s="63">
        <v>45987</v>
      </c>
      <c r="D444" s="62" t="s">
        <v>958</v>
      </c>
      <c r="E444" s="62"/>
      <c r="F444" s="62" t="s">
        <v>959</v>
      </c>
      <c r="G444" s="62">
        <v>0</v>
      </c>
      <c r="H444" s="62">
        <v>1450000</v>
      </c>
      <c r="I444" s="62">
        <v>2339899312.8000002</v>
      </c>
    </row>
    <row r="445" spans="1:9">
      <c r="A445" s="63">
        <v>45987</v>
      </c>
      <c r="B445" s="64">
        <v>0.69270833333333337</v>
      </c>
      <c r="C445" s="63">
        <v>45987</v>
      </c>
      <c r="D445" s="62" t="s">
        <v>960</v>
      </c>
      <c r="E445" s="62"/>
      <c r="F445" s="62" t="s">
        <v>961</v>
      </c>
      <c r="G445" s="62">
        <v>0</v>
      </c>
      <c r="H445" s="62">
        <v>1617000</v>
      </c>
      <c r="I445" s="62">
        <v>2341516312.8000002</v>
      </c>
    </row>
    <row r="446" spans="1:9">
      <c r="A446" s="63">
        <v>45987</v>
      </c>
      <c r="B446" s="64">
        <v>0.69406250000000003</v>
      </c>
      <c r="C446" s="63">
        <v>45987</v>
      </c>
      <c r="D446" s="62" t="s">
        <v>962</v>
      </c>
      <c r="E446" s="62"/>
      <c r="F446" s="62" t="s">
        <v>963</v>
      </c>
      <c r="G446" s="62">
        <v>0</v>
      </c>
      <c r="H446" s="62">
        <v>1400000</v>
      </c>
      <c r="I446" s="62">
        <v>2342916312.8000002</v>
      </c>
    </row>
    <row r="447" spans="1:9">
      <c r="A447" s="63">
        <v>45987</v>
      </c>
      <c r="B447" s="64">
        <v>0.73932870370370374</v>
      </c>
      <c r="C447" s="63">
        <v>45987</v>
      </c>
      <c r="D447" s="62" t="s">
        <v>964</v>
      </c>
      <c r="E447" s="62"/>
      <c r="F447" s="62" t="s">
        <v>965</v>
      </c>
      <c r="G447" s="62">
        <v>0</v>
      </c>
      <c r="H447" s="62">
        <v>1617000</v>
      </c>
      <c r="I447" s="62">
        <v>2345688312.8000002</v>
      </c>
    </row>
    <row r="448" spans="1:9">
      <c r="A448" s="63">
        <v>45987</v>
      </c>
      <c r="B448" s="64">
        <v>0.74124999999999996</v>
      </c>
      <c r="C448" s="63">
        <v>45987</v>
      </c>
      <c r="D448" s="62" t="s">
        <v>966</v>
      </c>
      <c r="E448" s="62"/>
      <c r="F448" s="62" t="s">
        <v>967</v>
      </c>
      <c r="G448" s="62">
        <v>0</v>
      </c>
      <c r="H448" s="62">
        <v>1450000</v>
      </c>
      <c r="I448" s="62">
        <v>2347138312.8000002</v>
      </c>
    </row>
    <row r="449" spans="1:9">
      <c r="A449" s="63">
        <v>45987</v>
      </c>
      <c r="B449" s="64">
        <v>0.84620370370370368</v>
      </c>
      <c r="C449" s="63">
        <v>45987</v>
      </c>
      <c r="D449" s="62" t="s">
        <v>968</v>
      </c>
      <c r="E449" s="62"/>
      <c r="F449" s="62" t="s">
        <v>969</v>
      </c>
      <c r="G449" s="62">
        <v>0</v>
      </c>
      <c r="H449" s="62">
        <v>1617000</v>
      </c>
      <c r="I449" s="62">
        <v>2348755312.8000002</v>
      </c>
    </row>
    <row r="450" spans="1:9">
      <c r="A450" s="63">
        <v>45987</v>
      </c>
      <c r="B450" s="64">
        <v>0.86019675925925931</v>
      </c>
      <c r="C450" s="63">
        <v>45987</v>
      </c>
      <c r="D450" s="62" t="s">
        <v>970</v>
      </c>
      <c r="E450" s="62"/>
      <c r="F450" s="62" t="s">
        <v>971</v>
      </c>
      <c r="G450" s="62">
        <v>0</v>
      </c>
      <c r="H450" s="62">
        <v>1450000</v>
      </c>
      <c r="I450" s="62">
        <v>2351555312.8000002</v>
      </c>
    </row>
    <row r="451" spans="1:9">
      <c r="A451" s="63">
        <v>45987</v>
      </c>
      <c r="B451" s="64">
        <v>0.90401620370370372</v>
      </c>
      <c r="C451" s="63">
        <v>45987</v>
      </c>
      <c r="D451" s="62" t="s">
        <v>972</v>
      </c>
      <c r="E451" s="62"/>
      <c r="F451" s="62" t="s">
        <v>973</v>
      </c>
      <c r="G451" s="62">
        <v>0</v>
      </c>
      <c r="H451" s="62">
        <v>4620000</v>
      </c>
      <c r="I451" s="62">
        <v>2356175312.8000002</v>
      </c>
    </row>
    <row r="452" spans="1:9">
      <c r="A452" s="63">
        <v>45987</v>
      </c>
      <c r="B452" s="64">
        <v>0.98283564814814817</v>
      </c>
      <c r="C452" s="63">
        <v>45987</v>
      </c>
      <c r="D452" s="62" t="s">
        <v>974</v>
      </c>
      <c r="E452" s="62"/>
      <c r="F452" s="62" t="s">
        <v>132</v>
      </c>
      <c r="G452" s="62">
        <v>0</v>
      </c>
      <c r="H452" s="62">
        <v>1400000</v>
      </c>
      <c r="I452" s="62">
        <v>2357575312.8000002</v>
      </c>
    </row>
    <row r="453" spans="1:9">
      <c r="A453" s="63">
        <v>45988</v>
      </c>
      <c r="B453" s="64">
        <v>0.26157407407407407</v>
      </c>
      <c r="C453" s="63">
        <v>45988</v>
      </c>
      <c r="D453" s="62" t="s">
        <v>975</v>
      </c>
      <c r="E453" s="62"/>
      <c r="F453" s="62" t="s">
        <v>976</v>
      </c>
      <c r="G453" s="62">
        <v>0</v>
      </c>
      <c r="H453" s="62">
        <v>1540000</v>
      </c>
      <c r="I453" s="62">
        <v>2360865312.8000002</v>
      </c>
    </row>
    <row r="454" spans="1:9">
      <c r="A454" s="63">
        <v>45988</v>
      </c>
      <c r="B454" s="64">
        <v>0.3376736111111111</v>
      </c>
      <c r="C454" s="63">
        <v>45988</v>
      </c>
      <c r="D454" s="62" t="s">
        <v>977</v>
      </c>
      <c r="E454" s="62"/>
      <c r="F454" s="62" t="s">
        <v>978</v>
      </c>
      <c r="G454" s="62">
        <v>0</v>
      </c>
      <c r="H454" s="62">
        <v>1450000</v>
      </c>
      <c r="I454" s="62">
        <v>2362315312.8000002</v>
      </c>
    </row>
    <row r="455" spans="1:9">
      <c r="A455" s="63">
        <v>45988</v>
      </c>
      <c r="B455" s="64">
        <v>0.33935185185185185</v>
      </c>
      <c r="C455" s="63">
        <v>45988</v>
      </c>
      <c r="D455" s="62" t="s">
        <v>979</v>
      </c>
      <c r="E455" s="62"/>
      <c r="F455" s="62" t="s">
        <v>176</v>
      </c>
      <c r="G455" s="62">
        <v>0</v>
      </c>
      <c r="H455" s="62">
        <v>808500</v>
      </c>
      <c r="I455" s="62">
        <v>2363123812.8000002</v>
      </c>
    </row>
    <row r="456" spans="1:9">
      <c r="A456" s="63">
        <v>45988</v>
      </c>
      <c r="B456" s="64">
        <v>0.3515625</v>
      </c>
      <c r="C456" s="63">
        <v>45988</v>
      </c>
      <c r="D456" s="62" t="s">
        <v>980</v>
      </c>
      <c r="E456" s="62"/>
      <c r="F456" s="62" t="s">
        <v>981</v>
      </c>
      <c r="G456" s="62">
        <v>0</v>
      </c>
      <c r="H456" s="62">
        <v>1400000</v>
      </c>
      <c r="I456" s="62">
        <v>2364523812.8000002</v>
      </c>
    </row>
    <row r="457" spans="1:9">
      <c r="A457" s="63">
        <v>45988</v>
      </c>
      <c r="B457" s="64">
        <v>0.37247685185185186</v>
      </c>
      <c r="C457" s="63">
        <v>45988</v>
      </c>
      <c r="D457" s="62" t="s">
        <v>982</v>
      </c>
      <c r="E457" s="62"/>
      <c r="F457" s="62" t="s">
        <v>983</v>
      </c>
      <c r="G457" s="62">
        <v>0</v>
      </c>
      <c r="H457" s="62">
        <v>770000</v>
      </c>
      <c r="I457" s="62">
        <v>2371557562.8000002</v>
      </c>
    </row>
    <row r="458" spans="1:9">
      <c r="A458" s="63">
        <v>45988</v>
      </c>
      <c r="B458" s="64">
        <v>0.37821759259259258</v>
      </c>
      <c r="C458" s="63">
        <v>45988</v>
      </c>
      <c r="D458" s="62" t="s">
        <v>984</v>
      </c>
      <c r="E458" s="62"/>
      <c r="F458" s="62" t="s">
        <v>985</v>
      </c>
      <c r="G458" s="62">
        <v>0</v>
      </c>
      <c r="H458" s="62">
        <v>2425500</v>
      </c>
      <c r="I458" s="62">
        <v>2373983062.8000002</v>
      </c>
    </row>
    <row r="459" spans="1:9">
      <c r="A459" s="63">
        <v>45988</v>
      </c>
      <c r="B459" s="64">
        <v>0.40218749999999998</v>
      </c>
      <c r="C459" s="63">
        <v>45988</v>
      </c>
      <c r="D459" s="62" t="s">
        <v>986</v>
      </c>
      <c r="E459" s="62"/>
      <c r="F459" s="62" t="s">
        <v>146</v>
      </c>
      <c r="G459" s="62">
        <v>0</v>
      </c>
      <c r="H459" s="62">
        <v>1617000</v>
      </c>
      <c r="I459" s="62">
        <v>2378300062.8000002</v>
      </c>
    </row>
    <row r="460" spans="1:9">
      <c r="A460" s="63">
        <v>45988</v>
      </c>
      <c r="B460" s="64">
        <v>0.44634259259259257</v>
      </c>
      <c r="C460" s="63">
        <v>45988</v>
      </c>
      <c r="D460" s="62" t="s">
        <v>987</v>
      </c>
      <c r="E460" s="62"/>
      <c r="F460" s="62" t="s">
        <v>988</v>
      </c>
      <c r="G460" s="62">
        <v>0</v>
      </c>
      <c r="H460" s="62">
        <v>1450000</v>
      </c>
      <c r="I460" s="62">
        <v>2383425062.8000002</v>
      </c>
    </row>
    <row r="461" spans="1:9">
      <c r="A461" s="63">
        <v>45988</v>
      </c>
      <c r="B461" s="64">
        <v>0.45063657407407409</v>
      </c>
      <c r="C461" s="63">
        <v>45988</v>
      </c>
      <c r="D461" s="62" t="s">
        <v>989</v>
      </c>
      <c r="E461" s="62"/>
      <c r="F461" s="62" t="s">
        <v>990</v>
      </c>
      <c r="G461" s="62">
        <v>0</v>
      </c>
      <c r="H461" s="62">
        <v>1450000</v>
      </c>
      <c r="I461" s="62">
        <v>2384875062.8000002</v>
      </c>
    </row>
    <row r="462" spans="1:9">
      <c r="A462" s="63">
        <v>45988</v>
      </c>
      <c r="B462" s="64">
        <v>0.55188657407407404</v>
      </c>
      <c r="C462" s="63">
        <v>45988</v>
      </c>
      <c r="D462" s="62" t="s">
        <v>991</v>
      </c>
      <c r="E462" s="62"/>
      <c r="F462" s="62" t="s">
        <v>992</v>
      </c>
      <c r="G462" s="62">
        <v>0</v>
      </c>
      <c r="H462" s="62">
        <v>1540000</v>
      </c>
      <c r="I462" s="62">
        <v>2391965062.8000002</v>
      </c>
    </row>
    <row r="463" spans="1:9">
      <c r="A463" s="63">
        <v>45988</v>
      </c>
      <c r="B463" s="64">
        <v>0.5814583333333333</v>
      </c>
      <c r="C463" s="63">
        <v>45988</v>
      </c>
      <c r="D463" s="62" t="s">
        <v>993</v>
      </c>
      <c r="E463" s="62"/>
      <c r="F463" s="62" t="s">
        <v>154</v>
      </c>
      <c r="G463" s="62">
        <v>0</v>
      </c>
      <c r="H463" s="62">
        <v>1540000</v>
      </c>
      <c r="I463" s="62">
        <v>2393505062.8000002</v>
      </c>
    </row>
    <row r="464" spans="1:9">
      <c r="A464" s="63">
        <v>45988</v>
      </c>
      <c r="B464" s="64">
        <v>0.67146990740740742</v>
      </c>
      <c r="C464" s="63">
        <v>45988</v>
      </c>
      <c r="D464" s="62" t="s">
        <v>994</v>
      </c>
      <c r="E464" s="62"/>
      <c r="F464" s="62" t="s">
        <v>995</v>
      </c>
      <c r="G464" s="62">
        <v>0</v>
      </c>
      <c r="H464" s="62">
        <v>1450000</v>
      </c>
      <c r="I464" s="62">
        <v>2398605062.8000002</v>
      </c>
    </row>
    <row r="465" spans="1:9">
      <c r="A465" s="63">
        <v>45988</v>
      </c>
      <c r="B465" s="64">
        <v>0.67238425925925926</v>
      </c>
      <c r="C465" s="63">
        <v>45988</v>
      </c>
      <c r="D465" s="62" t="s">
        <v>996</v>
      </c>
      <c r="E465" s="62"/>
      <c r="F465" s="62" t="s">
        <v>997</v>
      </c>
      <c r="G465" s="62">
        <v>0</v>
      </c>
      <c r="H465" s="62">
        <v>1540000</v>
      </c>
      <c r="I465" s="62">
        <v>2400145062.8000002</v>
      </c>
    </row>
    <row r="466" spans="1:9">
      <c r="A466" s="63">
        <v>45988</v>
      </c>
      <c r="B466" s="64">
        <v>0.765162037037037</v>
      </c>
      <c r="C466" s="63">
        <v>45988</v>
      </c>
      <c r="D466" s="62" t="s">
        <v>998</v>
      </c>
      <c r="E466" s="62"/>
      <c r="F466" s="62" t="s">
        <v>999</v>
      </c>
      <c r="G466" s="62">
        <v>0</v>
      </c>
      <c r="H466" s="62">
        <v>1450000</v>
      </c>
      <c r="I466" s="62">
        <v>2405270062.8000002</v>
      </c>
    </row>
    <row r="467" spans="1:9">
      <c r="A467" s="63">
        <v>45988</v>
      </c>
      <c r="B467" s="64">
        <v>0.79412037037037042</v>
      </c>
      <c r="C467" s="63">
        <v>45988</v>
      </c>
      <c r="D467" s="62" t="s">
        <v>1000</v>
      </c>
      <c r="E467" s="62"/>
      <c r="F467" s="62" t="s">
        <v>1001</v>
      </c>
      <c r="G467" s="62">
        <v>0</v>
      </c>
      <c r="H467" s="62">
        <v>1540000</v>
      </c>
      <c r="I467" s="62">
        <v>2406810062.8000002</v>
      </c>
    </row>
    <row r="468" spans="1:9">
      <c r="A468" s="63">
        <v>45988</v>
      </c>
      <c r="B468" s="64">
        <v>0.96546296296296297</v>
      </c>
      <c r="C468" s="63">
        <v>45988</v>
      </c>
      <c r="D468" s="62" t="s">
        <v>1002</v>
      </c>
      <c r="E468" s="62"/>
      <c r="F468" s="62" t="s">
        <v>81</v>
      </c>
      <c r="G468" s="62">
        <v>0</v>
      </c>
      <c r="H468" s="62">
        <v>1450000</v>
      </c>
      <c r="I468" s="62">
        <v>2408260062.8000002</v>
      </c>
    </row>
    <row r="469" spans="1:9">
      <c r="A469" s="63">
        <v>45988</v>
      </c>
      <c r="B469" s="64">
        <v>0.97509259259259262</v>
      </c>
      <c r="C469" s="63">
        <v>45988</v>
      </c>
      <c r="D469" s="62" t="s">
        <v>1003</v>
      </c>
      <c r="E469" s="62"/>
      <c r="F469" s="62" t="s">
        <v>1004</v>
      </c>
      <c r="G469" s="62">
        <v>0</v>
      </c>
      <c r="H469" s="62">
        <v>700000</v>
      </c>
      <c r="I469" s="62">
        <v>2410378062.8000002</v>
      </c>
    </row>
    <row r="470" spans="1:9">
      <c r="A470" s="63">
        <v>45989</v>
      </c>
      <c r="B470" s="64">
        <v>0.24635416666666668</v>
      </c>
      <c r="C470" s="63">
        <v>45989</v>
      </c>
      <c r="D470" s="62" t="s">
        <v>1005</v>
      </c>
      <c r="E470" s="62"/>
      <c r="F470" s="62" t="s">
        <v>68</v>
      </c>
      <c r="G470" s="62">
        <v>0</v>
      </c>
      <c r="H470" s="62">
        <v>1450000</v>
      </c>
      <c r="I470" s="62">
        <v>2415668062.8000002</v>
      </c>
    </row>
    <row r="471" spans="1:9">
      <c r="A471" s="63">
        <v>45989</v>
      </c>
      <c r="B471" s="64">
        <v>0.26016203703703705</v>
      </c>
      <c r="C471" s="63">
        <v>45989</v>
      </c>
      <c r="D471" s="62" t="s">
        <v>1006</v>
      </c>
      <c r="E471" s="62"/>
      <c r="F471" s="62" t="s">
        <v>1007</v>
      </c>
      <c r="G471" s="62">
        <v>0</v>
      </c>
      <c r="H471" s="62">
        <v>1400000</v>
      </c>
      <c r="I471" s="62">
        <v>2417068062.8000002</v>
      </c>
    </row>
    <row r="472" spans="1:9">
      <c r="A472" s="63">
        <v>45989</v>
      </c>
      <c r="B472" s="64">
        <v>0.28917824074074072</v>
      </c>
      <c r="C472" s="63">
        <v>45989</v>
      </c>
      <c r="D472" s="62" t="s">
        <v>1008</v>
      </c>
      <c r="E472" s="62"/>
      <c r="F472" s="62" t="s">
        <v>1009</v>
      </c>
      <c r="G472" s="62">
        <v>0</v>
      </c>
      <c r="H472" s="62">
        <v>1617000</v>
      </c>
      <c r="I472" s="62">
        <v>2418685062.8000002</v>
      </c>
    </row>
    <row r="473" spans="1:9">
      <c r="A473" s="63">
        <v>45989</v>
      </c>
      <c r="B473" s="64">
        <v>0.30430555555555555</v>
      </c>
      <c r="C473" s="63">
        <v>45989</v>
      </c>
      <c r="D473" s="62" t="s">
        <v>1010</v>
      </c>
      <c r="E473" s="62"/>
      <c r="F473" s="62" t="s">
        <v>1011</v>
      </c>
      <c r="G473" s="62">
        <v>0</v>
      </c>
      <c r="H473" s="62">
        <v>1540000</v>
      </c>
      <c r="I473" s="62">
        <v>2422125062.8000002</v>
      </c>
    </row>
    <row r="474" spans="1:9">
      <c r="A474" s="63">
        <v>45989</v>
      </c>
      <c r="B474" s="64">
        <v>0.30497685185185186</v>
      </c>
      <c r="C474" s="63">
        <v>45989</v>
      </c>
      <c r="D474" s="62" t="s">
        <v>1012</v>
      </c>
      <c r="E474" s="62"/>
      <c r="F474" s="62" t="s">
        <v>1013</v>
      </c>
      <c r="G474" s="62">
        <v>0</v>
      </c>
      <c r="H474" s="62">
        <v>1400000</v>
      </c>
      <c r="I474" s="62">
        <v>2423525062.8000002</v>
      </c>
    </row>
    <row r="475" spans="1:9">
      <c r="A475" s="63">
        <v>45989</v>
      </c>
      <c r="B475" s="64">
        <v>0.31344907407407407</v>
      </c>
      <c r="C475" s="63">
        <v>45989</v>
      </c>
      <c r="D475" s="62" t="s">
        <v>1014</v>
      </c>
      <c r="E475" s="62"/>
      <c r="F475" s="62" t="s">
        <v>1015</v>
      </c>
      <c r="G475" s="62">
        <v>0</v>
      </c>
      <c r="H475" s="62">
        <v>1450000</v>
      </c>
      <c r="I475" s="62">
        <v>2424975062.8000002</v>
      </c>
    </row>
    <row r="476" spans="1:9">
      <c r="A476" s="63">
        <v>45989</v>
      </c>
      <c r="B476" s="64">
        <v>0.31608796296296299</v>
      </c>
      <c r="C476" s="63">
        <v>45989</v>
      </c>
      <c r="D476" s="62" t="s">
        <v>1016</v>
      </c>
      <c r="E476" s="62"/>
      <c r="F476" s="62" t="s">
        <v>1017</v>
      </c>
      <c r="G476" s="62">
        <v>0</v>
      </c>
      <c r="H476" s="62">
        <v>1617000</v>
      </c>
      <c r="I476" s="62">
        <v>2426592062.8000002</v>
      </c>
    </row>
    <row r="477" spans="1:9">
      <c r="A477" s="63">
        <v>45989</v>
      </c>
      <c r="B477" s="64">
        <v>0.32783564814814814</v>
      </c>
      <c r="C477" s="63">
        <v>45989</v>
      </c>
      <c r="D477" s="62" t="s">
        <v>1018</v>
      </c>
      <c r="E477" s="62"/>
      <c r="F477" s="62" t="s">
        <v>137</v>
      </c>
      <c r="G477" s="62">
        <v>0</v>
      </c>
      <c r="H477" s="62">
        <v>1400000</v>
      </c>
      <c r="I477" s="62">
        <v>2427992062.8000002</v>
      </c>
    </row>
    <row r="478" spans="1:9">
      <c r="A478" s="63">
        <v>45989</v>
      </c>
      <c r="B478" s="64">
        <v>0.33875</v>
      </c>
      <c r="C478" s="63">
        <v>45989</v>
      </c>
      <c r="D478" s="62" t="s">
        <v>1019</v>
      </c>
      <c r="E478" s="62"/>
      <c r="F478" s="62" t="s">
        <v>1020</v>
      </c>
      <c r="G478" s="62">
        <v>0</v>
      </c>
      <c r="H478" s="62">
        <v>1450000</v>
      </c>
      <c r="I478" s="62">
        <v>2429442062.8000002</v>
      </c>
    </row>
    <row r="479" spans="1:9">
      <c r="A479" s="63">
        <v>45989</v>
      </c>
      <c r="B479" s="64">
        <v>0.3828125</v>
      </c>
      <c r="C479" s="63">
        <v>45989</v>
      </c>
      <c r="D479" s="62" t="s">
        <v>1021</v>
      </c>
      <c r="E479" s="62"/>
      <c r="F479" s="62" t="s">
        <v>1022</v>
      </c>
      <c r="G479" s="62">
        <v>0</v>
      </c>
      <c r="H479" s="62">
        <v>1617000</v>
      </c>
      <c r="I479" s="62">
        <v>2435592812.8000002</v>
      </c>
    </row>
    <row r="480" spans="1:9">
      <c r="A480" s="63">
        <v>45989</v>
      </c>
      <c r="B480" s="64">
        <v>0.38524305555555555</v>
      </c>
      <c r="C480" s="63">
        <v>45989</v>
      </c>
      <c r="D480" s="62" t="s">
        <v>1023</v>
      </c>
      <c r="E480" s="62"/>
      <c r="F480" s="62" t="s">
        <v>1024</v>
      </c>
      <c r="G480" s="62">
        <v>0</v>
      </c>
      <c r="H480" s="62">
        <v>1450000</v>
      </c>
      <c r="I480" s="62">
        <v>2438142812.8000002</v>
      </c>
    </row>
    <row r="481" spans="1:9">
      <c r="A481" s="63">
        <v>45989</v>
      </c>
      <c r="B481" s="64">
        <v>0.38622685185185185</v>
      </c>
      <c r="C481" s="63">
        <v>45989</v>
      </c>
      <c r="D481" s="62" t="s">
        <v>1025</v>
      </c>
      <c r="E481" s="62"/>
      <c r="F481" s="62" t="s">
        <v>1026</v>
      </c>
      <c r="G481" s="62">
        <v>0</v>
      </c>
      <c r="H481" s="62">
        <v>1540000</v>
      </c>
      <c r="I481" s="62">
        <v>2439682812.8000002</v>
      </c>
    </row>
    <row r="482" spans="1:9">
      <c r="A482" s="63">
        <v>45989</v>
      </c>
      <c r="B482" s="64">
        <v>0.38708333333333333</v>
      </c>
      <c r="C482" s="63">
        <v>45989</v>
      </c>
      <c r="D482" s="62" t="s">
        <v>1027</v>
      </c>
      <c r="E482" s="62"/>
      <c r="F482" s="62" t="s">
        <v>1028</v>
      </c>
      <c r="G482" s="62">
        <v>0</v>
      </c>
      <c r="H482" s="62">
        <v>1617000</v>
      </c>
      <c r="I482" s="62">
        <v>2441299812.8000002</v>
      </c>
    </row>
    <row r="483" spans="1:9">
      <c r="A483" s="63">
        <v>45989</v>
      </c>
      <c r="B483" s="64">
        <v>0.3941087962962963</v>
      </c>
      <c r="C483" s="63">
        <v>45989</v>
      </c>
      <c r="D483" s="62" t="s">
        <v>1029</v>
      </c>
      <c r="E483" s="62"/>
      <c r="F483" s="62" t="s">
        <v>1030</v>
      </c>
      <c r="G483" s="62">
        <v>0</v>
      </c>
      <c r="H483" s="62">
        <v>1617000</v>
      </c>
      <c r="I483" s="62">
        <v>2442916812.8000002</v>
      </c>
    </row>
    <row r="484" spans="1:9">
      <c r="A484" s="63">
        <v>45989</v>
      </c>
      <c r="B484" s="64">
        <v>0.41144675925925928</v>
      </c>
      <c r="C484" s="63">
        <v>45989</v>
      </c>
      <c r="D484" s="62" t="s">
        <v>1031</v>
      </c>
      <c r="E484" s="62"/>
      <c r="F484" s="62" t="s">
        <v>1032</v>
      </c>
      <c r="G484" s="62">
        <v>0</v>
      </c>
      <c r="H484" s="62">
        <v>2900000</v>
      </c>
      <c r="I484" s="62">
        <v>2447741812.8000002</v>
      </c>
    </row>
    <row r="485" spans="1:9">
      <c r="A485" s="63">
        <v>45989</v>
      </c>
      <c r="B485" s="64">
        <v>0.45702546296296298</v>
      </c>
      <c r="C485" s="63">
        <v>45989</v>
      </c>
      <c r="D485" s="62" t="s">
        <v>1033</v>
      </c>
      <c r="E485" s="62"/>
      <c r="F485" s="62" t="s">
        <v>1034</v>
      </c>
      <c r="G485" s="62">
        <v>0</v>
      </c>
      <c r="H485" s="62">
        <v>1540000</v>
      </c>
      <c r="I485" s="62">
        <v>2449281812.8000002</v>
      </c>
    </row>
    <row r="486" spans="1:9">
      <c r="A486" s="63">
        <v>45989</v>
      </c>
      <c r="B486" s="64">
        <v>0.53131944444444446</v>
      </c>
      <c r="C486" s="63">
        <v>45989</v>
      </c>
      <c r="D486" s="62" t="s">
        <v>1035</v>
      </c>
      <c r="E486" s="62"/>
      <c r="F486" s="62" t="s">
        <v>216</v>
      </c>
      <c r="G486" s="62">
        <v>0</v>
      </c>
      <c r="H486" s="62">
        <v>1450000</v>
      </c>
      <c r="I486" s="62">
        <v>2454531812.8000002</v>
      </c>
    </row>
    <row r="487" spans="1:9">
      <c r="A487" s="63">
        <v>45989</v>
      </c>
      <c r="B487" s="64">
        <v>0.68652777777777774</v>
      </c>
      <c r="C487" s="63">
        <v>45989</v>
      </c>
      <c r="D487" s="62" t="s">
        <v>1036</v>
      </c>
      <c r="E487" s="62"/>
      <c r="F487" s="62" t="s">
        <v>1037</v>
      </c>
      <c r="G487" s="62">
        <v>0</v>
      </c>
      <c r="H487" s="62">
        <v>1540000</v>
      </c>
      <c r="I487" s="62">
        <v>2457971812.8000002</v>
      </c>
    </row>
    <row r="488" spans="1:9">
      <c r="A488" s="63">
        <v>45989</v>
      </c>
      <c r="B488" s="64">
        <v>0.68734953703703705</v>
      </c>
      <c r="C488" s="63">
        <v>45989</v>
      </c>
      <c r="D488" s="62" t="s">
        <v>1038</v>
      </c>
      <c r="E488" s="62"/>
      <c r="F488" s="62" t="s">
        <v>1039</v>
      </c>
      <c r="G488" s="62">
        <v>0</v>
      </c>
      <c r="H488" s="62">
        <v>1540000</v>
      </c>
      <c r="I488" s="62">
        <v>2459511812.8000002</v>
      </c>
    </row>
    <row r="489" spans="1:9">
      <c r="A489" s="63">
        <v>45989</v>
      </c>
      <c r="B489" s="64">
        <v>0.72349537037037037</v>
      </c>
      <c r="C489" s="63">
        <v>45989</v>
      </c>
      <c r="D489" s="62" t="s">
        <v>1040</v>
      </c>
      <c r="E489" s="62"/>
      <c r="F489" s="62" t="s">
        <v>1041</v>
      </c>
      <c r="G489" s="62">
        <v>0</v>
      </c>
      <c r="H489" s="62">
        <v>1450000</v>
      </c>
      <c r="I489" s="62">
        <v>2462379312.8000002</v>
      </c>
    </row>
    <row r="490" spans="1:9">
      <c r="A490" s="63">
        <v>45989</v>
      </c>
      <c r="B490" s="64">
        <v>0.75810185185185186</v>
      </c>
      <c r="C490" s="63">
        <v>45989</v>
      </c>
      <c r="D490" s="62" t="s">
        <v>1042</v>
      </c>
      <c r="E490" s="62"/>
      <c r="F490" s="62" t="s">
        <v>1043</v>
      </c>
      <c r="G490" s="62">
        <v>0</v>
      </c>
      <c r="H490" s="62">
        <v>1540000</v>
      </c>
      <c r="I490" s="62">
        <v>2463919312.8000002</v>
      </c>
    </row>
    <row r="491" spans="1:9">
      <c r="A491" s="63">
        <v>45989</v>
      </c>
      <c r="B491" s="64">
        <v>0.84414351851851854</v>
      </c>
      <c r="C491" s="63">
        <v>45989</v>
      </c>
      <c r="D491" s="62" t="s">
        <v>1044</v>
      </c>
      <c r="E491" s="62"/>
      <c r="F491" s="62" t="s">
        <v>1045</v>
      </c>
      <c r="G491" s="62">
        <v>0</v>
      </c>
      <c r="H491" s="62">
        <v>1400000</v>
      </c>
      <c r="I491" s="62">
        <v>2465319312.8000002</v>
      </c>
    </row>
    <row r="492" spans="1:9">
      <c r="A492" s="63">
        <v>45989</v>
      </c>
      <c r="B492" s="64">
        <v>0.8568055555555556</v>
      </c>
      <c r="C492" s="63">
        <v>45989</v>
      </c>
      <c r="D492" s="62" t="s">
        <v>1046</v>
      </c>
      <c r="E492" s="62"/>
      <c r="F492" s="62" t="s">
        <v>1047</v>
      </c>
      <c r="G492" s="62">
        <v>0</v>
      </c>
      <c r="H492" s="62">
        <v>1540000</v>
      </c>
      <c r="I492" s="62">
        <v>2466859312.8000002</v>
      </c>
    </row>
    <row r="493" spans="1:9">
      <c r="A493" s="63">
        <v>45989</v>
      </c>
      <c r="B493" s="64">
        <v>0.95540509259259254</v>
      </c>
      <c r="C493" s="63">
        <v>45989</v>
      </c>
      <c r="D493" s="62" t="s">
        <v>1048</v>
      </c>
      <c r="E493" s="62"/>
      <c r="F493" s="62" t="s">
        <v>1049</v>
      </c>
      <c r="G493" s="62">
        <v>0</v>
      </c>
      <c r="H493" s="62">
        <v>4350000</v>
      </c>
      <c r="I493" s="62">
        <v>2474264312.8000002</v>
      </c>
    </row>
    <row r="494" spans="1:9">
      <c r="A494" s="63">
        <v>45990</v>
      </c>
      <c r="B494" s="64">
        <v>0.2396875</v>
      </c>
      <c r="C494" s="63">
        <v>45990</v>
      </c>
      <c r="D494" s="62" t="s">
        <v>1050</v>
      </c>
      <c r="E494" s="62"/>
      <c r="F494" s="62" t="s">
        <v>95</v>
      </c>
      <c r="G494" s="62">
        <v>0</v>
      </c>
      <c r="H494" s="62">
        <v>1450000</v>
      </c>
      <c r="I494" s="62">
        <v>2475714312.8000002</v>
      </c>
    </row>
    <row r="495" spans="1:9">
      <c r="A495" s="63">
        <v>45990</v>
      </c>
      <c r="B495" s="64">
        <v>0.28452546296296294</v>
      </c>
      <c r="C495" s="63">
        <v>45990</v>
      </c>
      <c r="D495" s="62" t="s">
        <v>1051</v>
      </c>
      <c r="E495" s="62"/>
      <c r="F495" s="62" t="s">
        <v>1052</v>
      </c>
      <c r="G495" s="62">
        <v>0</v>
      </c>
      <c r="H495" s="62">
        <v>1450000</v>
      </c>
      <c r="I495" s="62">
        <v>2479089312.8000002</v>
      </c>
    </row>
    <row r="496" spans="1:9">
      <c r="A496" s="63">
        <v>45990</v>
      </c>
      <c r="B496" s="64">
        <v>0.28577546296296297</v>
      </c>
      <c r="C496" s="63">
        <v>45990</v>
      </c>
      <c r="D496" s="62" t="s">
        <v>1053</v>
      </c>
      <c r="E496" s="62"/>
      <c r="F496" s="62" t="s">
        <v>1054</v>
      </c>
      <c r="G496" s="62">
        <v>0</v>
      </c>
      <c r="H496" s="62">
        <v>1450000</v>
      </c>
      <c r="I496" s="62">
        <v>2480539312.8000002</v>
      </c>
    </row>
    <row r="497" spans="1:9">
      <c r="A497" s="63">
        <v>45990</v>
      </c>
      <c r="B497" s="64">
        <v>0.30630787037037038</v>
      </c>
      <c r="C497" s="63">
        <v>45990</v>
      </c>
      <c r="D497" s="62" t="s">
        <v>1055</v>
      </c>
      <c r="E497" s="62"/>
      <c r="F497" s="62" t="s">
        <v>1056</v>
      </c>
      <c r="G497" s="62">
        <v>0</v>
      </c>
      <c r="H497" s="62">
        <v>1540000</v>
      </c>
      <c r="I497" s="62">
        <v>2483496812.8000002</v>
      </c>
    </row>
    <row r="498" spans="1:9">
      <c r="A498" s="63">
        <v>45990</v>
      </c>
      <c r="B498" s="64">
        <v>0.31565972222222222</v>
      </c>
      <c r="C498" s="63">
        <v>45990</v>
      </c>
      <c r="D498" s="62" t="s">
        <v>1057</v>
      </c>
      <c r="E498" s="62"/>
      <c r="F498" s="62" t="s">
        <v>1058</v>
      </c>
      <c r="G498" s="62">
        <v>0</v>
      </c>
      <c r="H498" s="62">
        <v>1400000</v>
      </c>
      <c r="I498" s="62">
        <v>2484896812.8000002</v>
      </c>
    </row>
    <row r="499" spans="1:9">
      <c r="A499" s="63">
        <v>45990</v>
      </c>
      <c r="B499" s="64">
        <v>0.35600694444444442</v>
      </c>
      <c r="C499" s="63">
        <v>45990</v>
      </c>
      <c r="D499" s="62" t="s">
        <v>1059</v>
      </c>
      <c r="E499" s="62"/>
      <c r="F499" s="62" t="s">
        <v>150</v>
      </c>
      <c r="G499" s="62">
        <v>0</v>
      </c>
      <c r="H499" s="62">
        <v>1450000</v>
      </c>
      <c r="I499" s="62">
        <v>2488246812.8000002</v>
      </c>
    </row>
    <row r="500" spans="1:9">
      <c r="A500" s="63">
        <v>45990</v>
      </c>
      <c r="B500" s="64">
        <v>0.3744675925925926</v>
      </c>
      <c r="C500" s="63">
        <v>45990</v>
      </c>
      <c r="D500" s="62" t="s">
        <v>1060</v>
      </c>
      <c r="E500" s="62"/>
      <c r="F500" s="62" t="s">
        <v>1061</v>
      </c>
      <c r="G500" s="62">
        <v>0</v>
      </c>
      <c r="H500" s="62">
        <v>1617000</v>
      </c>
      <c r="I500" s="62">
        <v>2491763812.8000002</v>
      </c>
    </row>
    <row r="501" spans="1:9">
      <c r="A501" s="63">
        <v>45990</v>
      </c>
      <c r="B501" s="64">
        <v>0.3752199074074074</v>
      </c>
      <c r="C501" s="63">
        <v>45990</v>
      </c>
      <c r="D501" s="62" t="s">
        <v>1062</v>
      </c>
      <c r="E501" s="62"/>
      <c r="F501" s="62" t="s">
        <v>1063</v>
      </c>
      <c r="G501" s="62">
        <v>0</v>
      </c>
      <c r="H501" s="62">
        <v>1450000</v>
      </c>
      <c r="I501" s="62">
        <v>2493213812.8000002</v>
      </c>
    </row>
    <row r="502" spans="1:9">
      <c r="A502" s="63">
        <v>45990</v>
      </c>
      <c r="B502" s="64">
        <v>0.43684027777777779</v>
      </c>
      <c r="C502" s="63">
        <v>45990</v>
      </c>
      <c r="D502" s="62" t="s">
        <v>1064</v>
      </c>
      <c r="E502" s="62"/>
      <c r="F502" s="62" t="s">
        <v>1065</v>
      </c>
      <c r="G502" s="62">
        <v>0</v>
      </c>
      <c r="H502" s="62">
        <v>1400000</v>
      </c>
      <c r="I502" s="62">
        <v>2494613812.8000002</v>
      </c>
    </row>
    <row r="503" spans="1:9">
      <c r="A503" s="63">
        <v>45990</v>
      </c>
      <c r="B503" s="64">
        <v>0.47880787037037037</v>
      </c>
      <c r="C503" s="63">
        <v>45990</v>
      </c>
      <c r="D503" s="62" t="s">
        <v>1066</v>
      </c>
      <c r="E503" s="62"/>
      <c r="F503" s="62" t="s">
        <v>177</v>
      </c>
      <c r="G503" s="62">
        <v>0</v>
      </c>
      <c r="H503" s="62">
        <v>1400000</v>
      </c>
      <c r="I503" s="62">
        <v>2501903812.8000002</v>
      </c>
    </row>
    <row r="504" spans="1:9">
      <c r="A504" s="63">
        <v>45990</v>
      </c>
      <c r="B504" s="64">
        <v>0.49274305555555553</v>
      </c>
      <c r="C504" s="63">
        <v>45990</v>
      </c>
      <c r="D504" s="62" t="s">
        <v>1067</v>
      </c>
      <c r="E504" s="62"/>
      <c r="F504" s="62" t="s">
        <v>155</v>
      </c>
      <c r="G504" s="62">
        <v>0</v>
      </c>
      <c r="H504" s="62">
        <v>1617000</v>
      </c>
      <c r="I504" s="62">
        <v>2503520812.8000002</v>
      </c>
    </row>
    <row r="505" spans="1:9">
      <c r="A505" s="63">
        <v>45990</v>
      </c>
      <c r="B505" s="64">
        <v>0.50677083333333328</v>
      </c>
      <c r="C505" s="63">
        <v>45990</v>
      </c>
      <c r="D505" s="62" t="s">
        <v>1068</v>
      </c>
      <c r="E505" s="62"/>
      <c r="F505" s="62" t="s">
        <v>1069</v>
      </c>
      <c r="G505" s="62">
        <v>0</v>
      </c>
      <c r="H505" s="62">
        <v>1400000</v>
      </c>
      <c r="I505" s="62">
        <v>2507010812.8000002</v>
      </c>
    </row>
    <row r="506" spans="1:9">
      <c r="A506" s="63">
        <v>45990</v>
      </c>
      <c r="B506" s="64">
        <v>0.51391203703703703</v>
      </c>
      <c r="C506" s="63">
        <v>45990</v>
      </c>
      <c r="D506" s="62" t="s">
        <v>1070</v>
      </c>
      <c r="E506" s="62"/>
      <c r="F506" s="62" t="s">
        <v>1071</v>
      </c>
      <c r="G506" s="62">
        <v>0</v>
      </c>
      <c r="H506" s="62">
        <v>1400000</v>
      </c>
      <c r="I506" s="62">
        <v>2510310812.8000002</v>
      </c>
    </row>
    <row r="507" spans="1:9">
      <c r="A507" s="63">
        <v>45990</v>
      </c>
      <c r="B507" s="64">
        <v>0.62793981481481487</v>
      </c>
      <c r="C507" s="63">
        <v>45990</v>
      </c>
      <c r="D507" s="62" t="s">
        <v>1072</v>
      </c>
      <c r="E507" s="62"/>
      <c r="F507" s="62" t="s">
        <v>1073</v>
      </c>
      <c r="G507" s="62">
        <v>0</v>
      </c>
      <c r="H507" s="62">
        <v>2900000</v>
      </c>
      <c r="I507" s="62">
        <v>2526400812.8000002</v>
      </c>
    </row>
    <row r="508" spans="1:9">
      <c r="A508" s="63">
        <v>45990</v>
      </c>
      <c r="B508" s="64">
        <v>0.70063657407407409</v>
      </c>
      <c r="C508" s="63">
        <v>45990</v>
      </c>
      <c r="D508" s="62" t="s">
        <v>1074</v>
      </c>
      <c r="E508" s="62"/>
      <c r="F508" s="62" t="s">
        <v>69</v>
      </c>
      <c r="G508" s="62">
        <v>0</v>
      </c>
      <c r="H508" s="62">
        <v>1450000</v>
      </c>
      <c r="I508" s="62">
        <v>2531650812.8000002</v>
      </c>
    </row>
    <row r="509" spans="1:9">
      <c r="A509" s="63">
        <v>45990</v>
      </c>
      <c r="B509" s="64">
        <v>0.71815972222222224</v>
      </c>
      <c r="C509" s="63">
        <v>45990</v>
      </c>
      <c r="D509" s="62" t="s">
        <v>1075</v>
      </c>
      <c r="E509" s="62"/>
      <c r="F509" s="62" t="s">
        <v>1076</v>
      </c>
      <c r="G509" s="62">
        <v>0</v>
      </c>
      <c r="H509" s="62">
        <v>1400000</v>
      </c>
      <c r="I509" s="62">
        <v>2535140812.8000002</v>
      </c>
    </row>
    <row r="510" spans="1:9">
      <c r="A510" s="63">
        <v>45990</v>
      </c>
      <c r="B510" s="64">
        <v>0.79767361111111112</v>
      </c>
      <c r="C510" s="63">
        <v>45990</v>
      </c>
      <c r="D510" s="62" t="s">
        <v>1077</v>
      </c>
      <c r="E510" s="62"/>
      <c r="F510" s="62" t="s">
        <v>1078</v>
      </c>
      <c r="G510" s="62">
        <v>0</v>
      </c>
      <c r="H510" s="62">
        <v>1450000</v>
      </c>
      <c r="I510" s="62">
        <v>2537940812.8000002</v>
      </c>
    </row>
    <row r="511" spans="1:9">
      <c r="A511" s="63">
        <v>45990</v>
      </c>
      <c r="B511" s="64">
        <v>0.84623842592592591</v>
      </c>
      <c r="C511" s="63">
        <v>45990</v>
      </c>
      <c r="D511" s="62" t="s">
        <v>1079</v>
      </c>
      <c r="E511" s="62"/>
      <c r="F511" s="62" t="s">
        <v>1080</v>
      </c>
      <c r="G511" s="62">
        <v>0</v>
      </c>
      <c r="H511" s="62">
        <v>1400000</v>
      </c>
      <c r="I511" s="62">
        <v>2541210812.8000002</v>
      </c>
    </row>
    <row r="512" spans="1:9">
      <c r="A512" s="63">
        <v>45991</v>
      </c>
      <c r="B512" s="64">
        <v>0.24960648148148148</v>
      </c>
      <c r="C512" s="63">
        <v>45991</v>
      </c>
      <c r="D512" s="62" t="s">
        <v>1081</v>
      </c>
      <c r="E512" s="62"/>
      <c r="F512" s="62" t="s">
        <v>1082</v>
      </c>
      <c r="G512" s="62">
        <v>0</v>
      </c>
      <c r="H512" s="62">
        <v>1450000</v>
      </c>
      <c r="I512" s="62">
        <v>2546410812.8000002</v>
      </c>
    </row>
    <row r="513" spans="1:9">
      <c r="A513" s="63">
        <v>45991</v>
      </c>
      <c r="B513" s="64">
        <v>0.2779861111111111</v>
      </c>
      <c r="C513" s="63">
        <v>45991</v>
      </c>
      <c r="D513" s="62" t="s">
        <v>1083</v>
      </c>
      <c r="E513" s="62"/>
      <c r="F513" s="62" t="s">
        <v>1084</v>
      </c>
      <c r="G513" s="62">
        <v>0</v>
      </c>
      <c r="H513" s="62">
        <v>1450000</v>
      </c>
      <c r="I513" s="62">
        <v>2547860812.8000002</v>
      </c>
    </row>
    <row r="514" spans="1:9">
      <c r="A514" s="63">
        <v>45991</v>
      </c>
      <c r="B514" s="64">
        <v>0.40190972222222221</v>
      </c>
      <c r="C514" s="63">
        <v>45991</v>
      </c>
      <c r="D514" s="62" t="s">
        <v>1085</v>
      </c>
      <c r="E514" s="62"/>
      <c r="F514" s="62" t="s">
        <v>1086</v>
      </c>
      <c r="G514" s="62">
        <v>0</v>
      </c>
      <c r="H514" s="62">
        <v>1617000</v>
      </c>
      <c r="I514" s="62">
        <v>2556477812.8000002</v>
      </c>
    </row>
    <row r="515" spans="1:9">
      <c r="A515" s="63">
        <v>45991</v>
      </c>
      <c r="B515" s="64">
        <v>0.41280092592592593</v>
      </c>
      <c r="C515" s="63">
        <v>45991</v>
      </c>
      <c r="D515" s="62" t="s">
        <v>1087</v>
      </c>
      <c r="E515" s="62"/>
      <c r="F515" s="62" t="s">
        <v>1088</v>
      </c>
      <c r="G515" s="62">
        <v>0</v>
      </c>
      <c r="H515" s="62">
        <v>1540000</v>
      </c>
      <c r="I515" s="62">
        <v>2558017812.8000002</v>
      </c>
    </row>
    <row r="516" spans="1:9">
      <c r="A516" s="63">
        <v>45991</v>
      </c>
      <c r="B516" s="64">
        <v>0.47738425925925926</v>
      </c>
      <c r="C516" s="63">
        <v>45991</v>
      </c>
      <c r="D516" s="62" t="s">
        <v>1089</v>
      </c>
      <c r="E516" s="62"/>
      <c r="F516" s="62" t="s">
        <v>90</v>
      </c>
      <c r="G516" s="62">
        <v>0</v>
      </c>
      <c r="H516" s="62">
        <v>1400000</v>
      </c>
      <c r="I516" s="62">
        <v>2565332812.8000002</v>
      </c>
    </row>
    <row r="517" spans="1:9">
      <c r="A517" s="63">
        <v>45991</v>
      </c>
      <c r="B517" s="64">
        <v>0.47901620370370368</v>
      </c>
      <c r="C517" s="63">
        <v>45991</v>
      </c>
      <c r="D517" s="62" t="s">
        <v>1090</v>
      </c>
      <c r="E517" s="62"/>
      <c r="F517" s="62" t="s">
        <v>136</v>
      </c>
      <c r="G517" s="62">
        <v>0</v>
      </c>
      <c r="H517" s="62">
        <v>1617000</v>
      </c>
      <c r="I517" s="62">
        <v>2566949812.8000002</v>
      </c>
    </row>
    <row r="518" spans="1:9">
      <c r="A518" s="63">
        <v>45991</v>
      </c>
      <c r="B518" s="64">
        <v>0.50940972222222225</v>
      </c>
      <c r="C518" s="63">
        <v>45991</v>
      </c>
      <c r="D518" s="62" t="s">
        <v>1091</v>
      </c>
      <c r="E518" s="62"/>
      <c r="F518" s="62" t="s">
        <v>1092</v>
      </c>
      <c r="G518" s="62">
        <v>0</v>
      </c>
      <c r="H518" s="62">
        <v>1540000</v>
      </c>
      <c r="I518" s="62">
        <v>2570389812.8000002</v>
      </c>
    </row>
    <row r="519" spans="1:9">
      <c r="A519" s="63">
        <v>45991</v>
      </c>
      <c r="B519" s="64">
        <v>0.51004629629629628</v>
      </c>
      <c r="C519" s="63">
        <v>45991</v>
      </c>
      <c r="D519" s="62" t="s">
        <v>1093</v>
      </c>
      <c r="E519" s="62"/>
      <c r="F519" s="62" t="s">
        <v>1094</v>
      </c>
      <c r="G519" s="62">
        <v>0</v>
      </c>
      <c r="H519" s="62">
        <v>1400000</v>
      </c>
      <c r="I519" s="62">
        <v>2571789812.8000002</v>
      </c>
    </row>
    <row r="520" spans="1:9">
      <c r="A520" s="63">
        <v>45991</v>
      </c>
      <c r="B520" s="64">
        <v>0.57946759259259262</v>
      </c>
      <c r="C520" s="63">
        <v>45991</v>
      </c>
      <c r="D520" s="62" t="s">
        <v>1095</v>
      </c>
      <c r="E520" s="62"/>
      <c r="F520" s="62" t="s">
        <v>1096</v>
      </c>
      <c r="G520" s="62">
        <v>0</v>
      </c>
      <c r="H520" s="62">
        <v>1400000</v>
      </c>
      <c r="I520" s="62">
        <v>2578597312.8000002</v>
      </c>
    </row>
    <row r="521" spans="1:9">
      <c r="A521" s="63">
        <v>45991</v>
      </c>
      <c r="B521" s="64">
        <v>0.76950231481481479</v>
      </c>
      <c r="C521" s="63">
        <v>45991</v>
      </c>
      <c r="D521" s="62" t="s">
        <v>1097</v>
      </c>
      <c r="E521" s="62"/>
      <c r="F521" s="62" t="s">
        <v>1098</v>
      </c>
      <c r="G521" s="62">
        <v>0</v>
      </c>
      <c r="H521" s="62">
        <v>1400000</v>
      </c>
      <c r="I521" s="62">
        <v>2581414812.8000002</v>
      </c>
    </row>
    <row r="522" spans="1:9">
      <c r="A522" s="63">
        <v>45991</v>
      </c>
      <c r="B522" s="64">
        <v>0.8936574074074074</v>
      </c>
      <c r="C522" s="63">
        <v>45991</v>
      </c>
      <c r="D522" s="62" t="s">
        <v>1099</v>
      </c>
      <c r="E522" s="62"/>
      <c r="F522" s="62" t="s">
        <v>78</v>
      </c>
      <c r="G522" s="62">
        <v>0</v>
      </c>
      <c r="H522" s="62">
        <v>1450000</v>
      </c>
      <c r="I522" s="62">
        <v>2592549812.8000002</v>
      </c>
    </row>
    <row r="523" spans="1:9">
      <c r="A523" s="63">
        <v>45991</v>
      </c>
      <c r="B523" s="64">
        <v>0.97062499999999996</v>
      </c>
      <c r="C523" s="63">
        <v>45991</v>
      </c>
      <c r="D523" s="62" t="s">
        <v>1100</v>
      </c>
      <c r="E523" s="62"/>
      <c r="F523" s="62" t="s">
        <v>1101</v>
      </c>
      <c r="G523" s="62">
        <v>0</v>
      </c>
      <c r="H523" s="62">
        <v>1617000</v>
      </c>
      <c r="I523" s="62">
        <v>2594166812.8000002</v>
      </c>
    </row>
    <row r="524" spans="1:9" s="70" customFormat="1">
      <c r="A524" s="68"/>
      <c r="B524" s="69"/>
      <c r="C524" s="68"/>
      <c r="G524" s="71"/>
      <c r="H524" s="71"/>
      <c r="I524" s="71"/>
    </row>
    <row r="525" spans="1:9" s="70" customFormat="1">
      <c r="A525" s="68"/>
      <c r="B525" s="69"/>
      <c r="C525" s="68"/>
      <c r="G525" s="71"/>
      <c r="H525" s="71"/>
      <c r="I525" s="71"/>
    </row>
    <row r="526" spans="1:9" s="70" customFormat="1">
      <c r="A526" s="68"/>
      <c r="B526" s="69"/>
      <c r="C526" s="68"/>
      <c r="G526" s="71"/>
      <c r="H526" s="71"/>
      <c r="I526" s="71"/>
    </row>
    <row r="527" spans="1:9" s="70" customFormat="1">
      <c r="A527" s="68"/>
      <c r="B527" s="69"/>
      <c r="C527" s="68"/>
      <c r="G527" s="71"/>
      <c r="H527" s="71"/>
      <c r="I527" s="71"/>
    </row>
    <row r="528" spans="1:9" s="70" customFormat="1">
      <c r="A528" s="68"/>
      <c r="B528" s="69"/>
      <c r="C528" s="68"/>
      <c r="G528" s="71"/>
      <c r="H528" s="71"/>
      <c r="I528" s="71"/>
    </row>
    <row r="529" spans="1:9" s="70" customFormat="1">
      <c r="A529" s="68"/>
      <c r="B529" s="69"/>
      <c r="C529" s="68"/>
      <c r="G529" s="71"/>
      <c r="H529" s="71"/>
      <c r="I529" s="71"/>
    </row>
    <row r="530" spans="1:9" s="70" customFormat="1">
      <c r="A530" s="68"/>
      <c r="B530" s="69"/>
      <c r="C530" s="68"/>
      <c r="G530" s="71"/>
      <c r="H530" s="71"/>
      <c r="I530" s="71"/>
    </row>
    <row r="531" spans="1:9" s="70" customFormat="1">
      <c r="A531" s="68"/>
      <c r="B531" s="69"/>
      <c r="C531" s="68"/>
      <c r="G531" s="71"/>
      <c r="H531" s="71"/>
      <c r="I531" s="71"/>
    </row>
    <row r="532" spans="1:9" s="70" customFormat="1">
      <c r="A532" s="68"/>
      <c r="B532" s="69"/>
      <c r="C532" s="68"/>
      <c r="G532" s="71"/>
      <c r="H532" s="71"/>
      <c r="I532" s="71"/>
    </row>
    <row r="533" spans="1:9" s="70" customFormat="1">
      <c r="A533" s="68"/>
      <c r="B533" s="69"/>
      <c r="C533" s="68"/>
      <c r="G533" s="71"/>
      <c r="H533" s="71"/>
      <c r="I533" s="71"/>
    </row>
    <row r="534" spans="1:9" s="70" customFormat="1">
      <c r="A534" s="68"/>
      <c r="B534" s="69"/>
      <c r="C534" s="68"/>
      <c r="G534" s="71"/>
      <c r="H534" s="71"/>
      <c r="I534" s="71"/>
    </row>
    <row r="535" spans="1:9" s="70" customFormat="1">
      <c r="A535" s="68"/>
      <c r="B535" s="69"/>
      <c r="C535" s="68"/>
      <c r="G535" s="71"/>
      <c r="H535" s="71"/>
      <c r="I535" s="71"/>
    </row>
    <row r="536" spans="1:9" s="70" customFormat="1">
      <c r="A536" s="68"/>
      <c r="B536" s="69"/>
      <c r="C536" s="68"/>
      <c r="G536" s="71"/>
      <c r="H536" s="71"/>
      <c r="I536" s="71"/>
    </row>
    <row r="537" spans="1:9" s="70" customFormat="1">
      <c r="A537" s="68"/>
      <c r="B537" s="69"/>
      <c r="C537" s="68"/>
      <c r="G537" s="71"/>
      <c r="H537" s="71"/>
      <c r="I537" s="71"/>
    </row>
    <row r="538" spans="1:9" s="70" customFormat="1">
      <c r="A538" s="68"/>
      <c r="B538" s="69"/>
      <c r="C538" s="68"/>
      <c r="G538" s="71"/>
      <c r="H538" s="71"/>
      <c r="I538" s="71"/>
    </row>
    <row r="539" spans="1:9" s="70" customFormat="1">
      <c r="A539" s="68"/>
      <c r="B539" s="69"/>
      <c r="C539" s="68"/>
      <c r="G539" s="71"/>
      <c r="H539" s="71"/>
      <c r="I539" s="71"/>
    </row>
    <row r="540" spans="1:9" s="70" customFormat="1">
      <c r="A540" s="68"/>
      <c r="B540" s="69"/>
      <c r="C540" s="68"/>
      <c r="G540" s="71"/>
      <c r="H540" s="71"/>
      <c r="I540" s="71"/>
    </row>
    <row r="541" spans="1:9" s="70" customFormat="1">
      <c r="A541" s="68"/>
      <c r="B541" s="69"/>
      <c r="C541" s="68"/>
      <c r="G541" s="71"/>
      <c r="H541" s="71"/>
      <c r="I541" s="71"/>
    </row>
    <row r="542" spans="1:9" s="70" customFormat="1">
      <c r="A542" s="68"/>
      <c r="B542" s="69"/>
      <c r="C542" s="68"/>
      <c r="G542" s="71"/>
      <c r="H542" s="71"/>
      <c r="I542" s="71"/>
    </row>
    <row r="543" spans="1:9" s="70" customFormat="1">
      <c r="A543" s="68"/>
      <c r="B543" s="69"/>
      <c r="C543" s="68"/>
      <c r="G543" s="71"/>
      <c r="H543" s="71"/>
      <c r="I543" s="71"/>
    </row>
    <row r="544" spans="1:9" s="70" customFormat="1">
      <c r="A544" s="68"/>
      <c r="B544" s="69"/>
      <c r="C544" s="68"/>
      <c r="G544" s="71"/>
      <c r="H544" s="71"/>
      <c r="I544" s="71"/>
    </row>
    <row r="545" spans="1:9" s="70" customFormat="1">
      <c r="A545" s="68"/>
      <c r="B545" s="69"/>
      <c r="C545" s="68"/>
      <c r="G545" s="71"/>
      <c r="H545" s="71"/>
      <c r="I545" s="71"/>
    </row>
    <row r="546" spans="1:9" s="70" customFormat="1">
      <c r="A546" s="68"/>
      <c r="B546" s="69"/>
      <c r="C546" s="68"/>
      <c r="G546" s="71"/>
      <c r="H546" s="71"/>
      <c r="I546" s="71"/>
    </row>
    <row r="547" spans="1:9" s="70" customFormat="1">
      <c r="A547" s="68"/>
      <c r="B547" s="69"/>
      <c r="C547" s="68"/>
      <c r="G547" s="71"/>
      <c r="H547" s="71"/>
      <c r="I547" s="71"/>
    </row>
    <row r="548" spans="1:9" s="70" customFormat="1">
      <c r="A548" s="68"/>
      <c r="B548" s="69"/>
      <c r="C548" s="68"/>
      <c r="G548" s="71"/>
      <c r="H548" s="71"/>
      <c r="I548" s="71"/>
    </row>
    <row r="549" spans="1:9" s="70" customFormat="1">
      <c r="A549" s="68"/>
      <c r="B549" s="69"/>
      <c r="C549" s="68"/>
      <c r="G549" s="71"/>
      <c r="H549" s="71"/>
      <c r="I549" s="71"/>
    </row>
    <row r="550" spans="1:9" s="70" customFormat="1">
      <c r="A550" s="68"/>
      <c r="B550" s="69"/>
      <c r="C550" s="68"/>
      <c r="G550" s="71"/>
      <c r="H550" s="71"/>
      <c r="I550" s="71"/>
    </row>
    <row r="551" spans="1:9" s="70" customFormat="1">
      <c r="A551" s="68"/>
      <c r="B551" s="69"/>
      <c r="C551" s="68"/>
      <c r="G551" s="71"/>
      <c r="H551" s="71"/>
      <c r="I551" s="71"/>
    </row>
    <row r="552" spans="1:9" s="70" customFormat="1">
      <c r="A552" s="68"/>
      <c r="B552" s="69"/>
      <c r="C552" s="68"/>
      <c r="G552" s="71"/>
      <c r="H552" s="71"/>
      <c r="I552" s="71"/>
    </row>
    <row r="553" spans="1:9" s="70" customFormat="1">
      <c r="A553" s="68"/>
      <c r="B553" s="69"/>
      <c r="C553" s="68"/>
      <c r="G553" s="71"/>
      <c r="H553" s="71"/>
      <c r="I553" s="71"/>
    </row>
    <row r="554" spans="1:9" s="70" customFormat="1">
      <c r="A554" s="68"/>
      <c r="B554" s="69"/>
      <c r="C554" s="68"/>
      <c r="G554" s="71"/>
      <c r="H554" s="71"/>
      <c r="I554" s="71"/>
    </row>
    <row r="555" spans="1:9" s="70" customFormat="1">
      <c r="A555" s="68"/>
      <c r="B555" s="69"/>
      <c r="C555" s="68"/>
      <c r="G555" s="71"/>
      <c r="H555" s="71"/>
      <c r="I555" s="71"/>
    </row>
    <row r="556" spans="1:9" s="70" customFormat="1">
      <c r="A556" s="68"/>
      <c r="B556" s="69"/>
      <c r="C556" s="68"/>
      <c r="G556" s="71"/>
      <c r="H556" s="71"/>
      <c r="I556" s="71"/>
    </row>
    <row r="557" spans="1:9" s="70" customFormat="1">
      <c r="A557" s="68"/>
      <c r="B557" s="69"/>
      <c r="C557" s="68"/>
      <c r="G557" s="71"/>
      <c r="H557" s="71"/>
      <c r="I557" s="71"/>
    </row>
    <row r="558" spans="1:9" s="70" customFormat="1">
      <c r="A558" s="68"/>
      <c r="B558" s="69"/>
      <c r="C558" s="68"/>
      <c r="G558" s="71"/>
      <c r="H558" s="71"/>
      <c r="I558" s="71"/>
    </row>
    <row r="559" spans="1:9" s="70" customFormat="1">
      <c r="A559" s="68"/>
      <c r="B559" s="69"/>
      <c r="C559" s="68"/>
      <c r="G559" s="71"/>
      <c r="H559" s="71"/>
      <c r="I559" s="71"/>
    </row>
    <row r="560" spans="1:9" s="70" customFormat="1">
      <c r="A560" s="68"/>
      <c r="B560" s="69"/>
      <c r="C560" s="68"/>
      <c r="G560" s="71"/>
      <c r="H560" s="71"/>
      <c r="I560" s="71"/>
    </row>
    <row r="561" spans="1:9" s="70" customFormat="1">
      <c r="A561" s="68"/>
      <c r="B561" s="69"/>
      <c r="C561" s="68"/>
      <c r="G561" s="71"/>
      <c r="H561" s="71"/>
      <c r="I561" s="71"/>
    </row>
    <row r="562" spans="1:9" s="70" customFormat="1">
      <c r="A562" s="68"/>
      <c r="B562" s="69"/>
      <c r="C562" s="68"/>
      <c r="G562" s="71"/>
      <c r="H562" s="71"/>
      <c r="I562" s="71"/>
    </row>
    <row r="563" spans="1:9" s="70" customFormat="1">
      <c r="A563" s="68"/>
      <c r="B563" s="69"/>
      <c r="C563" s="68"/>
      <c r="G563" s="71"/>
      <c r="H563" s="71"/>
      <c r="I563" s="71"/>
    </row>
    <row r="564" spans="1:9" s="70" customFormat="1">
      <c r="A564" s="68"/>
      <c r="B564" s="69"/>
      <c r="C564" s="68"/>
      <c r="G564" s="71"/>
      <c r="H564" s="71"/>
      <c r="I564" s="71"/>
    </row>
    <row r="565" spans="1:9" s="70" customFormat="1">
      <c r="A565" s="68"/>
      <c r="B565" s="69"/>
      <c r="C565" s="68"/>
      <c r="G565" s="71"/>
      <c r="H565" s="71"/>
      <c r="I565" s="71"/>
    </row>
    <row r="566" spans="1:9" s="70" customFormat="1">
      <c r="A566" s="68"/>
      <c r="B566" s="69"/>
      <c r="C566" s="68"/>
      <c r="G566" s="71"/>
      <c r="H566" s="71"/>
      <c r="I566" s="71"/>
    </row>
    <row r="567" spans="1:9" s="70" customFormat="1">
      <c r="A567" s="68"/>
      <c r="B567" s="69"/>
      <c r="C567" s="68"/>
      <c r="G567" s="71"/>
      <c r="H567" s="71"/>
      <c r="I567" s="71"/>
    </row>
    <row r="568" spans="1:9" s="70" customFormat="1">
      <c r="A568" s="68"/>
      <c r="B568" s="69"/>
      <c r="C568" s="68"/>
      <c r="G568" s="71"/>
      <c r="H568" s="71"/>
      <c r="I568" s="71"/>
    </row>
    <row r="569" spans="1:9" s="70" customFormat="1">
      <c r="A569" s="68"/>
      <c r="B569" s="69"/>
      <c r="C569" s="68"/>
      <c r="G569" s="71"/>
      <c r="H569" s="71"/>
      <c r="I569" s="71"/>
    </row>
    <row r="570" spans="1:9" s="70" customFormat="1">
      <c r="A570" s="68"/>
      <c r="B570" s="69"/>
      <c r="C570" s="68"/>
      <c r="G570" s="71"/>
      <c r="H570" s="71"/>
      <c r="I570" s="71"/>
    </row>
    <row r="571" spans="1:9" s="70" customFormat="1">
      <c r="A571" s="68"/>
      <c r="B571" s="69"/>
      <c r="C571" s="68"/>
      <c r="G571" s="71"/>
      <c r="H571" s="71"/>
      <c r="I571" s="71"/>
    </row>
    <row r="572" spans="1:9" s="70" customFormat="1">
      <c r="A572" s="68"/>
      <c r="B572" s="69"/>
      <c r="C572" s="68"/>
      <c r="G572" s="71"/>
      <c r="H572" s="71"/>
      <c r="I572" s="71"/>
    </row>
    <row r="573" spans="1:9" s="70" customFormat="1">
      <c r="A573" s="68"/>
      <c r="B573" s="69"/>
      <c r="C573" s="68"/>
      <c r="G573" s="71"/>
      <c r="H573" s="71"/>
      <c r="I573" s="71"/>
    </row>
    <row r="574" spans="1:9" s="70" customFormat="1">
      <c r="A574" s="68"/>
      <c r="B574" s="69"/>
      <c r="C574" s="68"/>
      <c r="G574" s="71"/>
      <c r="H574" s="71"/>
      <c r="I574" s="71"/>
    </row>
    <row r="575" spans="1:9" s="70" customFormat="1">
      <c r="A575" s="68"/>
      <c r="B575" s="69"/>
      <c r="C575" s="68"/>
      <c r="G575" s="71"/>
      <c r="H575" s="71"/>
      <c r="I575" s="71"/>
    </row>
    <row r="576" spans="1:9" s="70" customFormat="1">
      <c r="A576" s="68"/>
      <c r="B576" s="69"/>
      <c r="C576" s="68"/>
      <c r="G576" s="71"/>
      <c r="H576" s="71"/>
      <c r="I576" s="71"/>
    </row>
    <row r="577" spans="1:9" s="70" customFormat="1">
      <c r="A577" s="68"/>
      <c r="B577" s="69"/>
      <c r="C577" s="68"/>
      <c r="G577" s="71"/>
      <c r="H577" s="71"/>
      <c r="I577" s="71"/>
    </row>
    <row r="578" spans="1:9" s="70" customFormat="1">
      <c r="A578" s="68"/>
      <c r="B578" s="69"/>
      <c r="C578" s="68"/>
      <c r="G578" s="71"/>
      <c r="H578" s="71"/>
      <c r="I578" s="71"/>
    </row>
    <row r="579" spans="1:9" s="70" customFormat="1">
      <c r="A579" s="68"/>
      <c r="B579" s="69"/>
      <c r="C579" s="68"/>
      <c r="G579" s="71"/>
      <c r="H579" s="71"/>
      <c r="I579" s="71"/>
    </row>
    <row r="580" spans="1:9" s="70" customFormat="1">
      <c r="A580" s="68"/>
      <c r="B580" s="69"/>
      <c r="C580" s="68"/>
      <c r="G580" s="71"/>
      <c r="H580" s="71"/>
      <c r="I580" s="71"/>
    </row>
    <row r="581" spans="1:9" s="70" customFormat="1">
      <c r="A581" s="68"/>
      <c r="B581" s="69"/>
      <c r="C581" s="68"/>
      <c r="G581" s="71"/>
      <c r="H581" s="71"/>
      <c r="I581" s="71"/>
    </row>
    <row r="582" spans="1:9" s="70" customFormat="1">
      <c r="A582" s="68"/>
      <c r="B582" s="69"/>
      <c r="C582" s="68"/>
      <c r="G582" s="71"/>
      <c r="H582" s="71"/>
      <c r="I582" s="71"/>
    </row>
    <row r="583" spans="1:9" s="70" customFormat="1">
      <c r="A583" s="68"/>
      <c r="B583" s="69"/>
      <c r="C583" s="68"/>
      <c r="G583" s="71"/>
      <c r="H583" s="71"/>
      <c r="I583" s="71"/>
    </row>
    <row r="584" spans="1:9" s="70" customFormat="1">
      <c r="A584" s="68"/>
      <c r="B584" s="69"/>
      <c r="C584" s="68"/>
      <c r="G584" s="71"/>
      <c r="H584" s="71"/>
      <c r="I584" s="71"/>
    </row>
    <row r="585" spans="1:9" s="70" customFormat="1">
      <c r="A585" s="68"/>
      <c r="B585" s="69"/>
      <c r="C585" s="68"/>
      <c r="G585" s="71"/>
      <c r="H585" s="71"/>
      <c r="I585" s="71"/>
    </row>
    <row r="586" spans="1:9" s="70" customFormat="1">
      <c r="A586" s="68"/>
      <c r="B586" s="69"/>
      <c r="C586" s="68"/>
      <c r="G586" s="71"/>
      <c r="H586" s="71"/>
      <c r="I586" s="71"/>
    </row>
    <row r="587" spans="1:9" s="70" customFormat="1">
      <c r="A587" s="68"/>
      <c r="B587" s="69"/>
      <c r="C587" s="68"/>
      <c r="G587" s="71"/>
      <c r="H587" s="71"/>
      <c r="I587" s="71"/>
    </row>
    <row r="588" spans="1:9" s="70" customFormat="1">
      <c r="A588" s="68"/>
      <c r="B588" s="69"/>
      <c r="C588" s="68"/>
      <c r="G588" s="71"/>
      <c r="H588" s="71"/>
      <c r="I588" s="71"/>
    </row>
    <row r="589" spans="1:9" s="70" customFormat="1">
      <c r="A589" s="68"/>
      <c r="B589" s="69"/>
      <c r="C589" s="68"/>
      <c r="G589" s="71"/>
      <c r="H589" s="71"/>
      <c r="I589" s="71"/>
    </row>
    <row r="590" spans="1:9">
      <c r="A590" s="72"/>
    </row>
    <row r="591" spans="1:9">
      <c r="A591" s="72"/>
    </row>
    <row r="592" spans="1:9">
      <c r="A592" s="72"/>
    </row>
    <row r="593" spans="1:10">
      <c r="A593" s="72"/>
    </row>
    <row r="594" spans="1:10">
      <c r="A594" s="72"/>
    </row>
    <row r="595" spans="1:10">
      <c r="A595" s="72"/>
    </row>
    <row r="596" spans="1:10">
      <c r="A596" s="51" t="s">
        <v>97</v>
      </c>
      <c r="B596" s="74">
        <v>1525903335.8</v>
      </c>
    </row>
    <row r="597" spans="1:10">
      <c r="A597" s="108" t="s">
        <v>98</v>
      </c>
      <c r="B597" s="109"/>
    </row>
    <row r="598" spans="1:10">
      <c r="A598" s="52" t="s">
        <v>99</v>
      </c>
      <c r="B598" s="75">
        <f>SUM(H10:H650)</f>
        <v>816862500</v>
      </c>
    </row>
    <row r="599" spans="1:10">
      <c r="A599" s="52" t="s">
        <v>100</v>
      </c>
      <c r="B599" s="75">
        <v>0</v>
      </c>
      <c r="C599" s="76"/>
    </row>
    <row r="600" spans="1:10">
      <c r="A600" s="52" t="s">
        <v>101</v>
      </c>
      <c r="B600" s="77">
        <v>0</v>
      </c>
      <c r="H600" s="78"/>
    </row>
    <row r="601" spans="1:10">
      <c r="A601" s="53" t="s">
        <v>102</v>
      </c>
      <c r="B601" s="79"/>
    </row>
    <row r="602" spans="1:10">
      <c r="A602" s="54"/>
      <c r="B602" s="80"/>
    </row>
    <row r="603" spans="1:10">
      <c r="A603" s="52" t="s">
        <v>103</v>
      </c>
      <c r="B603" s="75">
        <f>SUM(B598:B602)</f>
        <v>816862500</v>
      </c>
    </row>
    <row r="604" spans="1:10">
      <c r="A604" s="52"/>
      <c r="B604" s="55"/>
    </row>
    <row r="605" spans="1:10">
      <c r="A605" s="108" t="s">
        <v>104</v>
      </c>
      <c r="B605" s="109"/>
      <c r="J605" s="78"/>
    </row>
    <row r="606" spans="1:10">
      <c r="A606" s="56"/>
      <c r="B606" s="81"/>
    </row>
    <row r="607" spans="1:10">
      <c r="A607" s="52" t="s">
        <v>105</v>
      </c>
      <c r="B607" s="82">
        <f>SUM(D235:D282)</f>
        <v>0</v>
      </c>
    </row>
    <row r="608" spans="1:10">
      <c r="A608" s="52" t="s">
        <v>106</v>
      </c>
      <c r="B608" s="83">
        <v>0</v>
      </c>
    </row>
    <row r="609" spans="1:2">
      <c r="A609" s="52" t="s">
        <v>102</v>
      </c>
      <c r="B609" s="84">
        <v>0</v>
      </c>
    </row>
    <row r="610" spans="1:2">
      <c r="A610" s="52" t="s">
        <v>107</v>
      </c>
      <c r="B610" s="57">
        <v>0</v>
      </c>
    </row>
    <row r="611" spans="1:2" s="73" customFormat="1">
      <c r="A611" s="52" t="s">
        <v>108</v>
      </c>
      <c r="B611" s="58">
        <v>0</v>
      </c>
    </row>
    <row r="612" spans="1:2" s="73" customFormat="1">
      <c r="A612" s="52" t="s">
        <v>109</v>
      </c>
      <c r="B612" s="59">
        <v>0</v>
      </c>
    </row>
    <row r="613" spans="1:2" s="73" customFormat="1">
      <c r="A613" s="52" t="s">
        <v>103</v>
      </c>
      <c r="B613" s="75">
        <f>SUM(B607:B612)</f>
        <v>0</v>
      </c>
    </row>
    <row r="614" spans="1:2" s="73" customFormat="1">
      <c r="A614" s="52" t="s">
        <v>110</v>
      </c>
      <c r="B614" s="85">
        <f>B596+B603-B613</f>
        <v>2342765835.8000002</v>
      </c>
    </row>
    <row r="615" spans="1:2" s="73" customFormat="1">
      <c r="A615" s="52" t="s">
        <v>111</v>
      </c>
      <c r="B615" s="86">
        <f>B614-I286</f>
        <v>460245312.00000024</v>
      </c>
    </row>
    <row r="616" spans="1:2">
      <c r="A616" s="72"/>
    </row>
    <row r="617" spans="1:2">
      <c r="A617" s="72"/>
    </row>
    <row r="618" spans="1:2">
      <c r="A618" s="72"/>
    </row>
    <row r="619" spans="1:2">
      <c r="A619" s="72"/>
    </row>
    <row r="620" spans="1:2">
      <c r="A620" s="72"/>
    </row>
    <row r="621" spans="1:2">
      <c r="A621" s="72"/>
    </row>
    <row r="622" spans="1:2">
      <c r="A622" s="72"/>
    </row>
    <row r="623" spans="1:2">
      <c r="A623" s="72"/>
    </row>
    <row r="624" spans="1:2">
      <c r="A624" s="72"/>
    </row>
    <row r="625" spans="1:1">
      <c r="A625" s="72"/>
    </row>
    <row r="626" spans="1:1">
      <c r="A626" s="72"/>
    </row>
    <row r="627" spans="1:1">
      <c r="A627" s="72"/>
    </row>
    <row r="628" spans="1:1">
      <c r="A628" s="72"/>
    </row>
    <row r="629" spans="1:1">
      <c r="A629" s="72"/>
    </row>
    <row r="630" spans="1:1">
      <c r="A630" s="72"/>
    </row>
    <row r="631" spans="1:1">
      <c r="A631" s="72"/>
    </row>
    <row r="632" spans="1:1">
      <c r="A632" s="72"/>
    </row>
    <row r="633" spans="1:1">
      <c r="A633" s="72"/>
    </row>
    <row r="634" spans="1:1">
      <c r="A634" s="72"/>
    </row>
    <row r="635" spans="1:1">
      <c r="A635" s="72"/>
    </row>
    <row r="636" spans="1:1">
      <c r="A636" s="72"/>
    </row>
    <row r="637" spans="1:1">
      <c r="A637" s="72"/>
    </row>
    <row r="638" spans="1:1">
      <c r="A638" s="72"/>
    </row>
    <row r="639" spans="1:1">
      <c r="A639" s="72"/>
    </row>
    <row r="640" spans="1:1">
      <c r="A640" s="72"/>
    </row>
    <row r="641" spans="1:1">
      <c r="A641" s="72"/>
    </row>
    <row r="642" spans="1:1">
      <c r="A642" s="72"/>
    </row>
    <row r="643" spans="1:1">
      <c r="A643" s="72"/>
    </row>
    <row r="644" spans="1:1">
      <c r="A644" s="72"/>
    </row>
    <row r="645" spans="1:1">
      <c r="A645" s="72"/>
    </row>
    <row r="646" spans="1:1">
      <c r="A646" s="72"/>
    </row>
    <row r="647" spans="1:1">
      <c r="A647" s="72"/>
    </row>
    <row r="648" spans="1:1">
      <c r="A648" s="72"/>
    </row>
    <row r="649" spans="1:1">
      <c r="A649" s="72"/>
    </row>
    <row r="650" spans="1:1">
      <c r="A650" s="72"/>
    </row>
    <row r="651" spans="1:1">
      <c r="A651" s="72"/>
    </row>
    <row r="652" spans="1:1">
      <c r="A652" s="72"/>
    </row>
    <row r="653" spans="1:1">
      <c r="A653" s="72"/>
    </row>
    <row r="654" spans="1:1">
      <c r="A654" s="72"/>
    </row>
    <row r="655" spans="1:1">
      <c r="A655" s="72"/>
    </row>
    <row r="656" spans="1:1">
      <c r="A656" s="72"/>
    </row>
    <row r="657" spans="1:1">
      <c r="A657" s="72"/>
    </row>
    <row r="658" spans="1:1">
      <c r="A658" s="72"/>
    </row>
    <row r="659" spans="1:1">
      <c r="A659" s="72"/>
    </row>
    <row r="660" spans="1:1">
      <c r="A660" s="72"/>
    </row>
    <row r="661" spans="1:1">
      <c r="A661" s="72"/>
    </row>
    <row r="662" spans="1:1">
      <c r="A662" s="72"/>
    </row>
    <row r="663" spans="1:1">
      <c r="A663" s="72"/>
    </row>
    <row r="664" spans="1:1">
      <c r="A664" s="72"/>
    </row>
    <row r="665" spans="1:1">
      <c r="A665" s="72"/>
    </row>
    <row r="666" spans="1:1">
      <c r="A666" s="72"/>
    </row>
    <row r="667" spans="1:1">
      <c r="A667" s="72"/>
    </row>
    <row r="668" spans="1:1">
      <c r="A668" s="72"/>
    </row>
    <row r="669" spans="1:1">
      <c r="A669" s="72"/>
    </row>
    <row r="670" spans="1:1">
      <c r="A670" s="72"/>
    </row>
    <row r="671" spans="1:1">
      <c r="A671" s="72"/>
    </row>
    <row r="672" spans="1:1">
      <c r="A672" s="72"/>
    </row>
    <row r="673" spans="1:1">
      <c r="A673" s="72"/>
    </row>
    <row r="674" spans="1:1">
      <c r="A674" s="72"/>
    </row>
    <row r="675" spans="1:1">
      <c r="A675" s="72"/>
    </row>
    <row r="676" spans="1:1">
      <c r="A676" s="72"/>
    </row>
    <row r="677" spans="1:1">
      <c r="A677" s="72"/>
    </row>
    <row r="678" spans="1:1">
      <c r="A678" s="72"/>
    </row>
    <row r="679" spans="1:1">
      <c r="A679" s="72"/>
    </row>
    <row r="680" spans="1:1">
      <c r="A680" s="72"/>
    </row>
    <row r="681" spans="1:1">
      <c r="A681" s="72"/>
    </row>
    <row r="682" spans="1:1">
      <c r="A682" s="72"/>
    </row>
    <row r="683" spans="1:1">
      <c r="A683" s="72"/>
    </row>
    <row r="684" spans="1:1">
      <c r="A684" s="72"/>
    </row>
    <row r="685" spans="1:1">
      <c r="A685" s="72"/>
    </row>
    <row r="686" spans="1:1">
      <c r="A686" s="72"/>
    </row>
    <row r="687" spans="1:1">
      <c r="A687" s="72"/>
    </row>
    <row r="688" spans="1:1">
      <c r="A688" s="72"/>
    </row>
    <row r="689" spans="1:1">
      <c r="A689" s="72"/>
    </row>
    <row r="690" spans="1:1">
      <c r="A690" s="72"/>
    </row>
    <row r="691" spans="1:1">
      <c r="A691" s="72"/>
    </row>
    <row r="692" spans="1:1">
      <c r="A692" s="72"/>
    </row>
    <row r="693" spans="1:1">
      <c r="A693" s="72"/>
    </row>
    <row r="694" spans="1:1">
      <c r="A694" s="72"/>
    </row>
    <row r="695" spans="1:1">
      <c r="A695" s="72"/>
    </row>
    <row r="696" spans="1:1">
      <c r="A696" s="72"/>
    </row>
    <row r="697" spans="1:1">
      <c r="A697" s="72"/>
    </row>
    <row r="698" spans="1:1">
      <c r="A698" s="72"/>
    </row>
    <row r="699" spans="1:1">
      <c r="A699" s="72"/>
    </row>
    <row r="700" spans="1:1">
      <c r="A700" s="72"/>
    </row>
    <row r="701" spans="1:1">
      <c r="A701" s="72"/>
    </row>
    <row r="702" spans="1:1">
      <c r="A702" s="72"/>
    </row>
    <row r="703" spans="1:1">
      <c r="A703" s="72"/>
    </row>
    <row r="704" spans="1:1">
      <c r="A704" s="72"/>
    </row>
    <row r="705" spans="1:1">
      <c r="A705" s="72"/>
    </row>
    <row r="706" spans="1:1">
      <c r="A706" s="72"/>
    </row>
    <row r="707" spans="1:1">
      <c r="A707" s="72"/>
    </row>
    <row r="708" spans="1:1">
      <c r="A708" s="72"/>
    </row>
    <row r="709" spans="1:1">
      <c r="A709" s="72"/>
    </row>
    <row r="710" spans="1:1">
      <c r="A710" s="72"/>
    </row>
    <row r="711" spans="1:1">
      <c r="A711" s="72"/>
    </row>
    <row r="712" spans="1:1">
      <c r="A712" s="72"/>
    </row>
    <row r="713" spans="1:1">
      <c r="A713" s="72"/>
    </row>
    <row r="714" spans="1:1">
      <c r="A714" s="72"/>
    </row>
    <row r="715" spans="1:1">
      <c r="A715" s="72"/>
    </row>
    <row r="716" spans="1:1">
      <c r="A716" s="72"/>
    </row>
    <row r="717" spans="1:1">
      <c r="A717" s="72"/>
    </row>
    <row r="718" spans="1:1">
      <c r="A718" s="72"/>
    </row>
    <row r="719" spans="1:1">
      <c r="A719" s="72"/>
    </row>
    <row r="720" spans="1:1">
      <c r="A720" s="72"/>
    </row>
    <row r="721" spans="1:1">
      <c r="A721" s="72"/>
    </row>
    <row r="722" spans="1:1">
      <c r="A722" s="72"/>
    </row>
    <row r="723" spans="1:1">
      <c r="A723" s="72"/>
    </row>
    <row r="724" spans="1:1">
      <c r="A724" s="72"/>
    </row>
    <row r="725" spans="1:1">
      <c r="A725" s="72"/>
    </row>
    <row r="726" spans="1:1">
      <c r="A726" s="72"/>
    </row>
    <row r="727" spans="1:1">
      <c r="A727" s="72"/>
    </row>
    <row r="728" spans="1:1">
      <c r="A728" s="72"/>
    </row>
    <row r="729" spans="1:1">
      <c r="A729" s="72"/>
    </row>
    <row r="730" spans="1:1">
      <c r="A730" s="72"/>
    </row>
    <row r="731" spans="1:1">
      <c r="A731" s="72"/>
    </row>
    <row r="732" spans="1:1">
      <c r="A732" s="72"/>
    </row>
    <row r="733" spans="1:1">
      <c r="A733" s="72"/>
    </row>
    <row r="734" spans="1:1">
      <c r="A734" s="72"/>
    </row>
    <row r="735" spans="1:1">
      <c r="A735" s="72"/>
    </row>
    <row r="736" spans="1:1">
      <c r="A736" s="72"/>
    </row>
    <row r="737" spans="1:1">
      <c r="A737" s="72"/>
    </row>
    <row r="738" spans="1:1">
      <c r="A738" s="72"/>
    </row>
    <row r="739" spans="1:1">
      <c r="A739" s="72"/>
    </row>
    <row r="740" spans="1:1">
      <c r="A740" s="72"/>
    </row>
    <row r="741" spans="1:1">
      <c r="A741" s="72"/>
    </row>
    <row r="742" spans="1:1">
      <c r="A742" s="72"/>
    </row>
    <row r="743" spans="1:1">
      <c r="A743" s="72"/>
    </row>
    <row r="744" spans="1:1">
      <c r="A744" s="72"/>
    </row>
    <row r="745" spans="1:1">
      <c r="A745" s="72"/>
    </row>
    <row r="746" spans="1:1">
      <c r="A746" s="72"/>
    </row>
    <row r="747" spans="1:1">
      <c r="A747" s="72"/>
    </row>
    <row r="748" spans="1:1">
      <c r="A748" s="72"/>
    </row>
    <row r="749" spans="1:1">
      <c r="A749" s="72"/>
    </row>
    <row r="750" spans="1:1">
      <c r="A750" s="72"/>
    </row>
    <row r="751" spans="1:1">
      <c r="A751" s="72"/>
    </row>
    <row r="752" spans="1:1">
      <c r="A752" s="72"/>
    </row>
    <row r="753" spans="1:1">
      <c r="A753" s="72"/>
    </row>
    <row r="754" spans="1:1">
      <c r="A754" s="72"/>
    </row>
    <row r="755" spans="1:1">
      <c r="A755" s="72"/>
    </row>
    <row r="756" spans="1:1">
      <c r="A756" s="72"/>
    </row>
    <row r="757" spans="1:1">
      <c r="A757" s="72"/>
    </row>
    <row r="758" spans="1:1">
      <c r="A758" s="72"/>
    </row>
    <row r="759" spans="1:1">
      <c r="A759" s="72"/>
    </row>
    <row r="760" spans="1:1">
      <c r="A760" s="72"/>
    </row>
    <row r="761" spans="1:1">
      <c r="A761" s="72"/>
    </row>
    <row r="762" spans="1:1">
      <c r="A762" s="72"/>
    </row>
    <row r="763" spans="1:1">
      <c r="A763" s="72"/>
    </row>
    <row r="764" spans="1:1">
      <c r="A764" s="72"/>
    </row>
    <row r="765" spans="1:1">
      <c r="A765" s="72"/>
    </row>
    <row r="766" spans="1:1">
      <c r="A766" s="72"/>
    </row>
    <row r="767" spans="1:1">
      <c r="A767" s="72"/>
    </row>
    <row r="768" spans="1:1">
      <c r="A768" s="72"/>
    </row>
    <row r="769" spans="1:1">
      <c r="A769" s="72"/>
    </row>
    <row r="770" spans="1:1">
      <c r="A770" s="72"/>
    </row>
    <row r="771" spans="1:1">
      <c r="A771" s="72"/>
    </row>
    <row r="772" spans="1:1">
      <c r="A772" s="72"/>
    </row>
    <row r="773" spans="1:1">
      <c r="A773" s="72"/>
    </row>
    <row r="774" spans="1:1">
      <c r="A774" s="72"/>
    </row>
    <row r="775" spans="1:1">
      <c r="A775" s="72"/>
    </row>
    <row r="776" spans="1:1">
      <c r="A776" s="72"/>
    </row>
    <row r="777" spans="1:1">
      <c r="A777" s="72"/>
    </row>
    <row r="778" spans="1:1">
      <c r="A778" s="72"/>
    </row>
    <row r="779" spans="1:1">
      <c r="A779" s="72"/>
    </row>
    <row r="780" spans="1:1">
      <c r="A780" s="72"/>
    </row>
    <row r="781" spans="1:1">
      <c r="A781" s="72"/>
    </row>
    <row r="782" spans="1:1">
      <c r="A782" s="72"/>
    </row>
    <row r="783" spans="1:1">
      <c r="A783" s="72"/>
    </row>
    <row r="784" spans="1:1">
      <c r="A784" s="72"/>
    </row>
    <row r="785" spans="1:1">
      <c r="A785" s="72"/>
    </row>
    <row r="786" spans="1:1">
      <c r="A786" s="72"/>
    </row>
    <row r="787" spans="1:1">
      <c r="A787" s="72"/>
    </row>
    <row r="788" spans="1:1">
      <c r="A788" s="72"/>
    </row>
    <row r="789" spans="1:1">
      <c r="A789" s="72"/>
    </row>
    <row r="790" spans="1:1">
      <c r="A790" s="72"/>
    </row>
    <row r="791" spans="1:1">
      <c r="A791" s="72"/>
    </row>
    <row r="792" spans="1:1">
      <c r="A792" s="72"/>
    </row>
    <row r="793" spans="1:1">
      <c r="A793" s="72"/>
    </row>
    <row r="794" spans="1:1">
      <c r="A794" s="72"/>
    </row>
    <row r="795" spans="1:1">
      <c r="A795" s="72"/>
    </row>
    <row r="796" spans="1:1">
      <c r="A796" s="72"/>
    </row>
    <row r="797" spans="1:1">
      <c r="A797" s="72"/>
    </row>
    <row r="798" spans="1:1">
      <c r="A798" s="72"/>
    </row>
    <row r="799" spans="1:1">
      <c r="A799" s="72"/>
    </row>
    <row r="800" spans="1:1">
      <c r="A800" s="72"/>
    </row>
    <row r="801" spans="1:1">
      <c r="A801" s="72"/>
    </row>
    <row r="802" spans="1:1">
      <c r="A802" s="72"/>
    </row>
    <row r="803" spans="1:1">
      <c r="A803" s="72"/>
    </row>
    <row r="804" spans="1:1">
      <c r="A804" s="72"/>
    </row>
    <row r="805" spans="1:1">
      <c r="A805" s="72"/>
    </row>
    <row r="806" spans="1:1">
      <c r="A806" s="72"/>
    </row>
    <row r="807" spans="1:1">
      <c r="A807" s="72"/>
    </row>
    <row r="808" spans="1:1">
      <c r="A808" s="72"/>
    </row>
    <row r="809" spans="1:1">
      <c r="A809" s="72"/>
    </row>
    <row r="810" spans="1:1">
      <c r="A810" s="72"/>
    </row>
    <row r="811" spans="1:1">
      <c r="A811" s="72"/>
    </row>
    <row r="812" spans="1:1">
      <c r="A812" s="72"/>
    </row>
    <row r="813" spans="1:1">
      <c r="A813" s="72"/>
    </row>
    <row r="814" spans="1:1">
      <c r="A814" s="72"/>
    </row>
    <row r="815" spans="1:1">
      <c r="A815" s="72"/>
    </row>
    <row r="816" spans="1:1">
      <c r="A816" s="72"/>
    </row>
    <row r="817" spans="1:1">
      <c r="A817" s="72"/>
    </row>
    <row r="818" spans="1:1">
      <c r="A818" s="72"/>
    </row>
    <row r="819" spans="1:1">
      <c r="A819" s="72"/>
    </row>
    <row r="820" spans="1:1">
      <c r="A820" s="72"/>
    </row>
    <row r="821" spans="1:1">
      <c r="A821" s="72"/>
    </row>
    <row r="822" spans="1:1">
      <c r="A822" s="72"/>
    </row>
    <row r="823" spans="1:1">
      <c r="A823" s="72"/>
    </row>
    <row r="824" spans="1:1">
      <c r="A824" s="72"/>
    </row>
    <row r="825" spans="1:1">
      <c r="A825" s="72"/>
    </row>
    <row r="826" spans="1:1">
      <c r="A826" s="72"/>
    </row>
    <row r="827" spans="1:1">
      <c r="A827" s="72"/>
    </row>
    <row r="828" spans="1:1">
      <c r="A828" s="72"/>
    </row>
    <row r="829" spans="1:1">
      <c r="A829" s="72"/>
    </row>
    <row r="830" spans="1:1">
      <c r="A830" s="72"/>
    </row>
    <row r="831" spans="1:1">
      <c r="A831" s="72"/>
    </row>
    <row r="832" spans="1:1">
      <c r="A832" s="72"/>
    </row>
    <row r="833" spans="1:1">
      <c r="A833" s="72"/>
    </row>
    <row r="834" spans="1:1">
      <c r="A834" s="72"/>
    </row>
    <row r="835" spans="1:1">
      <c r="A835" s="72"/>
    </row>
    <row r="836" spans="1:1">
      <c r="A836" s="72"/>
    </row>
    <row r="837" spans="1:1">
      <c r="A837" s="72"/>
    </row>
    <row r="838" spans="1:1">
      <c r="A838" s="72"/>
    </row>
    <row r="839" spans="1:1">
      <c r="A839" s="72"/>
    </row>
    <row r="840" spans="1:1">
      <c r="A840" s="72"/>
    </row>
    <row r="841" spans="1:1">
      <c r="A841" s="72"/>
    </row>
    <row r="842" spans="1:1">
      <c r="A842" s="72"/>
    </row>
    <row r="843" spans="1:1">
      <c r="A843" s="72"/>
    </row>
    <row r="844" spans="1:1">
      <c r="A844" s="72"/>
    </row>
    <row r="845" spans="1:1">
      <c r="A845" s="72"/>
    </row>
    <row r="846" spans="1:1">
      <c r="A846" s="72"/>
    </row>
    <row r="847" spans="1:1">
      <c r="A847" s="72"/>
    </row>
    <row r="848" spans="1:1">
      <c r="A848" s="72"/>
    </row>
    <row r="849" spans="1:1">
      <c r="A849" s="72"/>
    </row>
    <row r="850" spans="1:1">
      <c r="A850" s="72"/>
    </row>
    <row r="851" spans="1:1">
      <c r="A851" s="72"/>
    </row>
    <row r="852" spans="1:1">
      <c r="A852" s="72"/>
    </row>
    <row r="853" spans="1:1">
      <c r="A853" s="72"/>
    </row>
    <row r="854" spans="1:1">
      <c r="A854" s="72"/>
    </row>
    <row r="855" spans="1:1">
      <c r="A855" s="72"/>
    </row>
    <row r="856" spans="1:1">
      <c r="A856" s="72"/>
    </row>
    <row r="857" spans="1:1">
      <c r="A857" s="72"/>
    </row>
    <row r="858" spans="1:1">
      <c r="A858" s="72"/>
    </row>
    <row r="859" spans="1:1">
      <c r="A859" s="72"/>
    </row>
    <row r="860" spans="1:1">
      <c r="A860" s="72"/>
    </row>
    <row r="861" spans="1:1">
      <c r="A861" s="72"/>
    </row>
    <row r="862" spans="1:1">
      <c r="A862" s="72"/>
    </row>
    <row r="863" spans="1:1">
      <c r="A863" s="72"/>
    </row>
    <row r="864" spans="1:1">
      <c r="A864" s="72"/>
    </row>
    <row r="865" spans="1:1">
      <c r="A865" s="72"/>
    </row>
    <row r="866" spans="1:1">
      <c r="A866" s="72"/>
    </row>
    <row r="867" spans="1:1">
      <c r="A867" s="72"/>
    </row>
    <row r="868" spans="1:1">
      <c r="A868" s="72"/>
    </row>
    <row r="869" spans="1:1">
      <c r="A869" s="72"/>
    </row>
    <row r="870" spans="1:1">
      <c r="A870" s="72"/>
    </row>
    <row r="871" spans="1:1">
      <c r="A871" s="72"/>
    </row>
    <row r="872" spans="1:1">
      <c r="A872" s="72"/>
    </row>
    <row r="873" spans="1:1">
      <c r="A873" s="72"/>
    </row>
    <row r="874" spans="1:1">
      <c r="A874" s="72"/>
    </row>
    <row r="875" spans="1:1">
      <c r="A875" s="72"/>
    </row>
    <row r="876" spans="1:1">
      <c r="A876" s="72"/>
    </row>
    <row r="877" spans="1:1">
      <c r="A877" s="72"/>
    </row>
    <row r="878" spans="1:1">
      <c r="A878" s="72"/>
    </row>
    <row r="879" spans="1:1">
      <c r="A879" s="72"/>
    </row>
    <row r="880" spans="1:1">
      <c r="A880" s="72"/>
    </row>
    <row r="881" spans="1:1">
      <c r="A881" s="72"/>
    </row>
    <row r="882" spans="1:1">
      <c r="A882" s="72"/>
    </row>
    <row r="883" spans="1:1">
      <c r="A883" s="72"/>
    </row>
    <row r="884" spans="1:1">
      <c r="A884" s="72"/>
    </row>
    <row r="885" spans="1:1">
      <c r="A885" s="72"/>
    </row>
    <row r="886" spans="1:1">
      <c r="A886" s="72"/>
    </row>
    <row r="887" spans="1:1">
      <c r="A887" s="72"/>
    </row>
    <row r="888" spans="1:1">
      <c r="A888" s="72"/>
    </row>
    <row r="889" spans="1:1">
      <c r="A889" s="72"/>
    </row>
    <row r="890" spans="1:1">
      <c r="A890" s="72"/>
    </row>
    <row r="891" spans="1:1">
      <c r="A891" s="72"/>
    </row>
    <row r="892" spans="1:1">
      <c r="A892" s="72"/>
    </row>
    <row r="893" spans="1:1">
      <c r="A893" s="72"/>
    </row>
    <row r="894" spans="1:1">
      <c r="A894" s="72"/>
    </row>
    <row r="895" spans="1:1">
      <c r="A895" s="72"/>
    </row>
    <row r="896" spans="1:1">
      <c r="A896" s="72"/>
    </row>
    <row r="897" spans="1:1">
      <c r="A897" s="72"/>
    </row>
    <row r="898" spans="1:1">
      <c r="A898" s="72"/>
    </row>
    <row r="899" spans="1:1">
      <c r="A899" s="72"/>
    </row>
    <row r="900" spans="1:1">
      <c r="A900" s="72"/>
    </row>
    <row r="901" spans="1:1">
      <c r="A901" s="72"/>
    </row>
    <row r="902" spans="1:1">
      <c r="A902" s="72"/>
    </row>
    <row r="903" spans="1:1">
      <c r="A903" s="72"/>
    </row>
    <row r="904" spans="1:1">
      <c r="A904" s="72"/>
    </row>
    <row r="905" spans="1:1">
      <c r="A905" s="72"/>
    </row>
    <row r="906" spans="1:1">
      <c r="A906" s="72"/>
    </row>
    <row r="907" spans="1:1">
      <c r="A907" s="72"/>
    </row>
    <row r="908" spans="1:1">
      <c r="A908" s="72"/>
    </row>
    <row r="909" spans="1:1">
      <c r="A909" s="72"/>
    </row>
    <row r="910" spans="1:1">
      <c r="A910" s="72"/>
    </row>
    <row r="911" spans="1:1">
      <c r="A911" s="72"/>
    </row>
    <row r="912" spans="1:1">
      <c r="A912" s="72"/>
    </row>
    <row r="913" spans="1:1">
      <c r="A913" s="72"/>
    </row>
    <row r="914" spans="1:1">
      <c r="A914" s="72"/>
    </row>
    <row r="915" spans="1:1">
      <c r="A915" s="72"/>
    </row>
    <row r="916" spans="1:1">
      <c r="A916" s="72"/>
    </row>
    <row r="917" spans="1:1">
      <c r="A917" s="72"/>
    </row>
    <row r="918" spans="1:1">
      <c r="A918" s="72"/>
    </row>
    <row r="919" spans="1:1">
      <c r="A919" s="72"/>
    </row>
    <row r="920" spans="1:1">
      <c r="A920" s="72"/>
    </row>
    <row r="921" spans="1:1">
      <c r="A921" s="72"/>
    </row>
    <row r="922" spans="1:1">
      <c r="A922" s="72"/>
    </row>
    <row r="923" spans="1:1">
      <c r="A923" s="72"/>
    </row>
    <row r="924" spans="1:1">
      <c r="A924" s="72"/>
    </row>
    <row r="925" spans="1:1">
      <c r="A925" s="72"/>
    </row>
    <row r="926" spans="1:1">
      <c r="A926" s="72"/>
    </row>
    <row r="927" spans="1:1">
      <c r="A927" s="72"/>
    </row>
    <row r="928" spans="1:1">
      <c r="A928" s="72"/>
    </row>
    <row r="929" spans="1:1">
      <c r="A929" s="72"/>
    </row>
    <row r="930" spans="1:1">
      <c r="A930" s="72"/>
    </row>
    <row r="931" spans="1:1">
      <c r="A931" s="72"/>
    </row>
    <row r="932" spans="1:1">
      <c r="A932" s="72"/>
    </row>
    <row r="933" spans="1:1">
      <c r="A933" s="72"/>
    </row>
    <row r="934" spans="1:1">
      <c r="A934" s="72"/>
    </row>
    <row r="935" spans="1:1">
      <c r="A935" s="72"/>
    </row>
    <row r="936" spans="1:1">
      <c r="A936" s="72"/>
    </row>
    <row r="937" spans="1:1">
      <c r="A937" s="72"/>
    </row>
    <row r="938" spans="1:1">
      <c r="A938" s="72"/>
    </row>
    <row r="939" spans="1:1">
      <c r="A939" s="72"/>
    </row>
    <row r="940" spans="1:1">
      <c r="A940" s="72"/>
    </row>
    <row r="941" spans="1:1">
      <c r="A941" s="72"/>
    </row>
    <row r="942" spans="1:1">
      <c r="A942" s="72"/>
    </row>
    <row r="943" spans="1:1">
      <c r="A943" s="72"/>
    </row>
    <row r="944" spans="1:1">
      <c r="A944" s="72"/>
    </row>
    <row r="945" spans="1:1">
      <c r="A945" s="72"/>
    </row>
    <row r="946" spans="1:1">
      <c r="A946" s="72"/>
    </row>
    <row r="947" spans="1:1">
      <c r="A947" s="72"/>
    </row>
    <row r="948" spans="1:1">
      <c r="A948" s="72"/>
    </row>
    <row r="949" spans="1:1">
      <c r="A949" s="72"/>
    </row>
    <row r="950" spans="1:1">
      <c r="A950" s="72"/>
    </row>
    <row r="951" spans="1:1">
      <c r="A951" s="72"/>
    </row>
    <row r="952" spans="1:1">
      <c r="A952" s="72"/>
    </row>
    <row r="953" spans="1:1">
      <c r="A953" s="72"/>
    </row>
    <row r="954" spans="1:1">
      <c r="A954" s="72"/>
    </row>
    <row r="955" spans="1:1">
      <c r="A955" s="72"/>
    </row>
    <row r="956" spans="1:1">
      <c r="A956" s="72"/>
    </row>
    <row r="957" spans="1:1">
      <c r="A957" s="72"/>
    </row>
    <row r="958" spans="1:1">
      <c r="A958" s="72"/>
    </row>
    <row r="959" spans="1:1">
      <c r="A959" s="72"/>
    </row>
    <row r="960" spans="1:1">
      <c r="A960" s="72"/>
    </row>
    <row r="961" spans="1:1">
      <c r="A961" s="72"/>
    </row>
    <row r="962" spans="1:1">
      <c r="A962" s="72"/>
    </row>
    <row r="963" spans="1:1">
      <c r="A963" s="72"/>
    </row>
    <row r="964" spans="1:1">
      <c r="A964" s="72"/>
    </row>
    <row r="965" spans="1:1">
      <c r="A965" s="72"/>
    </row>
    <row r="966" spans="1:1">
      <c r="A966" s="72"/>
    </row>
    <row r="967" spans="1:1">
      <c r="A967" s="72"/>
    </row>
    <row r="968" spans="1:1">
      <c r="A968" s="72"/>
    </row>
    <row r="969" spans="1:1">
      <c r="A969" s="72"/>
    </row>
    <row r="970" spans="1:1">
      <c r="A970" s="72"/>
    </row>
    <row r="971" spans="1:1">
      <c r="A971" s="72"/>
    </row>
    <row r="972" spans="1:1">
      <c r="A972" s="72"/>
    </row>
    <row r="973" spans="1:1">
      <c r="A973" s="72"/>
    </row>
    <row r="974" spans="1:1">
      <c r="A974" s="72"/>
    </row>
    <row r="975" spans="1:1">
      <c r="A975" s="72"/>
    </row>
    <row r="976" spans="1:1">
      <c r="A976" s="72"/>
    </row>
    <row r="977" spans="1:1">
      <c r="A977" s="72"/>
    </row>
    <row r="978" spans="1:1">
      <c r="A978" s="72"/>
    </row>
    <row r="979" spans="1:1">
      <c r="A979" s="72"/>
    </row>
    <row r="980" spans="1:1">
      <c r="A980" s="72"/>
    </row>
    <row r="981" spans="1:1">
      <c r="A981" s="72"/>
    </row>
    <row r="982" spans="1:1">
      <c r="A982" s="72"/>
    </row>
    <row r="983" spans="1:1">
      <c r="A983" s="72"/>
    </row>
    <row r="984" spans="1:1">
      <c r="A984" s="72"/>
    </row>
    <row r="985" spans="1:1">
      <c r="A985" s="72"/>
    </row>
    <row r="986" spans="1:1">
      <c r="A986" s="72"/>
    </row>
    <row r="987" spans="1:1">
      <c r="A987" s="72"/>
    </row>
    <row r="988" spans="1:1">
      <c r="A988" s="72"/>
    </row>
    <row r="989" spans="1:1">
      <c r="A989" s="72"/>
    </row>
    <row r="990" spans="1:1">
      <c r="A990" s="72"/>
    </row>
    <row r="991" spans="1:1">
      <c r="A991" s="72"/>
    </row>
    <row r="992" spans="1:1">
      <c r="A992" s="72"/>
    </row>
    <row r="993" spans="1:1">
      <c r="A993" s="72"/>
    </row>
    <row r="994" spans="1:1">
      <c r="A994" s="72"/>
    </row>
    <row r="995" spans="1:1">
      <c r="A995" s="72"/>
    </row>
    <row r="996" spans="1:1">
      <c r="A996" s="72"/>
    </row>
    <row r="997" spans="1:1">
      <c r="A997" s="72"/>
    </row>
    <row r="998" spans="1:1">
      <c r="A998" s="72"/>
    </row>
    <row r="999" spans="1:1">
      <c r="A999" s="72"/>
    </row>
    <row r="1000" spans="1:1">
      <c r="A1000" s="72"/>
    </row>
    <row r="1001" spans="1:1">
      <c r="A1001" s="72"/>
    </row>
    <row r="1002" spans="1:1">
      <c r="A1002" s="72"/>
    </row>
    <row r="1003" spans="1:1">
      <c r="A1003" s="72"/>
    </row>
    <row r="1004" spans="1:1">
      <c r="A1004" s="72"/>
    </row>
    <row r="1005" spans="1:1">
      <c r="A1005" s="72"/>
    </row>
    <row r="1006" spans="1:1">
      <c r="A1006" s="72"/>
    </row>
    <row r="1007" spans="1:1">
      <c r="A1007" s="72"/>
    </row>
    <row r="1008" spans="1:1">
      <c r="A1008" s="72"/>
    </row>
    <row r="1009" spans="1:1">
      <c r="A1009" s="72"/>
    </row>
    <row r="1010" spans="1:1">
      <c r="A1010" s="72"/>
    </row>
    <row r="1011" spans="1:1">
      <c r="A1011" s="72"/>
    </row>
    <row r="1012" spans="1:1">
      <c r="A1012" s="72"/>
    </row>
    <row r="1013" spans="1:1">
      <c r="A1013" s="72"/>
    </row>
    <row r="1014" spans="1:1">
      <c r="A1014" s="72"/>
    </row>
    <row r="1015" spans="1:1">
      <c r="A1015" s="72"/>
    </row>
    <row r="1016" spans="1:1">
      <c r="A1016" s="72"/>
    </row>
    <row r="1017" spans="1:1">
      <c r="A1017" s="72"/>
    </row>
    <row r="1018" spans="1:1">
      <c r="A1018" s="72"/>
    </row>
    <row r="1019" spans="1:1">
      <c r="A1019" s="72"/>
    </row>
    <row r="1020" spans="1:1">
      <c r="A1020" s="72"/>
    </row>
    <row r="1021" spans="1:1">
      <c r="A1021" s="72"/>
    </row>
    <row r="1022" spans="1:1">
      <c r="A1022" s="72"/>
    </row>
    <row r="1023" spans="1:1">
      <c r="A1023" s="72"/>
    </row>
    <row r="1024" spans="1:1">
      <c r="A1024" s="72"/>
    </row>
    <row r="1025" spans="1:1">
      <c r="A1025" s="72"/>
    </row>
    <row r="1026" spans="1:1">
      <c r="A1026" s="72"/>
    </row>
    <row r="1027" spans="1:1">
      <c r="A1027" s="72"/>
    </row>
    <row r="1028" spans="1:1">
      <c r="A1028" s="72"/>
    </row>
    <row r="1029" spans="1:1">
      <c r="A1029" s="72"/>
    </row>
    <row r="1030" spans="1:1">
      <c r="A1030" s="72"/>
    </row>
    <row r="1031" spans="1:1">
      <c r="A1031" s="72"/>
    </row>
    <row r="1032" spans="1:1">
      <c r="A1032" s="72"/>
    </row>
    <row r="1033" spans="1:1">
      <c r="A1033" s="72"/>
    </row>
    <row r="1034" spans="1:1">
      <c r="A1034" s="72"/>
    </row>
    <row r="1035" spans="1:1">
      <c r="A1035" s="72"/>
    </row>
    <row r="1036" spans="1:1">
      <c r="A1036" s="72"/>
    </row>
    <row r="1037" spans="1:1">
      <c r="A1037" s="72"/>
    </row>
    <row r="1038" spans="1:1">
      <c r="A1038" s="72"/>
    </row>
    <row r="1039" spans="1:1">
      <c r="A1039" s="72"/>
    </row>
    <row r="1040" spans="1:1">
      <c r="A1040" s="72"/>
    </row>
    <row r="1041" spans="1:1">
      <c r="A1041" s="72"/>
    </row>
    <row r="1042" spans="1:1">
      <c r="A1042" s="72"/>
    </row>
    <row r="1043" spans="1:1">
      <c r="A1043" s="72"/>
    </row>
    <row r="1044" spans="1:1">
      <c r="A1044" s="72"/>
    </row>
    <row r="1045" spans="1:1">
      <c r="A1045" s="72"/>
    </row>
    <row r="1046" spans="1:1">
      <c r="A1046" s="72"/>
    </row>
    <row r="1047" spans="1:1">
      <c r="A1047" s="72"/>
    </row>
    <row r="1048" spans="1:1">
      <c r="A1048" s="72"/>
    </row>
    <row r="1049" spans="1:1">
      <c r="A1049" s="72"/>
    </row>
    <row r="1050" spans="1:1">
      <c r="A1050" s="72"/>
    </row>
    <row r="1051" spans="1:1">
      <c r="A1051" s="72"/>
    </row>
    <row r="1052" spans="1:1">
      <c r="A1052" s="72"/>
    </row>
    <row r="1053" spans="1:1">
      <c r="A1053" s="72"/>
    </row>
    <row r="1054" spans="1:1">
      <c r="A1054" s="72"/>
    </row>
    <row r="1055" spans="1:1">
      <c r="A1055" s="72"/>
    </row>
    <row r="1056" spans="1:1">
      <c r="A1056" s="72"/>
    </row>
    <row r="1057" spans="1:1">
      <c r="A1057" s="72"/>
    </row>
    <row r="1058" spans="1:1">
      <c r="A1058" s="72"/>
    </row>
    <row r="1059" spans="1:1">
      <c r="A1059" s="72"/>
    </row>
    <row r="1060" spans="1:1">
      <c r="A1060" s="72"/>
    </row>
    <row r="1061" spans="1:1">
      <c r="A1061" s="72"/>
    </row>
    <row r="1062" spans="1:1">
      <c r="A1062" s="72"/>
    </row>
    <row r="1063" spans="1:1">
      <c r="A1063" s="72"/>
    </row>
    <row r="1064" spans="1:1">
      <c r="A1064" s="72"/>
    </row>
    <row r="1065" spans="1:1">
      <c r="A1065" s="72"/>
    </row>
    <row r="1066" spans="1:1">
      <c r="A1066" s="72"/>
    </row>
    <row r="1067" spans="1:1">
      <c r="A1067" s="72"/>
    </row>
    <row r="1068" spans="1:1">
      <c r="A1068" s="72"/>
    </row>
    <row r="1069" spans="1:1">
      <c r="A1069" s="72"/>
    </row>
    <row r="1070" spans="1:1">
      <c r="A1070" s="72"/>
    </row>
    <row r="1071" spans="1:1">
      <c r="A1071" s="72"/>
    </row>
    <row r="1072" spans="1:1">
      <c r="A1072" s="72"/>
    </row>
    <row r="1073" spans="1:1">
      <c r="A1073" s="72"/>
    </row>
    <row r="1074" spans="1:1">
      <c r="A1074" s="72"/>
    </row>
    <row r="1075" spans="1:1">
      <c r="A1075" s="72"/>
    </row>
    <row r="1076" spans="1:1">
      <c r="A1076" s="72"/>
    </row>
    <row r="1077" spans="1:1">
      <c r="A1077" s="72"/>
    </row>
    <row r="1078" spans="1:1">
      <c r="A1078" s="72"/>
    </row>
    <row r="1079" spans="1:1">
      <c r="A1079" s="72"/>
    </row>
    <row r="1080" spans="1:1">
      <c r="A1080" s="72"/>
    </row>
    <row r="1081" spans="1:1">
      <c r="A1081" s="72"/>
    </row>
    <row r="1082" spans="1:1">
      <c r="A1082" s="72"/>
    </row>
    <row r="1083" spans="1:1">
      <c r="A1083" s="72"/>
    </row>
    <row r="1084" spans="1:1">
      <c r="A1084" s="72"/>
    </row>
    <row r="1085" spans="1:1">
      <c r="A1085" s="72"/>
    </row>
    <row r="1086" spans="1:1">
      <c r="A1086" s="72"/>
    </row>
    <row r="1087" spans="1:1">
      <c r="A1087" s="72"/>
    </row>
    <row r="1088" spans="1:1">
      <c r="A1088" s="72"/>
    </row>
    <row r="1089" spans="1:1">
      <c r="A1089" s="72"/>
    </row>
    <row r="1090" spans="1:1">
      <c r="A1090" s="72"/>
    </row>
    <row r="1091" spans="1:1">
      <c r="A1091" s="72"/>
    </row>
    <row r="1092" spans="1:1">
      <c r="A1092" s="72"/>
    </row>
    <row r="1093" spans="1:1">
      <c r="A1093" s="72"/>
    </row>
    <row r="1094" spans="1:1">
      <c r="A1094" s="72"/>
    </row>
    <row r="1095" spans="1:1">
      <c r="A1095" s="72"/>
    </row>
    <row r="1096" spans="1:1">
      <c r="A1096" s="72"/>
    </row>
    <row r="1097" spans="1:1">
      <c r="A1097" s="72"/>
    </row>
    <row r="1098" spans="1:1">
      <c r="A1098" s="72"/>
    </row>
    <row r="1099" spans="1:1">
      <c r="A1099" s="72"/>
    </row>
    <row r="1100" spans="1:1">
      <c r="A1100" s="72"/>
    </row>
    <row r="1101" spans="1:1">
      <c r="A1101" s="72"/>
    </row>
    <row r="1102" spans="1:1">
      <c r="A1102" s="72"/>
    </row>
    <row r="1103" spans="1:1">
      <c r="A1103" s="72"/>
    </row>
    <row r="1104" spans="1:1">
      <c r="A1104" s="72"/>
    </row>
    <row r="1105" spans="1:1">
      <c r="A1105" s="72"/>
    </row>
    <row r="1106" spans="1:1">
      <c r="A1106" s="72"/>
    </row>
    <row r="1107" spans="1:1">
      <c r="A1107" s="72"/>
    </row>
    <row r="1108" spans="1:1">
      <c r="A1108" s="72"/>
    </row>
    <row r="1109" spans="1:1">
      <c r="A1109" s="72"/>
    </row>
    <row r="1110" spans="1:1">
      <c r="A1110" s="72"/>
    </row>
  </sheetData>
  <autoFilter ref="A1:I589"/>
  <mergeCells count="2">
    <mergeCell ref="A597:B597"/>
    <mergeCell ref="A605:B605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589"/>
  <sheetViews>
    <sheetView tabSelected="1" topLeftCell="A32" zoomScale="85" zoomScaleNormal="85" workbookViewId="0">
      <selection activeCell="C36" sqref="C36"/>
    </sheetView>
  </sheetViews>
  <sheetFormatPr defaultColWidth="8.7109375" defaultRowHeight="15"/>
  <cols>
    <col min="1" max="1" width="17.42578125" style="1" bestFit="1" customWidth="1"/>
    <col min="2" max="2" width="14.85546875" style="1" customWidth="1"/>
    <col min="3" max="3" width="49.85546875" style="1" customWidth="1"/>
    <col min="4" max="4" width="45.85546875" style="1" hidden="1" customWidth="1"/>
    <col min="5" max="5" width="47.28515625" style="32" customWidth="1"/>
    <col min="6" max="6" width="16.140625" style="1" customWidth="1"/>
    <col min="7" max="7" width="36.42578125" style="1" customWidth="1"/>
    <col min="8" max="8" width="23.85546875" style="3" customWidth="1"/>
    <col min="9" max="9" width="21.5703125" style="27" customWidth="1"/>
    <col min="10" max="10" width="13.42578125" style="28" customWidth="1"/>
    <col min="11" max="11" width="25.5703125" style="29" customWidth="1"/>
    <col min="12" max="12" width="14.85546875" style="26" customWidth="1"/>
    <col min="13" max="13" width="16.140625" style="4" customWidth="1"/>
    <col min="14" max="15" width="17.5703125" style="34" customWidth="1"/>
    <col min="16" max="16" width="18.85546875" style="34" hidden="1" customWidth="1"/>
    <col min="17" max="17" width="25.5703125" style="34" hidden="1" customWidth="1"/>
    <col min="18" max="18" width="18.85546875" style="34" hidden="1" customWidth="1"/>
    <col min="19" max="19" width="10.85546875" style="34" hidden="1" customWidth="1"/>
    <col min="20" max="20" width="14.85546875" style="34" hidden="1" customWidth="1"/>
    <col min="21" max="21" width="20.28515625" style="34" customWidth="1"/>
    <col min="22" max="22" width="16.140625" style="34" customWidth="1"/>
    <col min="23" max="24" width="17.5703125" style="34" customWidth="1"/>
    <col min="25" max="26" width="12.140625" style="34" customWidth="1"/>
    <col min="27" max="27" width="13.42578125" style="34" customWidth="1"/>
    <col min="28" max="28" width="16.140625" style="34" customWidth="1"/>
    <col min="29" max="29" width="22.85546875" style="34" hidden="1" customWidth="1"/>
    <col min="30" max="30" width="18.85546875" style="34" hidden="1" customWidth="1"/>
    <col min="31" max="31" width="16.140625" style="34" customWidth="1"/>
    <col min="32" max="32" width="16.140625" style="34" hidden="1" customWidth="1"/>
    <col min="33" max="33" width="8.140625" style="34" hidden="1" customWidth="1"/>
    <col min="34" max="34" width="22.140625" style="34" bestFit="1" customWidth="1"/>
    <col min="35" max="35" width="21.5703125" style="34" bestFit="1" customWidth="1"/>
    <col min="36" max="36" width="8.140625" style="34" hidden="1" customWidth="1"/>
    <col min="37" max="37" width="21.5703125" style="34" hidden="1" customWidth="1"/>
    <col min="38" max="38" width="20.28515625" style="34" hidden="1" customWidth="1"/>
    <col min="39" max="39" width="17.5703125" style="34" hidden="1" customWidth="1"/>
    <col min="40" max="40" width="6" style="34" customWidth="1"/>
    <col min="41" max="41" width="20.28515625" style="34" customWidth="1"/>
    <col min="42" max="42" width="17.5703125" style="34" customWidth="1"/>
    <col min="43" max="43" width="20.28515625" style="1" hidden="1" customWidth="1"/>
    <col min="44" max="44" width="12.140625" style="1" hidden="1" customWidth="1"/>
    <col min="45" max="45" width="28.42578125" style="1" hidden="1" customWidth="1"/>
    <col min="46" max="46" width="37.85546875" style="1" hidden="1" customWidth="1"/>
    <col min="47" max="47" width="10.85546875" style="1" hidden="1" customWidth="1"/>
    <col min="48" max="48" width="16.140625" style="1" hidden="1" customWidth="1"/>
    <col min="49" max="50" width="29.7109375" style="1" hidden="1" customWidth="1"/>
    <col min="51" max="51" width="21.5703125" style="1" hidden="1" customWidth="1"/>
    <col min="52" max="52" width="10.85546875" style="1" hidden="1" customWidth="1"/>
    <col min="53" max="53" width="27" style="1" hidden="1" customWidth="1"/>
    <col min="54" max="16384" width="8.7109375" style="1"/>
  </cols>
  <sheetData>
    <row r="1" spans="1:57" s="10" customFormat="1" ht="15.75">
      <c r="A1" s="6" t="s">
        <v>50</v>
      </c>
      <c r="B1" s="7"/>
      <c r="C1" s="7"/>
      <c r="D1" s="8"/>
      <c r="E1" s="30"/>
      <c r="F1" s="8"/>
      <c r="G1" s="8"/>
      <c r="H1" s="9"/>
      <c r="I1" s="22"/>
      <c r="J1" s="22"/>
      <c r="K1" s="21"/>
      <c r="L1" s="22"/>
      <c r="M1" s="22"/>
      <c r="N1" s="21"/>
      <c r="O1" s="22"/>
      <c r="P1" s="22"/>
      <c r="Q1" s="21"/>
      <c r="R1" s="22"/>
      <c r="S1" s="22"/>
      <c r="T1" s="21"/>
      <c r="U1" s="22"/>
      <c r="V1" s="22"/>
      <c r="W1" s="21"/>
      <c r="X1" s="22"/>
      <c r="Y1" s="22"/>
      <c r="Z1" s="22"/>
      <c r="AA1" s="21"/>
      <c r="AB1" s="23"/>
      <c r="AC1" s="24"/>
      <c r="AD1" s="22"/>
      <c r="AE1" s="22"/>
      <c r="AF1" s="21"/>
      <c r="AG1" s="22"/>
      <c r="AH1" s="22"/>
      <c r="AI1" s="21"/>
      <c r="AJ1" s="22"/>
      <c r="AK1" s="22"/>
      <c r="AL1" s="21"/>
      <c r="AM1" s="22"/>
      <c r="AN1" s="22"/>
      <c r="AO1" s="21"/>
      <c r="AP1" s="22"/>
      <c r="AQ1" s="8"/>
      <c r="AR1" s="9"/>
      <c r="AS1" s="8"/>
      <c r="AT1" s="8"/>
      <c r="AU1" s="9"/>
      <c r="AV1" s="8"/>
      <c r="AW1" s="8"/>
      <c r="AX1" s="8"/>
      <c r="AY1" s="8"/>
      <c r="AZ1" s="8"/>
      <c r="BA1" s="8"/>
      <c r="BB1" s="8"/>
      <c r="BC1" s="8"/>
      <c r="BD1" s="9"/>
      <c r="BE1" s="9"/>
    </row>
    <row r="2" spans="1:57" s="10" customFormat="1" ht="16.5" customHeight="1">
      <c r="A2" s="6" t="s">
        <v>52</v>
      </c>
      <c r="B2" s="7"/>
      <c r="C2" s="7"/>
      <c r="D2" s="8"/>
      <c r="E2" s="30"/>
      <c r="F2" s="8"/>
      <c r="G2" s="8"/>
      <c r="H2" s="9"/>
      <c r="I2" s="22"/>
      <c r="J2" s="22"/>
      <c r="K2" s="21"/>
      <c r="L2" s="22"/>
      <c r="M2" s="22"/>
      <c r="N2" s="21"/>
      <c r="O2" s="22"/>
      <c r="P2" s="22"/>
      <c r="Q2" s="21"/>
      <c r="R2" s="22"/>
      <c r="S2" s="22"/>
      <c r="T2" s="21"/>
      <c r="U2" s="22"/>
      <c r="V2" s="22"/>
      <c r="W2" s="21"/>
      <c r="X2" s="22"/>
      <c r="Y2" s="22"/>
      <c r="Z2" s="22"/>
      <c r="AA2" s="21"/>
      <c r="AB2" s="23"/>
      <c r="AC2" s="24"/>
      <c r="AD2" s="22"/>
      <c r="AE2" s="22"/>
      <c r="AF2" s="21"/>
      <c r="AG2" s="22"/>
      <c r="AH2" s="22"/>
      <c r="AI2" s="21"/>
      <c r="AJ2" s="22"/>
      <c r="AK2" s="22"/>
      <c r="AL2" s="21"/>
      <c r="AM2" s="22"/>
      <c r="AN2" s="22"/>
      <c r="AO2" s="21"/>
      <c r="AP2" s="22"/>
      <c r="AQ2" s="8"/>
      <c r="AR2" s="9"/>
      <c r="AS2" s="8"/>
      <c r="AT2" s="8"/>
      <c r="AU2" s="9"/>
      <c r="AV2" s="8"/>
      <c r="AW2" s="8"/>
      <c r="AX2" s="8"/>
      <c r="AY2" s="8"/>
      <c r="AZ2" s="8"/>
      <c r="BA2" s="8"/>
      <c r="BB2" s="8"/>
      <c r="BC2" s="8"/>
      <c r="BD2" s="9"/>
      <c r="BE2" s="9"/>
    </row>
    <row r="3" spans="1:57" s="10" customFormat="1" ht="15.75">
      <c r="A3" s="6" t="s">
        <v>184</v>
      </c>
      <c r="B3" s="7"/>
      <c r="C3" s="7"/>
      <c r="D3" s="8"/>
      <c r="E3" s="30"/>
      <c r="F3" s="8"/>
      <c r="G3" s="8"/>
      <c r="H3" s="9"/>
      <c r="I3" s="22"/>
      <c r="J3" s="22"/>
      <c r="K3" s="21"/>
      <c r="L3" s="22"/>
      <c r="M3" s="22"/>
      <c r="N3" s="21"/>
      <c r="O3" s="22"/>
      <c r="P3" s="22"/>
      <c r="Q3" s="21"/>
      <c r="R3" s="22"/>
      <c r="S3" s="22"/>
      <c r="T3" s="21"/>
      <c r="U3" s="22"/>
      <c r="V3" s="22"/>
      <c r="W3" s="21"/>
      <c r="X3" s="22"/>
      <c r="Y3" s="22"/>
      <c r="Z3" s="22"/>
      <c r="AA3" s="21"/>
      <c r="AB3" s="23"/>
      <c r="AC3" s="24"/>
      <c r="AD3" s="22"/>
      <c r="AE3" s="22"/>
      <c r="AF3" s="21"/>
      <c r="AG3" s="22"/>
      <c r="AH3" s="22"/>
      <c r="AI3" s="21"/>
      <c r="AJ3" s="22"/>
      <c r="AK3" s="22"/>
      <c r="AL3" s="21"/>
      <c r="AM3" s="22"/>
      <c r="AN3" s="22"/>
      <c r="AO3" s="21"/>
      <c r="AP3" s="22"/>
      <c r="AQ3" s="8"/>
      <c r="AR3" s="9"/>
      <c r="AS3" s="8"/>
      <c r="AT3" s="8"/>
      <c r="AU3" s="9"/>
      <c r="AV3" s="8"/>
      <c r="AW3" s="8"/>
      <c r="AX3" s="8"/>
      <c r="AY3" s="8"/>
      <c r="AZ3" s="8"/>
      <c r="BA3" s="8"/>
      <c r="BB3" s="8"/>
      <c r="BC3" s="8"/>
      <c r="BD3" s="9"/>
      <c r="BE3" s="9"/>
    </row>
    <row r="4" spans="1:57">
      <c r="A4" s="110"/>
      <c r="B4" s="110"/>
      <c r="C4" s="110"/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0"/>
      <c r="AF4" s="110"/>
      <c r="AG4" s="110"/>
      <c r="AH4" s="110"/>
      <c r="AI4" s="110"/>
      <c r="AJ4" s="110"/>
      <c r="AK4" s="110"/>
      <c r="AL4" s="110"/>
      <c r="AM4" s="110"/>
      <c r="AN4" s="110"/>
      <c r="AO4" s="110"/>
      <c r="AP4" s="110"/>
      <c r="AQ4" s="110"/>
      <c r="AR4" s="110"/>
      <c r="AS4" s="110"/>
      <c r="AT4" s="110"/>
      <c r="AU4" s="110"/>
      <c r="AV4" s="110"/>
      <c r="AW4" s="110"/>
      <c r="AX4" s="110"/>
      <c r="AY4" s="110"/>
      <c r="AZ4" s="110"/>
      <c r="BA4" s="110"/>
    </row>
    <row r="5" spans="1:57" s="11" customFormat="1">
      <c r="A5" s="12" t="s">
        <v>25</v>
      </c>
      <c r="B5" s="12" t="s">
        <v>26</v>
      </c>
      <c r="C5" s="12" t="s">
        <v>27</v>
      </c>
      <c r="D5" s="12" t="s">
        <v>28</v>
      </c>
      <c r="E5" s="31" t="s">
        <v>29</v>
      </c>
      <c r="F5" s="12" t="s">
        <v>30</v>
      </c>
      <c r="G5" s="12" t="s">
        <v>31</v>
      </c>
      <c r="H5" s="12" t="s">
        <v>49</v>
      </c>
      <c r="I5" s="25" t="s">
        <v>47</v>
      </c>
      <c r="J5" s="25" t="s">
        <v>55</v>
      </c>
      <c r="K5" s="25" t="s">
        <v>32</v>
      </c>
      <c r="L5" s="25" t="s">
        <v>37</v>
      </c>
      <c r="M5" s="13" t="s">
        <v>48</v>
      </c>
      <c r="N5" s="25" t="s">
        <v>38</v>
      </c>
      <c r="O5" s="35" t="s">
        <v>39</v>
      </c>
      <c r="P5" s="25" t="s">
        <v>0</v>
      </c>
      <c r="Q5" s="25" t="s">
        <v>1</v>
      </c>
      <c r="R5" s="25" t="s">
        <v>2</v>
      </c>
      <c r="S5" s="25" t="s">
        <v>3</v>
      </c>
      <c r="T5" s="25" t="s">
        <v>4</v>
      </c>
      <c r="U5" s="25" t="s">
        <v>33</v>
      </c>
      <c r="V5" s="35" t="s">
        <v>34</v>
      </c>
      <c r="W5" s="25" t="s">
        <v>40</v>
      </c>
      <c r="X5" s="35" t="s">
        <v>41</v>
      </c>
      <c r="Y5" s="35" t="s">
        <v>42</v>
      </c>
      <c r="Z5" s="41" t="s">
        <v>62</v>
      </c>
      <c r="AA5" s="35" t="s">
        <v>51</v>
      </c>
      <c r="AB5" s="35" t="s">
        <v>43</v>
      </c>
      <c r="AC5" s="35" t="s">
        <v>5</v>
      </c>
      <c r="AD5" s="35" t="s">
        <v>6</v>
      </c>
      <c r="AE5" s="35" t="s">
        <v>44</v>
      </c>
      <c r="AF5" s="25" t="s">
        <v>7</v>
      </c>
      <c r="AG5" s="25" t="s">
        <v>8</v>
      </c>
      <c r="AH5" s="25" t="s">
        <v>35</v>
      </c>
      <c r="AI5" s="25" t="s">
        <v>36</v>
      </c>
      <c r="AJ5" s="25" t="s">
        <v>9</v>
      </c>
      <c r="AK5" s="25" t="s">
        <v>10</v>
      </c>
      <c r="AL5" s="25" t="s">
        <v>11</v>
      </c>
      <c r="AM5" s="25" t="s">
        <v>12</v>
      </c>
      <c r="AN5" s="25" t="s">
        <v>13</v>
      </c>
      <c r="AO5" s="25" t="s">
        <v>46</v>
      </c>
      <c r="AP5" s="25" t="s">
        <v>45</v>
      </c>
      <c r="AQ5" s="5" t="s">
        <v>14</v>
      </c>
      <c r="AR5" s="5" t="s">
        <v>15</v>
      </c>
      <c r="AS5" s="5" t="s">
        <v>16</v>
      </c>
      <c r="AT5" s="5" t="s">
        <v>17</v>
      </c>
      <c r="AU5" s="5" t="s">
        <v>18</v>
      </c>
      <c r="AV5" s="5" t="s">
        <v>19</v>
      </c>
      <c r="AW5" s="5" t="s">
        <v>20</v>
      </c>
      <c r="AX5" s="5" t="s">
        <v>21</v>
      </c>
      <c r="AY5" s="5" t="s">
        <v>22</v>
      </c>
      <c r="AZ5" s="5" t="s">
        <v>23</v>
      </c>
      <c r="BA5" s="5" t="s">
        <v>24</v>
      </c>
    </row>
    <row r="6" spans="1:57" ht="102">
      <c r="A6" s="14"/>
      <c r="B6" s="15"/>
      <c r="C6" s="14" t="s">
        <v>1573</v>
      </c>
      <c r="D6" s="14" t="s">
        <v>61</v>
      </c>
      <c r="E6" s="111" t="str">
        <f>VLOOKUP(C6,KELAS!$A$2:$D$643,4,0)</f>
        <v>2 MARWAH</v>
      </c>
      <c r="F6" s="14"/>
      <c r="G6" s="14"/>
      <c r="H6" s="16" t="s">
        <v>186</v>
      </c>
      <c r="I6" s="36">
        <v>1540000</v>
      </c>
      <c r="J6" s="87">
        <v>45962</v>
      </c>
      <c r="K6" s="88">
        <v>0.23614583333333333</v>
      </c>
      <c r="L6" s="38">
        <f t="shared" ref="L6:L37" si="0">SUM(N6:AP6)</f>
        <v>0</v>
      </c>
      <c r="M6" s="17">
        <f>L6-I6</f>
        <v>-1540000</v>
      </c>
      <c r="N6" s="33">
        <v>0</v>
      </c>
      <c r="O6" s="60">
        <v>0</v>
      </c>
      <c r="P6" s="33">
        <v>0</v>
      </c>
      <c r="Q6" s="33">
        <v>0</v>
      </c>
      <c r="R6" s="33">
        <v>0</v>
      </c>
      <c r="S6" s="33">
        <v>0</v>
      </c>
      <c r="T6" s="33">
        <v>0</v>
      </c>
      <c r="U6" s="33">
        <v>0</v>
      </c>
      <c r="V6" s="60">
        <v>0</v>
      </c>
      <c r="W6" s="33">
        <v>0</v>
      </c>
      <c r="X6" s="60">
        <v>0</v>
      </c>
      <c r="Y6" s="60">
        <v>0</v>
      </c>
      <c r="Z6" s="33"/>
      <c r="AA6" s="60">
        <v>0</v>
      </c>
      <c r="AB6" s="60">
        <v>0</v>
      </c>
      <c r="AC6" s="60">
        <v>0</v>
      </c>
      <c r="AD6" s="60">
        <v>0</v>
      </c>
      <c r="AE6" s="60">
        <v>0</v>
      </c>
      <c r="AF6" s="33">
        <v>0</v>
      </c>
      <c r="AG6" s="33">
        <v>0</v>
      </c>
      <c r="AH6" s="33">
        <v>0</v>
      </c>
      <c r="AI6" s="33">
        <v>0</v>
      </c>
      <c r="AJ6" s="33">
        <v>0</v>
      </c>
      <c r="AK6" s="33">
        <v>0</v>
      </c>
      <c r="AL6" s="33">
        <v>0</v>
      </c>
      <c r="AM6" s="33">
        <v>0</v>
      </c>
      <c r="AN6" s="33">
        <v>0</v>
      </c>
      <c r="AO6" s="33">
        <v>0</v>
      </c>
      <c r="AP6" s="33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</row>
    <row r="7" spans="1:57" ht="76.5">
      <c r="A7" s="14"/>
      <c r="B7" s="15"/>
      <c r="C7" s="14" t="s">
        <v>1877</v>
      </c>
      <c r="D7" s="14" t="s">
        <v>61</v>
      </c>
      <c r="E7" s="111" t="str">
        <f>VLOOKUP(C7,KELAS!$A$2:$D$643,4,0)</f>
        <v>4 MEKKAH</v>
      </c>
      <c r="F7" s="14"/>
      <c r="G7" s="14"/>
      <c r="H7" s="16" t="s">
        <v>70</v>
      </c>
      <c r="I7" s="36">
        <v>1400000</v>
      </c>
      <c r="J7" s="87">
        <v>45962</v>
      </c>
      <c r="K7" s="88">
        <v>0.24511574074074075</v>
      </c>
      <c r="L7" s="38">
        <f t="shared" si="0"/>
        <v>0</v>
      </c>
      <c r="M7" s="17">
        <f t="shared" ref="M7:M70" si="1">L7-I7</f>
        <v>-1400000</v>
      </c>
      <c r="N7" s="33">
        <v>0</v>
      </c>
      <c r="O7" s="60">
        <v>0</v>
      </c>
      <c r="P7" s="33">
        <v>0</v>
      </c>
      <c r="Q7" s="33">
        <v>0</v>
      </c>
      <c r="R7" s="33">
        <v>0</v>
      </c>
      <c r="S7" s="33">
        <v>0</v>
      </c>
      <c r="T7" s="33">
        <v>0</v>
      </c>
      <c r="U7" s="33">
        <v>0</v>
      </c>
      <c r="V7" s="60">
        <v>0</v>
      </c>
      <c r="W7" s="33">
        <v>0</v>
      </c>
      <c r="X7" s="60">
        <v>0</v>
      </c>
      <c r="Y7" s="60">
        <v>0</v>
      </c>
      <c r="Z7" s="33"/>
      <c r="AA7" s="60">
        <v>0</v>
      </c>
      <c r="AB7" s="60">
        <v>0</v>
      </c>
      <c r="AC7" s="60">
        <v>0</v>
      </c>
      <c r="AD7" s="60">
        <v>0</v>
      </c>
      <c r="AE7" s="60">
        <v>0</v>
      </c>
      <c r="AF7" s="33">
        <v>0</v>
      </c>
      <c r="AG7" s="33">
        <v>0</v>
      </c>
      <c r="AH7" s="33">
        <v>0</v>
      </c>
      <c r="AI7" s="33">
        <v>0</v>
      </c>
      <c r="AJ7" s="33">
        <v>0</v>
      </c>
      <c r="AK7" s="33">
        <v>0</v>
      </c>
      <c r="AL7" s="33">
        <v>0</v>
      </c>
      <c r="AM7" s="33">
        <v>0</v>
      </c>
      <c r="AN7" s="33">
        <v>0</v>
      </c>
      <c r="AO7" s="33">
        <v>0</v>
      </c>
      <c r="AP7" s="33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</row>
    <row r="8" spans="1:57" ht="102">
      <c r="A8" s="14"/>
      <c r="B8" s="15"/>
      <c r="C8" s="14" t="s">
        <v>2312</v>
      </c>
      <c r="D8" s="14" t="s">
        <v>61</v>
      </c>
      <c r="E8" s="111" t="str">
        <f>VLOOKUP(C8,KELAS!$A$2:$D$643,4,0)</f>
        <v>6 MINA</v>
      </c>
      <c r="F8" s="14"/>
      <c r="G8" s="14"/>
      <c r="H8" s="16" t="s">
        <v>189</v>
      </c>
      <c r="I8" s="36">
        <v>1400000</v>
      </c>
      <c r="J8" s="87">
        <v>45962</v>
      </c>
      <c r="K8" s="88">
        <v>0.24648148148148147</v>
      </c>
      <c r="L8" s="38">
        <f t="shared" si="0"/>
        <v>0</v>
      </c>
      <c r="M8" s="17">
        <f t="shared" si="1"/>
        <v>-1400000</v>
      </c>
      <c r="N8" s="33">
        <v>0</v>
      </c>
      <c r="O8" s="60">
        <v>0</v>
      </c>
      <c r="P8" s="33">
        <v>0</v>
      </c>
      <c r="Q8" s="33">
        <v>0</v>
      </c>
      <c r="R8" s="33">
        <v>0</v>
      </c>
      <c r="S8" s="33">
        <v>0</v>
      </c>
      <c r="T8" s="33">
        <v>0</v>
      </c>
      <c r="U8" s="33">
        <v>0</v>
      </c>
      <c r="V8" s="60">
        <v>0</v>
      </c>
      <c r="W8" s="33">
        <v>0</v>
      </c>
      <c r="X8" s="60">
        <v>0</v>
      </c>
      <c r="Y8" s="60">
        <v>0</v>
      </c>
      <c r="Z8" s="33"/>
      <c r="AA8" s="60">
        <v>0</v>
      </c>
      <c r="AB8" s="60">
        <v>0</v>
      </c>
      <c r="AC8" s="60">
        <v>0</v>
      </c>
      <c r="AD8" s="60">
        <v>0</v>
      </c>
      <c r="AE8" s="60">
        <v>0</v>
      </c>
      <c r="AF8" s="33">
        <v>0</v>
      </c>
      <c r="AG8" s="33">
        <v>0</v>
      </c>
      <c r="AH8" s="33">
        <v>0</v>
      </c>
      <c r="AI8" s="33">
        <v>0</v>
      </c>
      <c r="AJ8" s="33">
        <v>0</v>
      </c>
      <c r="AK8" s="33">
        <v>0</v>
      </c>
      <c r="AL8" s="33">
        <v>0</v>
      </c>
      <c r="AM8" s="33">
        <v>0</v>
      </c>
      <c r="AN8" s="33">
        <v>0</v>
      </c>
      <c r="AO8" s="33">
        <v>0</v>
      </c>
      <c r="AP8" s="33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</row>
    <row r="9" spans="1:57" ht="89.25">
      <c r="A9" s="14"/>
      <c r="B9" s="15"/>
      <c r="C9" s="14" t="s">
        <v>2188</v>
      </c>
      <c r="D9" s="14" t="s">
        <v>61</v>
      </c>
      <c r="E9" s="111" t="str">
        <f>VLOOKUP(C9,KELAS!$A$2:$D$643,4,0)</f>
        <v>6 MEKKAH</v>
      </c>
      <c r="F9" s="14"/>
      <c r="G9" s="14"/>
      <c r="H9" s="16" t="s">
        <v>140</v>
      </c>
      <c r="I9" s="36">
        <v>1400000</v>
      </c>
      <c r="J9" s="87">
        <v>45962</v>
      </c>
      <c r="K9" s="88">
        <v>0.25466435185185188</v>
      </c>
      <c r="L9" s="38">
        <f t="shared" si="0"/>
        <v>0</v>
      </c>
      <c r="M9" s="17">
        <f t="shared" si="1"/>
        <v>-1400000</v>
      </c>
      <c r="N9" s="33">
        <v>0</v>
      </c>
      <c r="O9" s="60">
        <v>0</v>
      </c>
      <c r="P9" s="33">
        <v>0</v>
      </c>
      <c r="Q9" s="33">
        <v>0</v>
      </c>
      <c r="R9" s="33">
        <v>0</v>
      </c>
      <c r="S9" s="33">
        <v>0</v>
      </c>
      <c r="T9" s="33">
        <v>0</v>
      </c>
      <c r="U9" s="33">
        <v>0</v>
      </c>
      <c r="V9" s="60">
        <v>0</v>
      </c>
      <c r="W9" s="33">
        <v>0</v>
      </c>
      <c r="X9" s="60">
        <v>0</v>
      </c>
      <c r="Y9" s="60">
        <v>0</v>
      </c>
      <c r="Z9" s="33"/>
      <c r="AA9" s="60">
        <v>0</v>
      </c>
      <c r="AB9" s="60">
        <v>0</v>
      </c>
      <c r="AC9" s="60">
        <v>0</v>
      </c>
      <c r="AD9" s="60">
        <v>0</v>
      </c>
      <c r="AE9" s="60">
        <v>0</v>
      </c>
      <c r="AF9" s="33">
        <v>0</v>
      </c>
      <c r="AG9" s="33">
        <v>0</v>
      </c>
      <c r="AH9" s="33">
        <v>0</v>
      </c>
      <c r="AI9" s="33">
        <v>0</v>
      </c>
      <c r="AJ9" s="33">
        <v>0</v>
      </c>
      <c r="AK9" s="33">
        <v>0</v>
      </c>
      <c r="AL9" s="33">
        <v>0</v>
      </c>
      <c r="AM9" s="33">
        <v>0</v>
      </c>
      <c r="AN9" s="33">
        <v>0</v>
      </c>
      <c r="AO9" s="33">
        <v>0</v>
      </c>
      <c r="AP9" s="33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</row>
    <row r="10" spans="1:57" ht="76.5">
      <c r="A10" s="14"/>
      <c r="B10" s="15"/>
      <c r="C10" s="14" t="s">
        <v>1671</v>
      </c>
      <c r="D10" s="14" t="s">
        <v>61</v>
      </c>
      <c r="E10" s="111" t="str">
        <f>VLOOKUP(C10,KELAS!$A$2:$D$643,4,0)</f>
        <v>3 MADINAH</v>
      </c>
      <c r="F10" s="14"/>
      <c r="G10" s="14"/>
      <c r="H10" s="16" t="s">
        <v>141</v>
      </c>
      <c r="I10" s="36">
        <v>1450000</v>
      </c>
      <c r="J10" s="87">
        <v>45962</v>
      </c>
      <c r="K10" s="88">
        <v>0.25552083333333331</v>
      </c>
      <c r="L10" s="38">
        <f t="shared" si="0"/>
        <v>0</v>
      </c>
      <c r="M10" s="17">
        <f t="shared" si="1"/>
        <v>-1450000</v>
      </c>
      <c r="N10" s="33">
        <v>0</v>
      </c>
      <c r="O10" s="60">
        <v>0</v>
      </c>
      <c r="P10" s="33">
        <v>0</v>
      </c>
      <c r="Q10" s="33">
        <v>0</v>
      </c>
      <c r="R10" s="33">
        <v>0</v>
      </c>
      <c r="S10" s="33">
        <v>0</v>
      </c>
      <c r="T10" s="33">
        <v>0</v>
      </c>
      <c r="U10" s="33">
        <v>0</v>
      </c>
      <c r="V10" s="60">
        <v>0</v>
      </c>
      <c r="W10" s="33">
        <v>0</v>
      </c>
      <c r="X10" s="60">
        <v>0</v>
      </c>
      <c r="Y10" s="60">
        <v>0</v>
      </c>
      <c r="Z10" s="33"/>
      <c r="AA10" s="60">
        <v>0</v>
      </c>
      <c r="AB10" s="60">
        <v>0</v>
      </c>
      <c r="AC10" s="60">
        <v>0</v>
      </c>
      <c r="AD10" s="60">
        <v>0</v>
      </c>
      <c r="AE10" s="60">
        <v>0</v>
      </c>
      <c r="AF10" s="33">
        <v>0</v>
      </c>
      <c r="AG10" s="33">
        <v>0</v>
      </c>
      <c r="AH10" s="33">
        <v>0</v>
      </c>
      <c r="AI10" s="33">
        <v>0</v>
      </c>
      <c r="AJ10" s="33">
        <v>0</v>
      </c>
      <c r="AK10" s="33">
        <v>0</v>
      </c>
      <c r="AL10" s="33">
        <v>0</v>
      </c>
      <c r="AM10" s="33">
        <v>0</v>
      </c>
      <c r="AN10" s="33">
        <v>0</v>
      </c>
      <c r="AO10" s="33">
        <v>0</v>
      </c>
      <c r="AP10" s="33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</row>
    <row r="11" spans="1:57" ht="63.75">
      <c r="A11" s="14"/>
      <c r="B11" s="15"/>
      <c r="C11" s="14" t="s">
        <v>1582</v>
      </c>
      <c r="D11" s="14" t="s">
        <v>61</v>
      </c>
      <c r="E11" s="111" t="str">
        <f>VLOOKUP(C11,KELAS!$A$2:$D$643,4,0)</f>
        <v>2 MARWAH</v>
      </c>
      <c r="F11" s="14"/>
      <c r="G11" s="14"/>
      <c r="H11" s="16" t="s">
        <v>193</v>
      </c>
      <c r="I11" s="36">
        <v>1540000</v>
      </c>
      <c r="J11" s="87">
        <v>45962</v>
      </c>
      <c r="K11" s="88">
        <v>0.30782407407407408</v>
      </c>
      <c r="L11" s="38">
        <f t="shared" si="0"/>
        <v>0</v>
      </c>
      <c r="M11" s="17">
        <f t="shared" si="1"/>
        <v>-1540000</v>
      </c>
      <c r="N11" s="33">
        <v>0</v>
      </c>
      <c r="O11" s="60">
        <v>0</v>
      </c>
      <c r="P11" s="33">
        <v>0</v>
      </c>
      <c r="Q11" s="33">
        <v>0</v>
      </c>
      <c r="R11" s="33">
        <v>0</v>
      </c>
      <c r="S11" s="33">
        <v>0</v>
      </c>
      <c r="T11" s="33">
        <v>0</v>
      </c>
      <c r="U11" s="33">
        <v>0</v>
      </c>
      <c r="V11" s="60">
        <v>0</v>
      </c>
      <c r="W11" s="33">
        <v>0</v>
      </c>
      <c r="X11" s="60">
        <v>0</v>
      </c>
      <c r="Y11" s="60">
        <v>0</v>
      </c>
      <c r="Z11" s="33"/>
      <c r="AA11" s="60">
        <v>0</v>
      </c>
      <c r="AB11" s="60">
        <v>0</v>
      </c>
      <c r="AC11" s="60">
        <v>0</v>
      </c>
      <c r="AD11" s="60">
        <v>0</v>
      </c>
      <c r="AE11" s="60">
        <v>0</v>
      </c>
      <c r="AF11" s="33">
        <v>0</v>
      </c>
      <c r="AG11" s="33">
        <v>0</v>
      </c>
      <c r="AH11" s="33">
        <v>0</v>
      </c>
      <c r="AI11" s="33">
        <v>0</v>
      </c>
      <c r="AJ11" s="33">
        <v>0</v>
      </c>
      <c r="AK11" s="33">
        <v>0</v>
      </c>
      <c r="AL11" s="33">
        <v>0</v>
      </c>
      <c r="AM11" s="33">
        <v>0</v>
      </c>
      <c r="AN11" s="33">
        <v>0</v>
      </c>
      <c r="AO11" s="33">
        <v>0</v>
      </c>
      <c r="AP11" s="33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</row>
    <row r="12" spans="1:57" ht="102">
      <c r="A12" s="14"/>
      <c r="B12" s="15"/>
      <c r="C12" s="14" t="s">
        <v>1370</v>
      </c>
      <c r="D12" s="14" t="s">
        <v>61</v>
      </c>
      <c r="E12" s="111" t="str">
        <f>VLOOKUP(C12,KELAS!$A$2:$D$643,4,0)</f>
        <v>2 MEKKAH</v>
      </c>
      <c r="F12" s="14"/>
      <c r="G12" s="14"/>
      <c r="H12" s="16" t="s">
        <v>114</v>
      </c>
      <c r="I12" s="36">
        <v>770000</v>
      </c>
      <c r="J12" s="87">
        <v>45962</v>
      </c>
      <c r="K12" s="88">
        <v>0.30831018518518516</v>
      </c>
      <c r="L12" s="38">
        <f t="shared" si="0"/>
        <v>0</v>
      </c>
      <c r="M12" s="17">
        <f t="shared" si="1"/>
        <v>-770000</v>
      </c>
      <c r="N12" s="33">
        <v>0</v>
      </c>
      <c r="O12" s="60">
        <v>0</v>
      </c>
      <c r="P12" s="33">
        <v>0</v>
      </c>
      <c r="Q12" s="33">
        <v>0</v>
      </c>
      <c r="R12" s="33">
        <v>0</v>
      </c>
      <c r="S12" s="33">
        <v>0</v>
      </c>
      <c r="T12" s="33">
        <v>0</v>
      </c>
      <c r="U12" s="33">
        <v>0</v>
      </c>
      <c r="V12" s="60">
        <v>0</v>
      </c>
      <c r="W12" s="33">
        <v>0</v>
      </c>
      <c r="X12" s="60">
        <v>0</v>
      </c>
      <c r="Y12" s="60">
        <v>0</v>
      </c>
      <c r="Z12" s="33"/>
      <c r="AA12" s="60">
        <v>0</v>
      </c>
      <c r="AB12" s="60">
        <v>0</v>
      </c>
      <c r="AC12" s="60">
        <v>0</v>
      </c>
      <c r="AD12" s="60">
        <v>0</v>
      </c>
      <c r="AE12" s="60">
        <v>0</v>
      </c>
      <c r="AF12" s="33">
        <v>0</v>
      </c>
      <c r="AG12" s="33">
        <v>0</v>
      </c>
      <c r="AH12" s="33">
        <v>0</v>
      </c>
      <c r="AI12" s="33">
        <v>0</v>
      </c>
      <c r="AJ12" s="33">
        <v>0</v>
      </c>
      <c r="AK12" s="33">
        <v>0</v>
      </c>
      <c r="AL12" s="33">
        <v>0</v>
      </c>
      <c r="AM12" s="33">
        <v>0</v>
      </c>
      <c r="AN12" s="33">
        <v>0</v>
      </c>
      <c r="AO12" s="33">
        <v>0</v>
      </c>
      <c r="AP12" s="33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</row>
    <row r="13" spans="1:57" ht="102">
      <c r="A13" s="14"/>
      <c r="B13" s="15"/>
      <c r="C13" s="14" t="s">
        <v>2045</v>
      </c>
      <c r="D13" s="14" t="s">
        <v>61</v>
      </c>
      <c r="E13" s="111" t="str">
        <f>VLOOKUP(C13,KELAS!$A$2:$D$643,4,0)</f>
        <v>5 MEKKAH</v>
      </c>
      <c r="F13" s="14"/>
      <c r="G13" s="14"/>
      <c r="H13" s="16" t="s">
        <v>196</v>
      </c>
      <c r="I13" s="36">
        <v>1500000</v>
      </c>
      <c r="J13" s="87">
        <v>45962</v>
      </c>
      <c r="K13" s="88">
        <v>0.32451388888888888</v>
      </c>
      <c r="L13" s="38">
        <f t="shared" si="0"/>
        <v>0</v>
      </c>
      <c r="M13" s="17">
        <f t="shared" si="1"/>
        <v>-1500000</v>
      </c>
      <c r="N13" s="33">
        <v>0</v>
      </c>
      <c r="O13" s="60">
        <v>0</v>
      </c>
      <c r="P13" s="33">
        <v>0</v>
      </c>
      <c r="Q13" s="33">
        <v>0</v>
      </c>
      <c r="R13" s="33">
        <v>0</v>
      </c>
      <c r="S13" s="33">
        <v>0</v>
      </c>
      <c r="T13" s="33">
        <v>0</v>
      </c>
      <c r="U13" s="33">
        <v>0</v>
      </c>
      <c r="V13" s="60">
        <v>0</v>
      </c>
      <c r="W13" s="33">
        <v>0</v>
      </c>
      <c r="X13" s="60">
        <v>0</v>
      </c>
      <c r="Y13" s="60">
        <v>0</v>
      </c>
      <c r="Z13" s="33"/>
      <c r="AA13" s="60">
        <v>0</v>
      </c>
      <c r="AB13" s="60">
        <v>0</v>
      </c>
      <c r="AC13" s="60">
        <v>0</v>
      </c>
      <c r="AD13" s="60">
        <v>0</v>
      </c>
      <c r="AE13" s="60">
        <v>0</v>
      </c>
      <c r="AF13" s="33">
        <v>0</v>
      </c>
      <c r="AG13" s="33">
        <v>0</v>
      </c>
      <c r="AH13" s="33">
        <v>0</v>
      </c>
      <c r="AI13" s="33">
        <v>0</v>
      </c>
      <c r="AJ13" s="33">
        <v>0</v>
      </c>
      <c r="AK13" s="33">
        <v>0</v>
      </c>
      <c r="AL13" s="33">
        <v>0</v>
      </c>
      <c r="AM13" s="33">
        <v>0</v>
      </c>
      <c r="AN13" s="33">
        <v>0</v>
      </c>
      <c r="AO13" s="33">
        <v>0</v>
      </c>
      <c r="AP13" s="33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</row>
    <row r="14" spans="1:57" ht="102">
      <c r="A14" s="14"/>
      <c r="B14" s="15"/>
      <c r="C14" s="14" t="s">
        <v>1418</v>
      </c>
      <c r="D14" s="14" t="s">
        <v>61</v>
      </c>
      <c r="E14" s="111" t="str">
        <f>VLOOKUP(C14,KELAS!$A$2:$D$643,4,0)</f>
        <v>2 MADINAH</v>
      </c>
      <c r="F14" s="14"/>
      <c r="G14" s="14"/>
      <c r="H14" s="16" t="s">
        <v>198</v>
      </c>
      <c r="I14" s="36">
        <v>1540000</v>
      </c>
      <c r="J14" s="87">
        <v>45962</v>
      </c>
      <c r="K14" s="88">
        <v>0.32513888888888887</v>
      </c>
      <c r="L14" s="38">
        <f t="shared" si="0"/>
        <v>0</v>
      </c>
      <c r="M14" s="17">
        <f t="shared" si="1"/>
        <v>-1540000</v>
      </c>
      <c r="N14" s="33">
        <v>0</v>
      </c>
      <c r="O14" s="60">
        <v>0</v>
      </c>
      <c r="P14" s="33">
        <v>0</v>
      </c>
      <c r="Q14" s="33">
        <v>0</v>
      </c>
      <c r="R14" s="33">
        <v>0</v>
      </c>
      <c r="S14" s="33">
        <v>0</v>
      </c>
      <c r="T14" s="33">
        <v>0</v>
      </c>
      <c r="U14" s="33">
        <v>0</v>
      </c>
      <c r="V14" s="60">
        <v>0</v>
      </c>
      <c r="W14" s="33">
        <v>0</v>
      </c>
      <c r="X14" s="60">
        <v>0</v>
      </c>
      <c r="Y14" s="60">
        <v>0</v>
      </c>
      <c r="Z14" s="33"/>
      <c r="AA14" s="60">
        <v>0</v>
      </c>
      <c r="AB14" s="60">
        <v>0</v>
      </c>
      <c r="AC14" s="60">
        <v>0</v>
      </c>
      <c r="AD14" s="60">
        <v>0</v>
      </c>
      <c r="AE14" s="60">
        <v>0</v>
      </c>
      <c r="AF14" s="33">
        <v>0</v>
      </c>
      <c r="AG14" s="33">
        <v>0</v>
      </c>
      <c r="AH14" s="33">
        <v>0</v>
      </c>
      <c r="AI14" s="33">
        <v>0</v>
      </c>
      <c r="AJ14" s="33">
        <v>0</v>
      </c>
      <c r="AK14" s="33">
        <v>0</v>
      </c>
      <c r="AL14" s="33">
        <v>0</v>
      </c>
      <c r="AM14" s="33">
        <v>0</v>
      </c>
      <c r="AN14" s="33">
        <v>0</v>
      </c>
      <c r="AO14" s="33">
        <v>0</v>
      </c>
      <c r="AP14" s="33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</row>
    <row r="15" spans="1:57" ht="89.25">
      <c r="A15" s="14"/>
      <c r="B15" s="14"/>
      <c r="C15" s="14" t="s">
        <v>1202</v>
      </c>
      <c r="D15" s="14" t="s">
        <v>61</v>
      </c>
      <c r="E15" s="111" t="str">
        <f>VLOOKUP(C15,KELAS!$A$2:$D$643,4,0)</f>
        <v>1 MADINAH</v>
      </c>
      <c r="F15" s="14"/>
      <c r="G15" s="14"/>
      <c r="H15" s="16" t="s">
        <v>200</v>
      </c>
      <c r="I15" s="36">
        <v>1617000</v>
      </c>
      <c r="J15" s="87">
        <v>45962</v>
      </c>
      <c r="K15" s="88">
        <v>0.3275925925925926</v>
      </c>
      <c r="L15" s="38">
        <f t="shared" si="0"/>
        <v>0</v>
      </c>
      <c r="M15" s="17">
        <f t="shared" si="1"/>
        <v>-1617000</v>
      </c>
      <c r="N15" s="33">
        <v>0</v>
      </c>
      <c r="O15" s="60">
        <v>0</v>
      </c>
      <c r="P15" s="33">
        <v>0</v>
      </c>
      <c r="Q15" s="33">
        <v>0</v>
      </c>
      <c r="R15" s="33">
        <v>0</v>
      </c>
      <c r="S15" s="33">
        <v>0</v>
      </c>
      <c r="T15" s="33">
        <v>0</v>
      </c>
      <c r="U15" s="33">
        <v>0</v>
      </c>
      <c r="V15" s="60">
        <v>0</v>
      </c>
      <c r="W15" s="33">
        <v>0</v>
      </c>
      <c r="X15" s="60">
        <v>0</v>
      </c>
      <c r="Y15" s="60">
        <v>0</v>
      </c>
      <c r="Z15" s="33"/>
      <c r="AA15" s="60">
        <v>0</v>
      </c>
      <c r="AB15" s="60">
        <v>0</v>
      </c>
      <c r="AC15" s="60">
        <v>0</v>
      </c>
      <c r="AD15" s="60">
        <v>0</v>
      </c>
      <c r="AE15" s="60">
        <v>0</v>
      </c>
      <c r="AF15" s="33">
        <v>0</v>
      </c>
      <c r="AG15" s="33">
        <v>0</v>
      </c>
      <c r="AH15" s="33">
        <v>0</v>
      </c>
      <c r="AI15" s="33">
        <v>0</v>
      </c>
      <c r="AJ15" s="33">
        <v>0</v>
      </c>
      <c r="AK15" s="33">
        <v>0</v>
      </c>
      <c r="AL15" s="33">
        <v>0</v>
      </c>
      <c r="AM15" s="33">
        <v>0</v>
      </c>
      <c r="AN15" s="33">
        <v>0</v>
      </c>
      <c r="AO15" s="33">
        <v>0</v>
      </c>
      <c r="AP15" s="33">
        <v>0</v>
      </c>
    </row>
    <row r="16" spans="1:57" ht="63.75">
      <c r="A16" s="14"/>
      <c r="B16" s="14"/>
      <c r="C16" s="14" t="s">
        <v>2019</v>
      </c>
      <c r="D16" s="14" t="s">
        <v>61</v>
      </c>
      <c r="E16" s="111" t="str">
        <f>VLOOKUP(C16,KELAS!$A$2:$D$643,4,0)</f>
        <v>5 MEKKAH</v>
      </c>
      <c r="F16" s="14"/>
      <c r="G16" s="14"/>
      <c r="H16" s="16" t="s">
        <v>202</v>
      </c>
      <c r="I16" s="36">
        <v>1400000</v>
      </c>
      <c r="J16" s="87">
        <v>45962</v>
      </c>
      <c r="K16" s="88">
        <v>0.37118055555555557</v>
      </c>
      <c r="L16" s="38">
        <f t="shared" si="0"/>
        <v>0</v>
      </c>
      <c r="M16" s="17">
        <f t="shared" si="1"/>
        <v>-1400000</v>
      </c>
      <c r="N16" s="33">
        <v>0</v>
      </c>
      <c r="O16" s="60">
        <v>0</v>
      </c>
      <c r="P16" s="33">
        <v>0</v>
      </c>
      <c r="Q16" s="33">
        <v>0</v>
      </c>
      <c r="R16" s="33">
        <v>0</v>
      </c>
      <c r="S16" s="33">
        <v>0</v>
      </c>
      <c r="T16" s="33">
        <v>0</v>
      </c>
      <c r="U16" s="33">
        <v>0</v>
      </c>
      <c r="V16" s="60">
        <v>0</v>
      </c>
      <c r="W16" s="33">
        <v>0</v>
      </c>
      <c r="X16" s="60">
        <v>0</v>
      </c>
      <c r="Y16" s="60">
        <v>0</v>
      </c>
      <c r="Z16" s="33"/>
      <c r="AA16" s="60">
        <v>0</v>
      </c>
      <c r="AB16" s="60">
        <v>0</v>
      </c>
      <c r="AC16" s="60">
        <v>0</v>
      </c>
      <c r="AD16" s="60">
        <v>0</v>
      </c>
      <c r="AE16" s="60">
        <v>0</v>
      </c>
      <c r="AF16" s="33">
        <v>0</v>
      </c>
      <c r="AG16" s="33">
        <v>0</v>
      </c>
      <c r="AH16" s="33">
        <v>0</v>
      </c>
      <c r="AI16" s="33">
        <v>0</v>
      </c>
      <c r="AJ16" s="33">
        <v>0</v>
      </c>
      <c r="AK16" s="33">
        <v>0</v>
      </c>
      <c r="AL16" s="33">
        <v>0</v>
      </c>
      <c r="AM16" s="33">
        <v>0</v>
      </c>
      <c r="AN16" s="33">
        <v>0</v>
      </c>
      <c r="AO16" s="33">
        <v>0</v>
      </c>
      <c r="AP16" s="33">
        <v>0</v>
      </c>
    </row>
    <row r="17" spans="1:42" ht="76.5">
      <c r="A17" s="14"/>
      <c r="B17" s="14"/>
      <c r="C17" s="14" t="s">
        <v>1834</v>
      </c>
      <c r="D17" s="14" t="s">
        <v>61</v>
      </c>
      <c r="E17" s="111" t="str">
        <f>VLOOKUP(C17,KELAS!$A$2:$D$643,4,0)</f>
        <v>4 MEKKAH</v>
      </c>
      <c r="F17" s="14"/>
      <c r="G17" s="14"/>
      <c r="H17" s="16" t="s">
        <v>75</v>
      </c>
      <c r="I17" s="36">
        <v>1400000</v>
      </c>
      <c r="J17" s="87">
        <v>45962</v>
      </c>
      <c r="K17" s="88">
        <v>0.39901620370370372</v>
      </c>
      <c r="L17" s="38">
        <f t="shared" si="0"/>
        <v>0</v>
      </c>
      <c r="M17" s="17">
        <f t="shared" si="1"/>
        <v>-1400000</v>
      </c>
      <c r="N17" s="33">
        <v>0</v>
      </c>
      <c r="O17" s="60">
        <v>0</v>
      </c>
      <c r="P17" s="33">
        <v>0</v>
      </c>
      <c r="Q17" s="33">
        <v>0</v>
      </c>
      <c r="R17" s="33">
        <v>0</v>
      </c>
      <c r="S17" s="33">
        <v>0</v>
      </c>
      <c r="T17" s="33">
        <v>0</v>
      </c>
      <c r="U17" s="33">
        <v>0</v>
      </c>
      <c r="V17" s="60">
        <v>0</v>
      </c>
      <c r="W17" s="33">
        <v>0</v>
      </c>
      <c r="X17" s="60">
        <v>0</v>
      </c>
      <c r="Y17" s="60">
        <v>0</v>
      </c>
      <c r="Z17" s="33"/>
      <c r="AA17" s="60">
        <v>0</v>
      </c>
      <c r="AB17" s="60">
        <v>0</v>
      </c>
      <c r="AC17" s="60">
        <v>0</v>
      </c>
      <c r="AD17" s="60">
        <v>0</v>
      </c>
      <c r="AE17" s="60">
        <v>0</v>
      </c>
      <c r="AF17" s="33">
        <v>0</v>
      </c>
      <c r="AG17" s="33">
        <v>0</v>
      </c>
      <c r="AH17" s="33">
        <v>0</v>
      </c>
      <c r="AI17" s="33">
        <v>0</v>
      </c>
      <c r="AJ17" s="33">
        <v>0</v>
      </c>
      <c r="AK17" s="33">
        <v>0</v>
      </c>
      <c r="AL17" s="33">
        <v>0</v>
      </c>
      <c r="AM17" s="33">
        <v>0</v>
      </c>
      <c r="AN17" s="33">
        <v>0</v>
      </c>
      <c r="AO17" s="33">
        <v>0</v>
      </c>
      <c r="AP17" s="33">
        <v>0</v>
      </c>
    </row>
    <row r="18" spans="1:42" ht="89.25">
      <c r="A18" s="14"/>
      <c r="B18" s="14"/>
      <c r="C18" s="14" t="s">
        <v>1291</v>
      </c>
      <c r="D18" s="14" t="s">
        <v>61</v>
      </c>
      <c r="E18" s="111" t="str">
        <f>VLOOKUP(C18,KELAS!$A$2:$D$643,4,0)</f>
        <v>1 MINA</v>
      </c>
      <c r="F18" s="14"/>
      <c r="G18" s="14"/>
      <c r="H18" s="16" t="s">
        <v>205</v>
      </c>
      <c r="I18" s="36">
        <v>1617000</v>
      </c>
      <c r="J18" s="87">
        <v>45962</v>
      </c>
      <c r="K18" s="88">
        <v>0.41140046296296295</v>
      </c>
      <c r="L18" s="38">
        <f t="shared" si="0"/>
        <v>0</v>
      </c>
      <c r="M18" s="17">
        <f t="shared" si="1"/>
        <v>-1617000</v>
      </c>
      <c r="N18" s="33">
        <v>0</v>
      </c>
      <c r="O18" s="60">
        <v>0</v>
      </c>
      <c r="P18" s="33">
        <v>0</v>
      </c>
      <c r="Q18" s="33">
        <v>0</v>
      </c>
      <c r="R18" s="33">
        <v>0</v>
      </c>
      <c r="S18" s="33">
        <v>0</v>
      </c>
      <c r="T18" s="33">
        <v>0</v>
      </c>
      <c r="U18" s="33">
        <v>0</v>
      </c>
      <c r="V18" s="60">
        <v>0</v>
      </c>
      <c r="W18" s="33">
        <v>0</v>
      </c>
      <c r="X18" s="60">
        <v>0</v>
      </c>
      <c r="Y18" s="60">
        <v>0</v>
      </c>
      <c r="Z18" s="33"/>
      <c r="AA18" s="60">
        <v>0</v>
      </c>
      <c r="AB18" s="60">
        <v>0</v>
      </c>
      <c r="AC18" s="60">
        <v>0</v>
      </c>
      <c r="AD18" s="60">
        <v>0</v>
      </c>
      <c r="AE18" s="60">
        <v>0</v>
      </c>
      <c r="AF18" s="33">
        <v>0</v>
      </c>
      <c r="AG18" s="33">
        <v>0</v>
      </c>
      <c r="AH18" s="33">
        <v>0</v>
      </c>
      <c r="AI18" s="33">
        <v>0</v>
      </c>
      <c r="AJ18" s="33">
        <v>0</v>
      </c>
      <c r="AK18" s="33">
        <v>0</v>
      </c>
      <c r="AL18" s="33">
        <v>0</v>
      </c>
      <c r="AM18" s="33">
        <v>0</v>
      </c>
      <c r="AN18" s="33">
        <v>0</v>
      </c>
      <c r="AO18" s="33">
        <v>0</v>
      </c>
      <c r="AP18" s="33">
        <v>0</v>
      </c>
    </row>
    <row r="19" spans="1:42" ht="89.25">
      <c r="A19" s="14"/>
      <c r="B19" s="14"/>
      <c r="C19" s="14" t="s">
        <v>1267</v>
      </c>
      <c r="D19" s="14" t="s">
        <v>61</v>
      </c>
      <c r="E19" s="111" t="str">
        <f>VLOOKUP(C19,KELAS!$A$2:$D$643,4,0)</f>
        <v>1 MINA</v>
      </c>
      <c r="F19" s="14"/>
      <c r="G19" s="14"/>
      <c r="H19" s="16" t="s">
        <v>207</v>
      </c>
      <c r="I19" s="36">
        <v>1617000</v>
      </c>
      <c r="J19" s="87">
        <v>45962</v>
      </c>
      <c r="K19" s="88">
        <v>0.42386574074074074</v>
      </c>
      <c r="L19" s="38">
        <f t="shared" si="0"/>
        <v>0</v>
      </c>
      <c r="M19" s="17">
        <f t="shared" si="1"/>
        <v>-1617000</v>
      </c>
      <c r="N19" s="33">
        <v>0</v>
      </c>
      <c r="O19" s="60">
        <v>0</v>
      </c>
      <c r="P19" s="33">
        <v>0</v>
      </c>
      <c r="Q19" s="33">
        <v>0</v>
      </c>
      <c r="R19" s="33">
        <v>0</v>
      </c>
      <c r="S19" s="33">
        <v>0</v>
      </c>
      <c r="T19" s="33">
        <v>0</v>
      </c>
      <c r="U19" s="33">
        <v>0</v>
      </c>
      <c r="V19" s="60">
        <v>0</v>
      </c>
      <c r="W19" s="33">
        <v>0</v>
      </c>
      <c r="X19" s="60">
        <v>0</v>
      </c>
      <c r="Y19" s="60">
        <v>0</v>
      </c>
      <c r="Z19" s="33"/>
      <c r="AA19" s="60">
        <v>0</v>
      </c>
      <c r="AB19" s="60">
        <v>0</v>
      </c>
      <c r="AC19" s="60">
        <v>0</v>
      </c>
      <c r="AD19" s="60">
        <v>0</v>
      </c>
      <c r="AE19" s="60">
        <v>0</v>
      </c>
      <c r="AF19" s="33">
        <v>0</v>
      </c>
      <c r="AG19" s="33">
        <v>0</v>
      </c>
      <c r="AH19" s="33">
        <v>0</v>
      </c>
      <c r="AI19" s="33">
        <v>0</v>
      </c>
      <c r="AJ19" s="33">
        <v>0</v>
      </c>
      <c r="AK19" s="33">
        <v>0</v>
      </c>
      <c r="AL19" s="33">
        <v>0</v>
      </c>
      <c r="AM19" s="33">
        <v>0</v>
      </c>
      <c r="AN19" s="33">
        <v>0</v>
      </c>
      <c r="AO19" s="33">
        <v>0</v>
      </c>
      <c r="AP19" s="33">
        <v>0</v>
      </c>
    </row>
    <row r="20" spans="1:42" ht="89.25">
      <c r="A20" s="14"/>
      <c r="B20" s="14"/>
      <c r="C20" s="14" t="s">
        <v>1722</v>
      </c>
      <c r="D20" s="14" t="s">
        <v>61</v>
      </c>
      <c r="E20" s="111" t="str">
        <f>VLOOKUP(C20,KELAS!$A$2:$D$643,4,0)</f>
        <v>3 MINA</v>
      </c>
      <c r="F20" s="14"/>
      <c r="G20" s="14"/>
      <c r="H20" s="16" t="s">
        <v>157</v>
      </c>
      <c r="I20" s="36">
        <v>1400000</v>
      </c>
      <c r="J20" s="87">
        <v>45962</v>
      </c>
      <c r="K20" s="88">
        <v>0.44112268518518516</v>
      </c>
      <c r="L20" s="38">
        <f t="shared" si="0"/>
        <v>0</v>
      </c>
      <c r="M20" s="17">
        <f t="shared" si="1"/>
        <v>-1400000</v>
      </c>
      <c r="N20" s="33">
        <v>0</v>
      </c>
      <c r="O20" s="60">
        <v>0</v>
      </c>
      <c r="P20" s="33">
        <v>0</v>
      </c>
      <c r="Q20" s="33">
        <v>0</v>
      </c>
      <c r="R20" s="33">
        <v>0</v>
      </c>
      <c r="S20" s="33">
        <v>0</v>
      </c>
      <c r="T20" s="33">
        <v>0</v>
      </c>
      <c r="U20" s="33">
        <v>0</v>
      </c>
      <c r="V20" s="60">
        <v>0</v>
      </c>
      <c r="W20" s="33">
        <v>0</v>
      </c>
      <c r="X20" s="60">
        <v>0</v>
      </c>
      <c r="Y20" s="60">
        <v>0</v>
      </c>
      <c r="Z20" s="33"/>
      <c r="AA20" s="60">
        <v>0</v>
      </c>
      <c r="AB20" s="60">
        <v>0</v>
      </c>
      <c r="AC20" s="60">
        <v>0</v>
      </c>
      <c r="AD20" s="60">
        <v>0</v>
      </c>
      <c r="AE20" s="60">
        <v>0</v>
      </c>
      <c r="AF20" s="33">
        <v>0</v>
      </c>
      <c r="AG20" s="33">
        <v>0</v>
      </c>
      <c r="AH20" s="33">
        <v>0</v>
      </c>
      <c r="AI20" s="33">
        <v>0</v>
      </c>
      <c r="AJ20" s="33">
        <v>0</v>
      </c>
      <c r="AK20" s="33">
        <v>0</v>
      </c>
      <c r="AL20" s="33">
        <v>0</v>
      </c>
      <c r="AM20" s="33">
        <v>0</v>
      </c>
      <c r="AN20" s="33">
        <v>0</v>
      </c>
      <c r="AO20" s="33">
        <v>0</v>
      </c>
      <c r="AP20" s="33">
        <v>0</v>
      </c>
    </row>
    <row r="21" spans="1:42" ht="63.75">
      <c r="A21" s="14"/>
      <c r="B21" s="14"/>
      <c r="C21" s="14" t="s">
        <v>1343</v>
      </c>
      <c r="D21" s="14" t="s">
        <v>61</v>
      </c>
      <c r="E21" s="111" t="str">
        <f>VLOOKUP(C21,KELAS!$A$2:$D$643,4,0)</f>
        <v>1 MARWAH/TAHFIDZ</v>
      </c>
      <c r="F21" s="14"/>
      <c r="G21" s="14"/>
      <c r="H21" s="16" t="s">
        <v>210</v>
      </c>
      <c r="I21" s="36">
        <v>1617000</v>
      </c>
      <c r="J21" s="87">
        <v>45962</v>
      </c>
      <c r="K21" s="88">
        <v>0.44297453703703704</v>
      </c>
      <c r="L21" s="38">
        <f t="shared" si="0"/>
        <v>0</v>
      </c>
      <c r="M21" s="17">
        <f t="shared" si="1"/>
        <v>-1617000</v>
      </c>
      <c r="N21" s="33">
        <v>0</v>
      </c>
      <c r="O21" s="60">
        <v>0</v>
      </c>
      <c r="P21" s="33">
        <v>0</v>
      </c>
      <c r="Q21" s="33">
        <v>0</v>
      </c>
      <c r="R21" s="33">
        <v>0</v>
      </c>
      <c r="S21" s="33">
        <v>0</v>
      </c>
      <c r="T21" s="33">
        <v>0</v>
      </c>
      <c r="U21" s="33">
        <v>0</v>
      </c>
      <c r="V21" s="60">
        <v>0</v>
      </c>
      <c r="W21" s="33">
        <v>0</v>
      </c>
      <c r="X21" s="60">
        <v>0</v>
      </c>
      <c r="Y21" s="60">
        <v>0</v>
      </c>
      <c r="Z21" s="33"/>
      <c r="AA21" s="60">
        <v>0</v>
      </c>
      <c r="AB21" s="60">
        <v>0</v>
      </c>
      <c r="AC21" s="60">
        <v>0</v>
      </c>
      <c r="AD21" s="60">
        <v>0</v>
      </c>
      <c r="AE21" s="60">
        <v>0</v>
      </c>
      <c r="AF21" s="33">
        <v>0</v>
      </c>
      <c r="AG21" s="33">
        <v>0</v>
      </c>
      <c r="AH21" s="33">
        <v>0</v>
      </c>
      <c r="AI21" s="33">
        <v>0</v>
      </c>
      <c r="AJ21" s="33">
        <v>0</v>
      </c>
      <c r="AK21" s="33">
        <v>0</v>
      </c>
      <c r="AL21" s="33">
        <v>0</v>
      </c>
      <c r="AM21" s="33">
        <v>0</v>
      </c>
      <c r="AN21" s="33">
        <v>0</v>
      </c>
      <c r="AO21" s="33">
        <v>0</v>
      </c>
      <c r="AP21" s="33">
        <v>0</v>
      </c>
    </row>
    <row r="22" spans="1:42" ht="63.75">
      <c r="A22" s="14"/>
      <c r="B22" s="14"/>
      <c r="C22" s="14" t="s">
        <v>1790</v>
      </c>
      <c r="D22" s="14" t="s">
        <v>61</v>
      </c>
      <c r="E22" s="111" t="str">
        <f>VLOOKUP(C22,KELAS!$A$2:$D$643,4,0)</f>
        <v>3 MARWAH</v>
      </c>
      <c r="F22" s="14"/>
      <c r="G22" s="14"/>
      <c r="H22" s="16" t="s">
        <v>212</v>
      </c>
      <c r="I22" s="36">
        <v>1400000</v>
      </c>
      <c r="J22" s="87">
        <v>45962</v>
      </c>
      <c r="K22" s="88">
        <v>0.45283564814814814</v>
      </c>
      <c r="L22" s="38">
        <f t="shared" si="0"/>
        <v>0</v>
      </c>
      <c r="M22" s="17">
        <f t="shared" si="1"/>
        <v>-1400000</v>
      </c>
      <c r="N22" s="33">
        <v>0</v>
      </c>
      <c r="O22" s="60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60">
        <v>0</v>
      </c>
      <c r="W22" s="33">
        <v>0</v>
      </c>
      <c r="X22" s="60">
        <v>0</v>
      </c>
      <c r="Y22" s="60">
        <v>0</v>
      </c>
      <c r="Z22" s="33"/>
      <c r="AA22" s="60">
        <v>0</v>
      </c>
      <c r="AB22" s="60">
        <v>0</v>
      </c>
      <c r="AC22" s="60">
        <v>0</v>
      </c>
      <c r="AD22" s="60">
        <v>0</v>
      </c>
      <c r="AE22" s="60">
        <v>0</v>
      </c>
      <c r="AF22" s="33">
        <v>0</v>
      </c>
      <c r="AG22" s="33">
        <v>0</v>
      </c>
      <c r="AH22" s="33">
        <v>0</v>
      </c>
      <c r="AI22" s="33">
        <v>0</v>
      </c>
      <c r="AJ22" s="33">
        <v>0</v>
      </c>
      <c r="AK22" s="33">
        <v>0</v>
      </c>
      <c r="AL22" s="33">
        <v>0</v>
      </c>
      <c r="AM22" s="33">
        <v>0</v>
      </c>
      <c r="AN22" s="33">
        <v>0</v>
      </c>
      <c r="AO22" s="33">
        <v>0</v>
      </c>
      <c r="AP22" s="33">
        <v>0</v>
      </c>
    </row>
    <row r="23" spans="1:42" ht="89.25">
      <c r="A23" s="14"/>
      <c r="B23" s="14"/>
      <c r="C23" s="14" t="s">
        <v>2015</v>
      </c>
      <c r="D23" s="14" t="s">
        <v>61</v>
      </c>
      <c r="E23" s="111" t="str">
        <f>VLOOKUP(C23,KELAS!$A$2:$D$643,4,0)</f>
        <v>5 MEKKAH</v>
      </c>
      <c r="F23" s="14"/>
      <c r="G23" s="14"/>
      <c r="H23" s="16" t="s">
        <v>214</v>
      </c>
      <c r="I23" s="36">
        <v>1400000</v>
      </c>
      <c r="J23" s="87">
        <v>45962</v>
      </c>
      <c r="K23" s="88">
        <v>0.45725694444444442</v>
      </c>
      <c r="L23" s="38">
        <f t="shared" si="0"/>
        <v>0</v>
      </c>
      <c r="M23" s="17">
        <f t="shared" si="1"/>
        <v>-1400000</v>
      </c>
      <c r="N23" s="33">
        <v>0</v>
      </c>
      <c r="O23" s="60">
        <v>0</v>
      </c>
      <c r="P23" s="33">
        <v>0</v>
      </c>
      <c r="Q23" s="33">
        <v>0</v>
      </c>
      <c r="R23" s="33">
        <v>0</v>
      </c>
      <c r="S23" s="33">
        <v>0</v>
      </c>
      <c r="T23" s="33">
        <v>0</v>
      </c>
      <c r="U23" s="33">
        <v>0</v>
      </c>
      <c r="V23" s="60">
        <v>0</v>
      </c>
      <c r="W23" s="33">
        <v>0</v>
      </c>
      <c r="X23" s="60">
        <v>0</v>
      </c>
      <c r="Y23" s="60">
        <v>0</v>
      </c>
      <c r="Z23" s="33"/>
      <c r="AA23" s="60">
        <v>0</v>
      </c>
      <c r="AB23" s="60">
        <v>0</v>
      </c>
      <c r="AC23" s="60">
        <v>0</v>
      </c>
      <c r="AD23" s="60">
        <v>0</v>
      </c>
      <c r="AE23" s="60">
        <v>0</v>
      </c>
      <c r="AF23" s="33">
        <v>0</v>
      </c>
      <c r="AG23" s="33">
        <v>0</v>
      </c>
      <c r="AH23" s="33">
        <v>0</v>
      </c>
      <c r="AI23" s="33">
        <v>0</v>
      </c>
      <c r="AJ23" s="33">
        <v>0</v>
      </c>
      <c r="AK23" s="33">
        <v>0</v>
      </c>
      <c r="AL23" s="33">
        <v>0</v>
      </c>
      <c r="AM23" s="33">
        <v>0</v>
      </c>
      <c r="AN23" s="33">
        <v>0</v>
      </c>
      <c r="AO23" s="33">
        <v>0</v>
      </c>
      <c r="AP23" s="33">
        <v>0</v>
      </c>
    </row>
    <row r="24" spans="1:42" ht="63.75">
      <c r="A24" s="14"/>
      <c r="B24" s="14"/>
      <c r="C24" s="14" t="s">
        <v>1859</v>
      </c>
      <c r="D24" s="14" t="s">
        <v>61</v>
      </c>
      <c r="E24" s="111" t="str">
        <f>VLOOKUP(C24,KELAS!$A$2:$D$643,4,0)</f>
        <v>4 MEKKAH</v>
      </c>
      <c r="F24" s="14"/>
      <c r="G24" s="14"/>
      <c r="H24" s="16" t="s">
        <v>216</v>
      </c>
      <c r="I24" s="36">
        <v>1450000</v>
      </c>
      <c r="J24" s="87">
        <v>45962</v>
      </c>
      <c r="K24" s="88">
        <v>0.46011574074074074</v>
      </c>
      <c r="L24" s="38">
        <f t="shared" si="0"/>
        <v>0</v>
      </c>
      <c r="M24" s="17">
        <f t="shared" si="1"/>
        <v>-1450000</v>
      </c>
      <c r="N24" s="33">
        <v>0</v>
      </c>
      <c r="O24" s="60">
        <v>0</v>
      </c>
      <c r="P24" s="33">
        <v>0</v>
      </c>
      <c r="Q24" s="33">
        <v>0</v>
      </c>
      <c r="R24" s="33">
        <v>0</v>
      </c>
      <c r="S24" s="33">
        <v>0</v>
      </c>
      <c r="T24" s="33">
        <v>0</v>
      </c>
      <c r="U24" s="33">
        <v>0</v>
      </c>
      <c r="V24" s="60">
        <v>0</v>
      </c>
      <c r="W24" s="33">
        <v>0</v>
      </c>
      <c r="X24" s="60">
        <v>0</v>
      </c>
      <c r="Y24" s="60">
        <v>0</v>
      </c>
      <c r="Z24" s="33"/>
      <c r="AA24" s="60">
        <v>0</v>
      </c>
      <c r="AB24" s="60">
        <v>0</v>
      </c>
      <c r="AC24" s="60">
        <v>0</v>
      </c>
      <c r="AD24" s="60">
        <v>0</v>
      </c>
      <c r="AE24" s="60">
        <v>0</v>
      </c>
      <c r="AF24" s="33">
        <v>0</v>
      </c>
      <c r="AG24" s="33">
        <v>0</v>
      </c>
      <c r="AH24" s="33">
        <v>0</v>
      </c>
      <c r="AI24" s="33">
        <v>0</v>
      </c>
      <c r="AJ24" s="33">
        <v>0</v>
      </c>
      <c r="AK24" s="33">
        <v>0</v>
      </c>
      <c r="AL24" s="33">
        <v>0</v>
      </c>
      <c r="AM24" s="33">
        <v>0</v>
      </c>
      <c r="AN24" s="33">
        <v>0</v>
      </c>
      <c r="AO24" s="33">
        <v>0</v>
      </c>
      <c r="AP24" s="33">
        <v>0</v>
      </c>
    </row>
    <row r="25" spans="1:42" ht="89.25">
      <c r="A25" s="14"/>
      <c r="B25" s="14"/>
      <c r="C25" s="14" t="s">
        <v>1455</v>
      </c>
      <c r="D25" s="14" t="s">
        <v>61</v>
      </c>
      <c r="E25" s="111" t="str">
        <f>VLOOKUP(C25,KELAS!$A$2:$D$643,4,0)</f>
        <v>2 MADINAH</v>
      </c>
      <c r="F25" s="14"/>
      <c r="G25" s="14"/>
      <c r="H25" s="16" t="s">
        <v>71</v>
      </c>
      <c r="I25" s="36">
        <v>1540000</v>
      </c>
      <c r="J25" s="87">
        <v>45962</v>
      </c>
      <c r="K25" s="88">
        <v>0.47587962962962965</v>
      </c>
      <c r="L25" s="38">
        <f t="shared" si="0"/>
        <v>0</v>
      </c>
      <c r="M25" s="17">
        <f t="shared" si="1"/>
        <v>-1540000</v>
      </c>
      <c r="N25" s="33">
        <v>0</v>
      </c>
      <c r="O25" s="60">
        <v>0</v>
      </c>
      <c r="P25" s="33">
        <v>0</v>
      </c>
      <c r="Q25" s="33">
        <v>0</v>
      </c>
      <c r="R25" s="33">
        <v>0</v>
      </c>
      <c r="S25" s="33">
        <v>0</v>
      </c>
      <c r="T25" s="33">
        <v>0</v>
      </c>
      <c r="U25" s="33">
        <v>0</v>
      </c>
      <c r="V25" s="60">
        <v>0</v>
      </c>
      <c r="W25" s="33">
        <v>0</v>
      </c>
      <c r="X25" s="60">
        <v>0</v>
      </c>
      <c r="Y25" s="60">
        <v>0</v>
      </c>
      <c r="Z25" s="33"/>
      <c r="AA25" s="60">
        <v>0</v>
      </c>
      <c r="AB25" s="60">
        <v>0</v>
      </c>
      <c r="AC25" s="60">
        <v>0</v>
      </c>
      <c r="AD25" s="60">
        <v>0</v>
      </c>
      <c r="AE25" s="60">
        <v>0</v>
      </c>
      <c r="AF25" s="33">
        <v>0</v>
      </c>
      <c r="AG25" s="33">
        <v>0</v>
      </c>
      <c r="AH25" s="33">
        <v>0</v>
      </c>
      <c r="AI25" s="33">
        <v>0</v>
      </c>
      <c r="AJ25" s="33">
        <v>0</v>
      </c>
      <c r="AK25" s="33">
        <v>0</v>
      </c>
      <c r="AL25" s="33">
        <v>0</v>
      </c>
      <c r="AM25" s="33">
        <v>0</v>
      </c>
      <c r="AN25" s="33">
        <v>0</v>
      </c>
      <c r="AO25" s="33">
        <v>0</v>
      </c>
      <c r="AP25" s="33">
        <v>0</v>
      </c>
    </row>
    <row r="26" spans="1:42" ht="89.25">
      <c r="A26" s="14"/>
      <c r="B26" s="14"/>
      <c r="C26" s="14" t="s">
        <v>1849</v>
      </c>
      <c r="D26" s="14" t="s">
        <v>61</v>
      </c>
      <c r="E26" s="111" t="str">
        <f>VLOOKUP(C26,KELAS!$A$2:$D$643,4,0)</f>
        <v>4 MEKKAH</v>
      </c>
      <c r="F26" s="14"/>
      <c r="G26" s="14"/>
      <c r="H26" s="16" t="s">
        <v>219</v>
      </c>
      <c r="I26" s="36">
        <v>1450000</v>
      </c>
      <c r="J26" s="87">
        <v>45962</v>
      </c>
      <c r="K26" s="88">
        <v>0.48251157407407408</v>
      </c>
      <c r="L26" s="38">
        <f t="shared" si="0"/>
        <v>0</v>
      </c>
      <c r="M26" s="17">
        <f t="shared" si="1"/>
        <v>-1450000</v>
      </c>
      <c r="N26" s="33">
        <v>0</v>
      </c>
      <c r="O26" s="60">
        <v>0</v>
      </c>
      <c r="P26" s="33">
        <v>0</v>
      </c>
      <c r="Q26" s="33">
        <v>0</v>
      </c>
      <c r="R26" s="33">
        <v>0</v>
      </c>
      <c r="S26" s="33">
        <v>0</v>
      </c>
      <c r="T26" s="33">
        <v>0</v>
      </c>
      <c r="U26" s="33">
        <v>0</v>
      </c>
      <c r="V26" s="60">
        <v>0</v>
      </c>
      <c r="W26" s="33">
        <v>0</v>
      </c>
      <c r="X26" s="60">
        <v>0</v>
      </c>
      <c r="Y26" s="60">
        <v>0</v>
      </c>
      <c r="Z26" s="33"/>
      <c r="AA26" s="60">
        <v>0</v>
      </c>
      <c r="AB26" s="60">
        <v>0</v>
      </c>
      <c r="AC26" s="60">
        <v>0</v>
      </c>
      <c r="AD26" s="60">
        <v>0</v>
      </c>
      <c r="AE26" s="60">
        <v>0</v>
      </c>
      <c r="AF26" s="33">
        <v>0</v>
      </c>
      <c r="AG26" s="33">
        <v>0</v>
      </c>
      <c r="AH26" s="33">
        <v>0</v>
      </c>
      <c r="AI26" s="33">
        <v>0</v>
      </c>
      <c r="AJ26" s="33">
        <v>0</v>
      </c>
      <c r="AK26" s="33">
        <v>0</v>
      </c>
      <c r="AL26" s="33">
        <v>0</v>
      </c>
      <c r="AM26" s="33">
        <v>0</v>
      </c>
      <c r="AN26" s="33">
        <v>0</v>
      </c>
      <c r="AO26" s="33">
        <v>0</v>
      </c>
      <c r="AP26" s="33">
        <v>0</v>
      </c>
    </row>
    <row r="27" spans="1:42" ht="102">
      <c r="A27" s="14"/>
      <c r="B27" s="14"/>
      <c r="C27" s="14" t="s">
        <v>1994</v>
      </c>
      <c r="D27" s="14" t="s">
        <v>61</v>
      </c>
      <c r="E27" s="111" t="str">
        <f>VLOOKUP(C27,KELAS!$A$2:$D$643,4,0)</f>
        <v>4 MINA</v>
      </c>
      <c r="F27" s="14"/>
      <c r="G27" s="14"/>
      <c r="H27" s="16" t="s">
        <v>221</v>
      </c>
      <c r="I27" s="36">
        <v>1450000</v>
      </c>
      <c r="J27" s="87">
        <v>45962</v>
      </c>
      <c r="K27" s="88">
        <v>0.48357638888888888</v>
      </c>
      <c r="L27" s="38">
        <f t="shared" si="0"/>
        <v>0</v>
      </c>
      <c r="M27" s="17">
        <f t="shared" si="1"/>
        <v>-1450000</v>
      </c>
      <c r="N27" s="33">
        <v>0</v>
      </c>
      <c r="O27" s="60">
        <v>0</v>
      </c>
      <c r="P27" s="33">
        <v>0</v>
      </c>
      <c r="Q27" s="33">
        <v>0</v>
      </c>
      <c r="R27" s="33">
        <v>0</v>
      </c>
      <c r="S27" s="33">
        <v>0</v>
      </c>
      <c r="T27" s="33">
        <v>0</v>
      </c>
      <c r="U27" s="33">
        <v>0</v>
      </c>
      <c r="V27" s="60">
        <v>0</v>
      </c>
      <c r="W27" s="33">
        <v>0</v>
      </c>
      <c r="X27" s="60">
        <v>0</v>
      </c>
      <c r="Y27" s="60">
        <v>0</v>
      </c>
      <c r="Z27" s="33"/>
      <c r="AA27" s="60">
        <v>0</v>
      </c>
      <c r="AB27" s="60">
        <v>0</v>
      </c>
      <c r="AC27" s="60">
        <v>0</v>
      </c>
      <c r="AD27" s="60">
        <v>0</v>
      </c>
      <c r="AE27" s="60">
        <v>0</v>
      </c>
      <c r="AF27" s="33">
        <v>0</v>
      </c>
      <c r="AG27" s="33">
        <v>0</v>
      </c>
      <c r="AH27" s="33">
        <v>0</v>
      </c>
      <c r="AI27" s="33">
        <v>0</v>
      </c>
      <c r="AJ27" s="33">
        <v>0</v>
      </c>
      <c r="AK27" s="33">
        <v>0</v>
      </c>
      <c r="AL27" s="33">
        <v>0</v>
      </c>
      <c r="AM27" s="33">
        <v>0</v>
      </c>
      <c r="AN27" s="33">
        <v>0</v>
      </c>
      <c r="AO27" s="33">
        <v>0</v>
      </c>
      <c r="AP27" s="33">
        <v>0</v>
      </c>
    </row>
    <row r="28" spans="1:42" ht="89.25">
      <c r="A28" s="14"/>
      <c r="B28" s="14"/>
      <c r="C28" s="14" t="s">
        <v>1885</v>
      </c>
      <c r="D28" s="14" t="s">
        <v>61</v>
      </c>
      <c r="E28" s="111" t="str">
        <f>VLOOKUP(C28,KELAS!$A$2:$D$643,4,0)</f>
        <v>4 MEKKAH</v>
      </c>
      <c r="F28" s="14"/>
      <c r="G28" s="14"/>
      <c r="H28" s="16" t="s">
        <v>223</v>
      </c>
      <c r="I28" s="36">
        <v>1450000</v>
      </c>
      <c r="J28" s="87">
        <v>45962</v>
      </c>
      <c r="K28" s="88">
        <v>0.48457175925925927</v>
      </c>
      <c r="L28" s="38">
        <f t="shared" si="0"/>
        <v>0</v>
      </c>
      <c r="M28" s="17">
        <f t="shared" si="1"/>
        <v>-1450000</v>
      </c>
      <c r="N28" s="33">
        <v>0</v>
      </c>
      <c r="O28" s="60">
        <v>0</v>
      </c>
      <c r="P28" s="33">
        <v>0</v>
      </c>
      <c r="Q28" s="33">
        <v>0</v>
      </c>
      <c r="R28" s="33">
        <v>0</v>
      </c>
      <c r="S28" s="33">
        <v>0</v>
      </c>
      <c r="T28" s="33">
        <v>0</v>
      </c>
      <c r="U28" s="33">
        <v>0</v>
      </c>
      <c r="V28" s="60">
        <v>0</v>
      </c>
      <c r="W28" s="33">
        <v>0</v>
      </c>
      <c r="X28" s="60">
        <v>0</v>
      </c>
      <c r="Y28" s="60">
        <v>0</v>
      </c>
      <c r="Z28" s="33"/>
      <c r="AA28" s="60">
        <v>0</v>
      </c>
      <c r="AB28" s="60">
        <v>0</v>
      </c>
      <c r="AC28" s="60">
        <v>0</v>
      </c>
      <c r="AD28" s="60">
        <v>0</v>
      </c>
      <c r="AE28" s="60">
        <v>0</v>
      </c>
      <c r="AF28" s="33">
        <v>0</v>
      </c>
      <c r="AG28" s="33">
        <v>0</v>
      </c>
      <c r="AH28" s="33">
        <v>0</v>
      </c>
      <c r="AI28" s="33">
        <v>0</v>
      </c>
      <c r="AJ28" s="33">
        <v>0</v>
      </c>
      <c r="AK28" s="33">
        <v>0</v>
      </c>
      <c r="AL28" s="33">
        <v>0</v>
      </c>
      <c r="AM28" s="33">
        <v>0</v>
      </c>
      <c r="AN28" s="33">
        <v>0</v>
      </c>
      <c r="AO28" s="33">
        <v>0</v>
      </c>
      <c r="AP28" s="33">
        <v>0</v>
      </c>
    </row>
    <row r="29" spans="1:42" ht="89.25">
      <c r="A29" s="14"/>
      <c r="B29" s="14"/>
      <c r="C29" s="14" t="s">
        <v>2067</v>
      </c>
      <c r="D29" s="14" t="s">
        <v>61</v>
      </c>
      <c r="E29" s="111" t="str">
        <f>VLOOKUP(C29,KELAS!$A$2:$D$643,4,0)</f>
        <v>5 MADINAH</v>
      </c>
      <c r="F29" s="14"/>
      <c r="G29" s="14"/>
      <c r="H29" s="16" t="s">
        <v>225</v>
      </c>
      <c r="I29" s="36">
        <v>1400000</v>
      </c>
      <c r="J29" s="87">
        <v>45962</v>
      </c>
      <c r="K29" s="88">
        <v>0.50656250000000003</v>
      </c>
      <c r="L29" s="38">
        <f t="shared" si="0"/>
        <v>0</v>
      </c>
      <c r="M29" s="17">
        <f t="shared" si="1"/>
        <v>-1400000</v>
      </c>
      <c r="N29" s="33">
        <v>0</v>
      </c>
      <c r="O29" s="60">
        <v>0</v>
      </c>
      <c r="P29" s="33">
        <v>0</v>
      </c>
      <c r="Q29" s="33">
        <v>0</v>
      </c>
      <c r="R29" s="33">
        <v>0</v>
      </c>
      <c r="S29" s="33">
        <v>0</v>
      </c>
      <c r="T29" s="33">
        <v>0</v>
      </c>
      <c r="U29" s="33">
        <v>0</v>
      </c>
      <c r="V29" s="60">
        <v>0</v>
      </c>
      <c r="W29" s="33">
        <v>0</v>
      </c>
      <c r="X29" s="60">
        <v>0</v>
      </c>
      <c r="Y29" s="60">
        <v>0</v>
      </c>
      <c r="Z29" s="33"/>
      <c r="AA29" s="60">
        <v>0</v>
      </c>
      <c r="AB29" s="60">
        <v>0</v>
      </c>
      <c r="AC29" s="60">
        <v>0</v>
      </c>
      <c r="AD29" s="60">
        <v>0</v>
      </c>
      <c r="AE29" s="60">
        <v>0</v>
      </c>
      <c r="AF29" s="33">
        <v>0</v>
      </c>
      <c r="AG29" s="33">
        <v>0</v>
      </c>
      <c r="AH29" s="33">
        <v>0</v>
      </c>
      <c r="AI29" s="33">
        <v>0</v>
      </c>
      <c r="AJ29" s="33">
        <v>0</v>
      </c>
      <c r="AK29" s="33">
        <v>0</v>
      </c>
      <c r="AL29" s="33">
        <v>0</v>
      </c>
      <c r="AM29" s="33">
        <v>0</v>
      </c>
      <c r="AN29" s="33">
        <v>0</v>
      </c>
      <c r="AO29" s="33">
        <v>0</v>
      </c>
      <c r="AP29" s="33">
        <v>0</v>
      </c>
    </row>
    <row r="30" spans="1:42" ht="89.25">
      <c r="A30" s="14"/>
      <c r="B30" s="14"/>
      <c r="C30" s="14" t="s">
        <v>1118</v>
      </c>
      <c r="D30" s="14" t="s">
        <v>61</v>
      </c>
      <c r="E30" s="111" t="str">
        <f>VLOOKUP(C30,KELAS!$A$2:$D$643,4,0)</f>
        <v>1 MEKKAH</v>
      </c>
      <c r="F30" s="14"/>
      <c r="G30" s="14"/>
      <c r="H30" s="16" t="s">
        <v>227</v>
      </c>
      <c r="I30" s="36">
        <v>1617000</v>
      </c>
      <c r="J30" s="87">
        <v>45962</v>
      </c>
      <c r="K30" s="88">
        <v>0.51880787037037035</v>
      </c>
      <c r="L30" s="38">
        <f t="shared" si="0"/>
        <v>0</v>
      </c>
      <c r="M30" s="17">
        <f t="shared" si="1"/>
        <v>-1617000</v>
      </c>
      <c r="N30" s="33">
        <v>0</v>
      </c>
      <c r="O30" s="60">
        <v>0</v>
      </c>
      <c r="P30" s="33">
        <v>0</v>
      </c>
      <c r="Q30" s="33">
        <v>0</v>
      </c>
      <c r="R30" s="33">
        <v>0</v>
      </c>
      <c r="S30" s="33">
        <v>0</v>
      </c>
      <c r="T30" s="33">
        <v>0</v>
      </c>
      <c r="U30" s="33">
        <v>0</v>
      </c>
      <c r="V30" s="60">
        <v>0</v>
      </c>
      <c r="W30" s="33">
        <v>0</v>
      </c>
      <c r="X30" s="60">
        <v>0</v>
      </c>
      <c r="Y30" s="60">
        <v>0</v>
      </c>
      <c r="Z30" s="33"/>
      <c r="AA30" s="60">
        <v>0</v>
      </c>
      <c r="AB30" s="60">
        <v>0</v>
      </c>
      <c r="AC30" s="60">
        <v>0</v>
      </c>
      <c r="AD30" s="60">
        <v>0</v>
      </c>
      <c r="AE30" s="60">
        <v>0</v>
      </c>
      <c r="AF30" s="33">
        <v>0</v>
      </c>
      <c r="AG30" s="33">
        <v>0</v>
      </c>
      <c r="AH30" s="33">
        <v>0</v>
      </c>
      <c r="AI30" s="33">
        <v>0</v>
      </c>
      <c r="AJ30" s="33">
        <v>0</v>
      </c>
      <c r="AK30" s="33">
        <v>0</v>
      </c>
      <c r="AL30" s="33">
        <v>0</v>
      </c>
      <c r="AM30" s="33">
        <v>0</v>
      </c>
      <c r="AN30" s="33">
        <v>0</v>
      </c>
      <c r="AO30" s="33">
        <v>0</v>
      </c>
      <c r="AP30" s="33">
        <v>0</v>
      </c>
    </row>
    <row r="31" spans="1:42" ht="89.25">
      <c r="A31" s="14"/>
      <c r="B31" s="14"/>
      <c r="C31" s="14" t="s">
        <v>1259</v>
      </c>
      <c r="D31" s="14" t="s">
        <v>61</v>
      </c>
      <c r="E31" s="111" t="str">
        <f>VLOOKUP(C31,KELAS!$A$2:$D$643,4,0)</f>
        <v>1 MINA</v>
      </c>
      <c r="F31" s="14"/>
      <c r="G31" s="14"/>
      <c r="H31" s="16" t="s">
        <v>229</v>
      </c>
      <c r="I31" s="36">
        <v>1617000</v>
      </c>
      <c r="J31" s="87">
        <v>45962</v>
      </c>
      <c r="K31" s="88">
        <v>0.52983796296296293</v>
      </c>
      <c r="L31" s="38">
        <f t="shared" si="0"/>
        <v>0</v>
      </c>
      <c r="M31" s="17">
        <f t="shared" si="1"/>
        <v>-1617000</v>
      </c>
      <c r="N31" s="33">
        <v>0</v>
      </c>
      <c r="O31" s="60">
        <v>0</v>
      </c>
      <c r="P31" s="33">
        <v>0</v>
      </c>
      <c r="Q31" s="33">
        <v>0</v>
      </c>
      <c r="R31" s="33">
        <v>0</v>
      </c>
      <c r="S31" s="33">
        <v>0</v>
      </c>
      <c r="T31" s="33">
        <v>0</v>
      </c>
      <c r="U31" s="33">
        <v>0</v>
      </c>
      <c r="V31" s="60">
        <v>0</v>
      </c>
      <c r="W31" s="33">
        <v>0</v>
      </c>
      <c r="X31" s="60">
        <v>0</v>
      </c>
      <c r="Y31" s="60">
        <v>0</v>
      </c>
      <c r="Z31" s="33"/>
      <c r="AA31" s="60">
        <v>0</v>
      </c>
      <c r="AB31" s="60">
        <v>0</v>
      </c>
      <c r="AC31" s="60">
        <v>0</v>
      </c>
      <c r="AD31" s="60">
        <v>0</v>
      </c>
      <c r="AE31" s="60">
        <v>0</v>
      </c>
      <c r="AF31" s="33">
        <v>0</v>
      </c>
      <c r="AG31" s="33">
        <v>0</v>
      </c>
      <c r="AH31" s="33">
        <v>0</v>
      </c>
      <c r="AI31" s="33">
        <v>0</v>
      </c>
      <c r="AJ31" s="33">
        <v>0</v>
      </c>
      <c r="AK31" s="33">
        <v>0</v>
      </c>
      <c r="AL31" s="33">
        <v>0</v>
      </c>
      <c r="AM31" s="33">
        <v>0</v>
      </c>
      <c r="AN31" s="33">
        <v>0</v>
      </c>
      <c r="AO31" s="33">
        <v>0</v>
      </c>
      <c r="AP31" s="33">
        <v>0</v>
      </c>
    </row>
    <row r="32" spans="1:42" ht="89.25">
      <c r="A32" s="14"/>
      <c r="B32" s="14"/>
      <c r="C32" s="14" t="s">
        <v>1405</v>
      </c>
      <c r="D32" s="14" t="s">
        <v>61</v>
      </c>
      <c r="E32" s="111" t="str">
        <f>VLOOKUP(C32,KELAS!$A$2:$D$643,4,0)</f>
        <v>2 MEKKAH</v>
      </c>
      <c r="F32" s="14"/>
      <c r="G32" s="14"/>
      <c r="H32" s="16" t="s">
        <v>231</v>
      </c>
      <c r="I32" s="36">
        <v>1540000</v>
      </c>
      <c r="J32" s="87">
        <v>45962</v>
      </c>
      <c r="K32" s="88">
        <v>0.56562500000000004</v>
      </c>
      <c r="L32" s="38">
        <f t="shared" si="0"/>
        <v>0</v>
      </c>
      <c r="M32" s="17">
        <f t="shared" si="1"/>
        <v>-1540000</v>
      </c>
      <c r="N32" s="33">
        <v>0</v>
      </c>
      <c r="O32" s="60">
        <v>0</v>
      </c>
      <c r="P32" s="33">
        <v>0</v>
      </c>
      <c r="Q32" s="33">
        <v>0</v>
      </c>
      <c r="R32" s="33">
        <v>0</v>
      </c>
      <c r="S32" s="33">
        <v>0</v>
      </c>
      <c r="T32" s="33">
        <v>0</v>
      </c>
      <c r="U32" s="33">
        <v>0</v>
      </c>
      <c r="V32" s="60">
        <v>0</v>
      </c>
      <c r="W32" s="33">
        <v>0</v>
      </c>
      <c r="X32" s="60">
        <v>0</v>
      </c>
      <c r="Y32" s="60">
        <v>0</v>
      </c>
      <c r="Z32" s="33"/>
      <c r="AA32" s="60">
        <v>0</v>
      </c>
      <c r="AB32" s="60">
        <v>0</v>
      </c>
      <c r="AC32" s="60">
        <v>0</v>
      </c>
      <c r="AD32" s="60">
        <v>0</v>
      </c>
      <c r="AE32" s="60">
        <v>0</v>
      </c>
      <c r="AF32" s="33">
        <v>0</v>
      </c>
      <c r="AG32" s="33">
        <v>0</v>
      </c>
      <c r="AH32" s="33">
        <v>0</v>
      </c>
      <c r="AI32" s="33">
        <v>0</v>
      </c>
      <c r="AJ32" s="33">
        <v>0</v>
      </c>
      <c r="AK32" s="33">
        <v>0</v>
      </c>
      <c r="AL32" s="33">
        <v>0</v>
      </c>
      <c r="AM32" s="33">
        <v>0</v>
      </c>
      <c r="AN32" s="33">
        <v>0</v>
      </c>
      <c r="AO32" s="33">
        <v>0</v>
      </c>
      <c r="AP32" s="33">
        <v>0</v>
      </c>
    </row>
    <row r="33" spans="1:42" ht="89.25">
      <c r="A33" s="14"/>
      <c r="B33" s="14"/>
      <c r="C33" s="14" t="s">
        <v>1488</v>
      </c>
      <c r="D33" s="14" t="s">
        <v>61</v>
      </c>
      <c r="E33" s="111" t="str">
        <f>VLOOKUP(C33,KELAS!$A$2:$D$643,4,0)</f>
        <v>2 MINA</v>
      </c>
      <c r="F33" s="14"/>
      <c r="G33" s="14"/>
      <c r="H33" s="16" t="s">
        <v>138</v>
      </c>
      <c r="I33" s="36">
        <v>1540000</v>
      </c>
      <c r="J33" s="87">
        <v>45962</v>
      </c>
      <c r="K33" s="88">
        <v>0.63596064814814812</v>
      </c>
      <c r="L33" s="38">
        <f t="shared" si="0"/>
        <v>0</v>
      </c>
      <c r="M33" s="17">
        <f t="shared" si="1"/>
        <v>-1540000</v>
      </c>
      <c r="N33" s="33">
        <v>0</v>
      </c>
      <c r="O33" s="60">
        <v>0</v>
      </c>
      <c r="P33" s="33">
        <v>0</v>
      </c>
      <c r="Q33" s="33">
        <v>0</v>
      </c>
      <c r="R33" s="33">
        <v>0</v>
      </c>
      <c r="S33" s="33">
        <v>0</v>
      </c>
      <c r="T33" s="33">
        <v>0</v>
      </c>
      <c r="U33" s="33">
        <v>0</v>
      </c>
      <c r="V33" s="60">
        <v>0</v>
      </c>
      <c r="W33" s="33">
        <v>0</v>
      </c>
      <c r="X33" s="60">
        <v>0</v>
      </c>
      <c r="Y33" s="60">
        <v>0</v>
      </c>
      <c r="Z33" s="33"/>
      <c r="AA33" s="60">
        <v>0</v>
      </c>
      <c r="AB33" s="60">
        <v>0</v>
      </c>
      <c r="AC33" s="60">
        <v>0</v>
      </c>
      <c r="AD33" s="60">
        <v>0</v>
      </c>
      <c r="AE33" s="60">
        <v>0</v>
      </c>
      <c r="AF33" s="33">
        <v>0</v>
      </c>
      <c r="AG33" s="33">
        <v>0</v>
      </c>
      <c r="AH33" s="33">
        <v>0</v>
      </c>
      <c r="AI33" s="33">
        <v>0</v>
      </c>
      <c r="AJ33" s="33">
        <v>0</v>
      </c>
      <c r="AK33" s="33">
        <v>0</v>
      </c>
      <c r="AL33" s="33">
        <v>0</v>
      </c>
      <c r="AM33" s="33">
        <v>0</v>
      </c>
      <c r="AN33" s="33">
        <v>0</v>
      </c>
      <c r="AO33" s="33">
        <v>0</v>
      </c>
      <c r="AP33" s="33">
        <v>0</v>
      </c>
    </row>
    <row r="34" spans="1:42" ht="76.5">
      <c r="A34" s="14"/>
      <c r="B34" s="14"/>
      <c r="C34" s="14" t="s">
        <v>2110</v>
      </c>
      <c r="D34" s="14" t="s">
        <v>61</v>
      </c>
      <c r="E34" s="111" t="str">
        <f>VLOOKUP(C34,KELAS!$A$2:$D$643,4,0)</f>
        <v>5 MINA</v>
      </c>
      <c r="F34" s="14"/>
      <c r="G34" s="14"/>
      <c r="H34" s="16" t="s">
        <v>139</v>
      </c>
      <c r="I34" s="36">
        <v>1400000</v>
      </c>
      <c r="J34" s="87">
        <v>45962</v>
      </c>
      <c r="K34" s="88">
        <v>0.63641203703703708</v>
      </c>
      <c r="L34" s="38">
        <f t="shared" si="0"/>
        <v>0</v>
      </c>
      <c r="M34" s="17">
        <f t="shared" si="1"/>
        <v>-1400000</v>
      </c>
      <c r="N34" s="33">
        <v>0</v>
      </c>
      <c r="O34" s="60">
        <v>0</v>
      </c>
      <c r="P34" s="33">
        <v>0</v>
      </c>
      <c r="Q34" s="33">
        <v>0</v>
      </c>
      <c r="R34" s="33">
        <v>0</v>
      </c>
      <c r="S34" s="33">
        <v>0</v>
      </c>
      <c r="T34" s="33">
        <v>0</v>
      </c>
      <c r="U34" s="33">
        <v>0</v>
      </c>
      <c r="V34" s="60">
        <v>0</v>
      </c>
      <c r="W34" s="33">
        <v>0</v>
      </c>
      <c r="X34" s="60">
        <v>0</v>
      </c>
      <c r="Y34" s="60">
        <v>0</v>
      </c>
      <c r="Z34" s="33"/>
      <c r="AA34" s="60">
        <v>0</v>
      </c>
      <c r="AB34" s="60">
        <v>0</v>
      </c>
      <c r="AC34" s="60">
        <v>0</v>
      </c>
      <c r="AD34" s="60">
        <v>0</v>
      </c>
      <c r="AE34" s="60">
        <v>0</v>
      </c>
      <c r="AF34" s="33">
        <v>0</v>
      </c>
      <c r="AG34" s="33">
        <v>0</v>
      </c>
      <c r="AH34" s="33">
        <v>0</v>
      </c>
      <c r="AI34" s="33">
        <v>0</v>
      </c>
      <c r="AJ34" s="33">
        <v>0</v>
      </c>
      <c r="AK34" s="33">
        <v>0</v>
      </c>
      <c r="AL34" s="33">
        <v>0</v>
      </c>
      <c r="AM34" s="33">
        <v>0</v>
      </c>
      <c r="AN34" s="33">
        <v>0</v>
      </c>
      <c r="AO34" s="33">
        <v>0</v>
      </c>
      <c r="AP34" s="33">
        <v>0</v>
      </c>
    </row>
    <row r="35" spans="1:42" ht="76.5">
      <c r="A35" s="14"/>
      <c r="B35" s="14"/>
      <c r="C35" s="14" t="s">
        <v>2093</v>
      </c>
      <c r="D35" s="14" t="s">
        <v>61</v>
      </c>
      <c r="E35" s="111" t="str">
        <f>VLOOKUP(C35,KELAS!$A$2:$D$643,4,0)</f>
        <v>5 MADINAH</v>
      </c>
      <c r="F35" s="14"/>
      <c r="G35" s="14"/>
      <c r="H35" s="16" t="s">
        <v>135</v>
      </c>
      <c r="I35" s="36">
        <v>1400000</v>
      </c>
      <c r="J35" s="87">
        <v>45962</v>
      </c>
      <c r="K35" s="88">
        <v>0.68251157407407403</v>
      </c>
      <c r="L35" s="38">
        <f t="shared" si="0"/>
        <v>0</v>
      </c>
      <c r="M35" s="17">
        <f t="shared" si="1"/>
        <v>-1400000</v>
      </c>
      <c r="N35" s="33">
        <v>0</v>
      </c>
      <c r="O35" s="60">
        <v>0</v>
      </c>
      <c r="P35" s="33">
        <v>0</v>
      </c>
      <c r="Q35" s="33">
        <v>0</v>
      </c>
      <c r="R35" s="33">
        <v>0</v>
      </c>
      <c r="S35" s="33">
        <v>0</v>
      </c>
      <c r="T35" s="33">
        <v>0</v>
      </c>
      <c r="U35" s="33">
        <v>0</v>
      </c>
      <c r="V35" s="60">
        <v>0</v>
      </c>
      <c r="W35" s="33">
        <v>0</v>
      </c>
      <c r="X35" s="60">
        <v>0</v>
      </c>
      <c r="Y35" s="60">
        <v>0</v>
      </c>
      <c r="Z35" s="33"/>
      <c r="AA35" s="60">
        <v>0</v>
      </c>
      <c r="AB35" s="60">
        <v>0</v>
      </c>
      <c r="AC35" s="60">
        <v>0</v>
      </c>
      <c r="AD35" s="60">
        <v>0</v>
      </c>
      <c r="AE35" s="60">
        <v>0</v>
      </c>
      <c r="AF35" s="33">
        <v>0</v>
      </c>
      <c r="AG35" s="33">
        <v>0</v>
      </c>
      <c r="AH35" s="33">
        <v>0</v>
      </c>
      <c r="AI35" s="33">
        <v>0</v>
      </c>
      <c r="AJ35" s="33">
        <v>0</v>
      </c>
      <c r="AK35" s="33">
        <v>0</v>
      </c>
      <c r="AL35" s="33">
        <v>0</v>
      </c>
      <c r="AM35" s="33">
        <v>0</v>
      </c>
      <c r="AN35" s="33">
        <v>0</v>
      </c>
      <c r="AO35" s="33">
        <v>0</v>
      </c>
      <c r="AP35" s="33">
        <v>0</v>
      </c>
    </row>
    <row r="36" spans="1:42" ht="102">
      <c r="A36" s="14"/>
      <c r="B36" s="14"/>
      <c r="C36" s="14" t="s">
        <v>2146</v>
      </c>
      <c r="D36" s="14" t="s">
        <v>61</v>
      </c>
      <c r="E36" s="111" t="str">
        <f>VLOOKUP(C36,KELAS!$A$2:$D$643,4,0)</f>
        <v>5 MINA</v>
      </c>
      <c r="F36" s="14"/>
      <c r="G36" s="14"/>
      <c r="H36" s="16" t="s">
        <v>236</v>
      </c>
      <c r="I36" s="36">
        <v>1400000</v>
      </c>
      <c r="J36" s="87">
        <v>45962</v>
      </c>
      <c r="K36" s="88">
        <v>0.69818287037037041</v>
      </c>
      <c r="L36" s="38">
        <f t="shared" si="0"/>
        <v>0</v>
      </c>
      <c r="M36" s="17">
        <f t="shared" si="1"/>
        <v>-1400000</v>
      </c>
      <c r="N36" s="33">
        <v>0</v>
      </c>
      <c r="O36" s="60">
        <v>0</v>
      </c>
      <c r="P36" s="33">
        <v>0</v>
      </c>
      <c r="Q36" s="33">
        <v>0</v>
      </c>
      <c r="R36" s="33">
        <v>0</v>
      </c>
      <c r="S36" s="33">
        <v>0</v>
      </c>
      <c r="T36" s="33">
        <v>0</v>
      </c>
      <c r="U36" s="33">
        <v>0</v>
      </c>
      <c r="V36" s="60">
        <v>0</v>
      </c>
      <c r="W36" s="33">
        <v>0</v>
      </c>
      <c r="X36" s="60">
        <v>0</v>
      </c>
      <c r="Y36" s="60">
        <v>0</v>
      </c>
      <c r="Z36" s="33"/>
      <c r="AA36" s="60">
        <v>0</v>
      </c>
      <c r="AB36" s="60">
        <v>0</v>
      </c>
      <c r="AC36" s="60">
        <v>0</v>
      </c>
      <c r="AD36" s="60">
        <v>0</v>
      </c>
      <c r="AE36" s="60">
        <v>0</v>
      </c>
      <c r="AF36" s="33">
        <v>0</v>
      </c>
      <c r="AG36" s="33">
        <v>0</v>
      </c>
      <c r="AH36" s="33">
        <v>0</v>
      </c>
      <c r="AI36" s="33">
        <v>0</v>
      </c>
      <c r="AJ36" s="33">
        <v>0</v>
      </c>
      <c r="AK36" s="33">
        <v>0</v>
      </c>
      <c r="AL36" s="33">
        <v>0</v>
      </c>
      <c r="AM36" s="33">
        <v>0</v>
      </c>
      <c r="AN36" s="33">
        <v>0</v>
      </c>
      <c r="AO36" s="33">
        <v>0</v>
      </c>
      <c r="AP36" s="33">
        <v>0</v>
      </c>
    </row>
    <row r="37" spans="1:42" ht="102">
      <c r="A37" s="14"/>
      <c r="B37" s="14"/>
      <c r="C37" s="14" t="s">
        <v>2134</v>
      </c>
      <c r="D37" s="14" t="s">
        <v>61</v>
      </c>
      <c r="E37" s="111" t="str">
        <f>VLOOKUP(C37,KELAS!$A$2:$D$643,4,0)</f>
        <v>5 MINA</v>
      </c>
      <c r="F37" s="14"/>
      <c r="G37" s="14"/>
      <c r="H37" s="16" t="s">
        <v>238</v>
      </c>
      <c r="I37" s="36">
        <v>1450000</v>
      </c>
      <c r="J37" s="87">
        <v>45962</v>
      </c>
      <c r="K37" s="88">
        <v>0.70828703703703699</v>
      </c>
      <c r="L37" s="38">
        <f t="shared" si="0"/>
        <v>0</v>
      </c>
      <c r="M37" s="17">
        <f t="shared" si="1"/>
        <v>-1450000</v>
      </c>
      <c r="N37" s="33">
        <v>0</v>
      </c>
      <c r="O37" s="60">
        <v>0</v>
      </c>
      <c r="P37" s="33">
        <v>0</v>
      </c>
      <c r="Q37" s="33">
        <v>0</v>
      </c>
      <c r="R37" s="33">
        <v>0</v>
      </c>
      <c r="S37" s="33">
        <v>0</v>
      </c>
      <c r="T37" s="33">
        <v>0</v>
      </c>
      <c r="U37" s="33">
        <v>0</v>
      </c>
      <c r="V37" s="60">
        <v>0</v>
      </c>
      <c r="W37" s="33">
        <v>0</v>
      </c>
      <c r="X37" s="60">
        <v>0</v>
      </c>
      <c r="Y37" s="60">
        <v>0</v>
      </c>
      <c r="Z37" s="33"/>
      <c r="AA37" s="60">
        <v>0</v>
      </c>
      <c r="AB37" s="60">
        <v>0</v>
      </c>
      <c r="AC37" s="60">
        <v>0</v>
      </c>
      <c r="AD37" s="60">
        <v>0</v>
      </c>
      <c r="AE37" s="60">
        <v>0</v>
      </c>
      <c r="AF37" s="33">
        <v>0</v>
      </c>
      <c r="AG37" s="33">
        <v>0</v>
      </c>
      <c r="AH37" s="33">
        <v>0</v>
      </c>
      <c r="AI37" s="33">
        <v>0</v>
      </c>
      <c r="AJ37" s="33">
        <v>0</v>
      </c>
      <c r="AK37" s="33">
        <v>0</v>
      </c>
      <c r="AL37" s="33">
        <v>0</v>
      </c>
      <c r="AM37" s="33">
        <v>0</v>
      </c>
      <c r="AN37" s="33">
        <v>0</v>
      </c>
      <c r="AO37" s="33">
        <v>0</v>
      </c>
      <c r="AP37" s="33">
        <v>0</v>
      </c>
    </row>
    <row r="38" spans="1:42" ht="102">
      <c r="A38" s="14"/>
      <c r="B38" s="14"/>
      <c r="C38" s="14" t="s">
        <v>1799</v>
      </c>
      <c r="D38" s="14" t="s">
        <v>61</v>
      </c>
      <c r="E38" s="111" t="str">
        <f>VLOOKUP(C38,KELAS!$A$2:$D$643,4,0)</f>
        <v>3 MARWAH</v>
      </c>
      <c r="F38" s="14"/>
      <c r="G38" s="14"/>
      <c r="H38" s="16" t="s">
        <v>240</v>
      </c>
      <c r="I38" s="36">
        <v>1400000</v>
      </c>
      <c r="J38" s="87">
        <v>45962</v>
      </c>
      <c r="K38" s="88">
        <v>0.7233680555555555</v>
      </c>
      <c r="L38" s="38">
        <f t="shared" ref="L38:L69" si="2">SUM(N38:AP38)</f>
        <v>0</v>
      </c>
      <c r="M38" s="17">
        <f t="shared" si="1"/>
        <v>-1400000</v>
      </c>
      <c r="N38" s="33">
        <v>0</v>
      </c>
      <c r="O38" s="60">
        <v>0</v>
      </c>
      <c r="P38" s="33">
        <v>0</v>
      </c>
      <c r="Q38" s="33">
        <v>0</v>
      </c>
      <c r="R38" s="33">
        <v>0</v>
      </c>
      <c r="S38" s="33">
        <v>0</v>
      </c>
      <c r="T38" s="33">
        <v>0</v>
      </c>
      <c r="U38" s="33">
        <v>0</v>
      </c>
      <c r="V38" s="60">
        <v>0</v>
      </c>
      <c r="W38" s="33">
        <v>0</v>
      </c>
      <c r="X38" s="60">
        <v>0</v>
      </c>
      <c r="Y38" s="60">
        <v>0</v>
      </c>
      <c r="Z38" s="33"/>
      <c r="AA38" s="60">
        <v>0</v>
      </c>
      <c r="AB38" s="60">
        <v>0</v>
      </c>
      <c r="AC38" s="60">
        <v>0</v>
      </c>
      <c r="AD38" s="60">
        <v>0</v>
      </c>
      <c r="AE38" s="60">
        <v>0</v>
      </c>
      <c r="AF38" s="33">
        <v>0</v>
      </c>
      <c r="AG38" s="33">
        <v>0</v>
      </c>
      <c r="AH38" s="33">
        <v>0</v>
      </c>
      <c r="AI38" s="33">
        <v>0</v>
      </c>
      <c r="AJ38" s="33">
        <v>0</v>
      </c>
      <c r="AK38" s="33">
        <v>0</v>
      </c>
      <c r="AL38" s="33">
        <v>0</v>
      </c>
      <c r="AM38" s="33">
        <v>0</v>
      </c>
      <c r="AN38" s="33">
        <v>0</v>
      </c>
      <c r="AO38" s="33">
        <v>0</v>
      </c>
      <c r="AP38" s="33">
        <v>0</v>
      </c>
    </row>
    <row r="39" spans="1:42" ht="102">
      <c r="A39" s="14"/>
      <c r="B39" s="14"/>
      <c r="C39" s="14" t="s">
        <v>1718</v>
      </c>
      <c r="D39" s="14" t="s">
        <v>61</v>
      </c>
      <c r="E39" s="111" t="str">
        <f>VLOOKUP(C39,KELAS!$A$2:$D$643,4,0)</f>
        <v>3 MINA</v>
      </c>
      <c r="F39" s="14"/>
      <c r="G39" s="14"/>
      <c r="H39" s="16" t="s">
        <v>73</v>
      </c>
      <c r="I39" s="36">
        <v>1450000</v>
      </c>
      <c r="J39" s="87">
        <v>45962</v>
      </c>
      <c r="K39" s="88">
        <v>0.72532407407407407</v>
      </c>
      <c r="L39" s="38">
        <f t="shared" si="2"/>
        <v>0</v>
      </c>
      <c r="M39" s="17">
        <f t="shared" si="1"/>
        <v>-1450000</v>
      </c>
      <c r="N39" s="33">
        <v>0</v>
      </c>
      <c r="O39" s="60">
        <v>0</v>
      </c>
      <c r="P39" s="33">
        <v>0</v>
      </c>
      <c r="Q39" s="33">
        <v>0</v>
      </c>
      <c r="R39" s="33">
        <v>0</v>
      </c>
      <c r="S39" s="33">
        <v>0</v>
      </c>
      <c r="T39" s="33">
        <v>0</v>
      </c>
      <c r="U39" s="33">
        <v>0</v>
      </c>
      <c r="V39" s="60">
        <v>0</v>
      </c>
      <c r="W39" s="33">
        <v>0</v>
      </c>
      <c r="X39" s="60">
        <v>0</v>
      </c>
      <c r="Y39" s="60">
        <v>0</v>
      </c>
      <c r="Z39" s="33"/>
      <c r="AA39" s="60">
        <v>0</v>
      </c>
      <c r="AB39" s="60">
        <v>0</v>
      </c>
      <c r="AC39" s="60">
        <v>0</v>
      </c>
      <c r="AD39" s="60">
        <v>0</v>
      </c>
      <c r="AE39" s="60">
        <v>0</v>
      </c>
      <c r="AF39" s="33">
        <v>0</v>
      </c>
      <c r="AG39" s="33">
        <v>0</v>
      </c>
      <c r="AH39" s="33">
        <v>0</v>
      </c>
      <c r="AI39" s="33">
        <v>0</v>
      </c>
      <c r="AJ39" s="33">
        <v>0</v>
      </c>
      <c r="AK39" s="33">
        <v>0</v>
      </c>
      <c r="AL39" s="33">
        <v>0</v>
      </c>
      <c r="AM39" s="33">
        <v>0</v>
      </c>
      <c r="AN39" s="33">
        <v>0</v>
      </c>
      <c r="AO39" s="33">
        <v>0</v>
      </c>
      <c r="AP39" s="33">
        <v>0</v>
      </c>
    </row>
    <row r="40" spans="1:42" ht="102">
      <c r="A40" s="14"/>
      <c r="B40" s="14"/>
      <c r="C40" s="14" t="s">
        <v>1437</v>
      </c>
      <c r="D40" s="14" t="s">
        <v>61</v>
      </c>
      <c r="E40" s="111" t="str">
        <f>VLOOKUP(C40,KELAS!$A$2:$D$643,4,0)</f>
        <v>2 MADINAH</v>
      </c>
      <c r="F40" s="14"/>
      <c r="G40" s="14"/>
      <c r="H40" s="16" t="s">
        <v>72</v>
      </c>
      <c r="I40" s="36">
        <v>1540000</v>
      </c>
      <c r="J40" s="87">
        <v>45962</v>
      </c>
      <c r="K40" s="88">
        <v>0.72638888888888886</v>
      </c>
      <c r="L40" s="38">
        <f t="shared" si="2"/>
        <v>0</v>
      </c>
      <c r="M40" s="17">
        <f t="shared" si="1"/>
        <v>-1540000</v>
      </c>
      <c r="N40" s="33">
        <v>0</v>
      </c>
      <c r="O40" s="60">
        <v>0</v>
      </c>
      <c r="P40" s="33">
        <v>0</v>
      </c>
      <c r="Q40" s="33">
        <v>0</v>
      </c>
      <c r="R40" s="33">
        <v>0</v>
      </c>
      <c r="S40" s="33">
        <v>0</v>
      </c>
      <c r="T40" s="33">
        <v>0</v>
      </c>
      <c r="U40" s="33">
        <v>0</v>
      </c>
      <c r="V40" s="60">
        <v>0</v>
      </c>
      <c r="W40" s="33">
        <v>0</v>
      </c>
      <c r="X40" s="60">
        <v>0</v>
      </c>
      <c r="Y40" s="60">
        <v>0</v>
      </c>
      <c r="Z40" s="33"/>
      <c r="AA40" s="60">
        <v>0</v>
      </c>
      <c r="AB40" s="60">
        <v>0</v>
      </c>
      <c r="AC40" s="60">
        <v>0</v>
      </c>
      <c r="AD40" s="60">
        <v>0</v>
      </c>
      <c r="AE40" s="60">
        <v>0</v>
      </c>
      <c r="AF40" s="33">
        <v>0</v>
      </c>
      <c r="AG40" s="33">
        <v>0</v>
      </c>
      <c r="AH40" s="33">
        <v>0</v>
      </c>
      <c r="AI40" s="33">
        <v>0</v>
      </c>
      <c r="AJ40" s="33">
        <v>0</v>
      </c>
      <c r="AK40" s="33">
        <v>0</v>
      </c>
      <c r="AL40" s="33">
        <v>0</v>
      </c>
      <c r="AM40" s="33">
        <v>0</v>
      </c>
      <c r="AN40" s="33">
        <v>0</v>
      </c>
      <c r="AO40" s="33">
        <v>0</v>
      </c>
      <c r="AP40" s="33">
        <v>0</v>
      </c>
    </row>
    <row r="41" spans="1:42" ht="102">
      <c r="A41" s="14"/>
      <c r="B41" s="14"/>
      <c r="C41" s="14" t="s">
        <v>2041</v>
      </c>
      <c r="D41" s="14" t="s">
        <v>61</v>
      </c>
      <c r="E41" s="111" t="str">
        <f>VLOOKUP(C41,KELAS!$A$2:$D$643,4,0)</f>
        <v>5 MEKKAH</v>
      </c>
      <c r="F41" s="14"/>
      <c r="G41" s="14"/>
      <c r="H41" s="16" t="s">
        <v>244</v>
      </c>
      <c r="I41" s="36">
        <v>1400000</v>
      </c>
      <c r="J41" s="87">
        <v>45962</v>
      </c>
      <c r="K41" s="88">
        <v>0.72863425925925929</v>
      </c>
      <c r="L41" s="38">
        <f t="shared" si="2"/>
        <v>0</v>
      </c>
      <c r="M41" s="17">
        <f t="shared" si="1"/>
        <v>-1400000</v>
      </c>
      <c r="N41" s="33">
        <v>0</v>
      </c>
      <c r="O41" s="60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60">
        <v>0</v>
      </c>
      <c r="W41" s="33">
        <v>0</v>
      </c>
      <c r="X41" s="60">
        <v>0</v>
      </c>
      <c r="Y41" s="60">
        <v>0</v>
      </c>
      <c r="Z41" s="33"/>
      <c r="AA41" s="60">
        <v>0</v>
      </c>
      <c r="AB41" s="60">
        <v>0</v>
      </c>
      <c r="AC41" s="60">
        <v>0</v>
      </c>
      <c r="AD41" s="60">
        <v>0</v>
      </c>
      <c r="AE41" s="60">
        <v>0</v>
      </c>
      <c r="AF41" s="33">
        <v>0</v>
      </c>
      <c r="AG41" s="33">
        <v>0</v>
      </c>
      <c r="AH41" s="33">
        <v>0</v>
      </c>
      <c r="AI41" s="33">
        <v>0</v>
      </c>
      <c r="AJ41" s="33">
        <v>0</v>
      </c>
      <c r="AK41" s="33">
        <v>0</v>
      </c>
      <c r="AL41" s="33">
        <v>0</v>
      </c>
      <c r="AM41" s="33">
        <v>0</v>
      </c>
      <c r="AN41" s="33">
        <v>0</v>
      </c>
      <c r="AO41" s="33">
        <v>0</v>
      </c>
      <c r="AP41" s="33">
        <v>0</v>
      </c>
    </row>
    <row r="42" spans="1:42" ht="76.5">
      <c r="A42" s="14"/>
      <c r="B42" s="14"/>
      <c r="C42" s="14" t="s">
        <v>1184</v>
      </c>
      <c r="D42" s="14" t="s">
        <v>61</v>
      </c>
      <c r="E42" s="111" t="str">
        <f>VLOOKUP(C42,KELAS!$A$2:$D$643,4,0)</f>
        <v>1 MADINAH</v>
      </c>
      <c r="F42" s="14"/>
      <c r="G42" s="14"/>
      <c r="H42" s="16" t="s">
        <v>123</v>
      </c>
      <c r="I42" s="36">
        <v>1617000</v>
      </c>
      <c r="J42" s="87">
        <v>45962</v>
      </c>
      <c r="K42" s="88">
        <v>0.74356481481481485</v>
      </c>
      <c r="L42" s="38">
        <f t="shared" si="2"/>
        <v>0</v>
      </c>
      <c r="M42" s="17">
        <f t="shared" si="1"/>
        <v>-1617000</v>
      </c>
      <c r="N42" s="33">
        <v>0</v>
      </c>
      <c r="O42" s="60">
        <v>0</v>
      </c>
      <c r="P42" s="33">
        <v>0</v>
      </c>
      <c r="Q42" s="33">
        <v>0</v>
      </c>
      <c r="R42" s="33">
        <v>0</v>
      </c>
      <c r="S42" s="33">
        <v>0</v>
      </c>
      <c r="T42" s="33">
        <v>0</v>
      </c>
      <c r="U42" s="33">
        <v>0</v>
      </c>
      <c r="V42" s="60">
        <v>0</v>
      </c>
      <c r="W42" s="33">
        <v>0</v>
      </c>
      <c r="X42" s="60">
        <v>0</v>
      </c>
      <c r="Y42" s="60">
        <v>0</v>
      </c>
      <c r="Z42" s="33"/>
      <c r="AA42" s="60">
        <v>0</v>
      </c>
      <c r="AB42" s="60">
        <v>0</v>
      </c>
      <c r="AC42" s="60">
        <v>0</v>
      </c>
      <c r="AD42" s="60">
        <v>0</v>
      </c>
      <c r="AE42" s="60">
        <v>0</v>
      </c>
      <c r="AF42" s="33">
        <v>0</v>
      </c>
      <c r="AG42" s="33">
        <v>0</v>
      </c>
      <c r="AH42" s="33">
        <v>0</v>
      </c>
      <c r="AI42" s="33">
        <v>0</v>
      </c>
      <c r="AJ42" s="33">
        <v>0</v>
      </c>
      <c r="AK42" s="33">
        <v>0</v>
      </c>
      <c r="AL42" s="33">
        <v>0</v>
      </c>
      <c r="AM42" s="33">
        <v>0</v>
      </c>
      <c r="AN42" s="33">
        <v>0</v>
      </c>
      <c r="AO42" s="33">
        <v>0</v>
      </c>
      <c r="AP42" s="33">
        <v>0</v>
      </c>
    </row>
    <row r="43" spans="1:42" ht="89.25">
      <c r="A43" s="14"/>
      <c r="B43" s="14"/>
      <c r="C43" s="14" t="s">
        <v>1743</v>
      </c>
      <c r="D43" s="14" t="s">
        <v>61</v>
      </c>
      <c r="E43" s="111" t="str">
        <f>VLOOKUP(C43,KELAS!$A$2:$D$643,4,0)</f>
        <v>3 MINA</v>
      </c>
      <c r="F43" s="14"/>
      <c r="G43" s="14"/>
      <c r="H43" s="16" t="s">
        <v>247</v>
      </c>
      <c r="I43" s="36">
        <v>1400000</v>
      </c>
      <c r="J43" s="87">
        <v>45962</v>
      </c>
      <c r="K43" s="88">
        <v>0.74398148148148147</v>
      </c>
      <c r="L43" s="38">
        <f t="shared" si="2"/>
        <v>0</v>
      </c>
      <c r="M43" s="17">
        <f t="shared" si="1"/>
        <v>-1400000</v>
      </c>
      <c r="N43" s="33">
        <v>0</v>
      </c>
      <c r="O43" s="60">
        <v>0</v>
      </c>
      <c r="P43" s="33">
        <v>0</v>
      </c>
      <c r="Q43" s="33">
        <v>0</v>
      </c>
      <c r="R43" s="33">
        <v>0</v>
      </c>
      <c r="S43" s="33">
        <v>0</v>
      </c>
      <c r="T43" s="33">
        <v>0</v>
      </c>
      <c r="U43" s="33">
        <v>0</v>
      </c>
      <c r="V43" s="60">
        <v>0</v>
      </c>
      <c r="W43" s="33">
        <v>0</v>
      </c>
      <c r="X43" s="60">
        <v>0</v>
      </c>
      <c r="Y43" s="60">
        <v>0</v>
      </c>
      <c r="Z43" s="33"/>
      <c r="AA43" s="60">
        <v>0</v>
      </c>
      <c r="AB43" s="60">
        <v>0</v>
      </c>
      <c r="AC43" s="60">
        <v>0</v>
      </c>
      <c r="AD43" s="60">
        <v>0</v>
      </c>
      <c r="AE43" s="60">
        <v>0</v>
      </c>
      <c r="AF43" s="33">
        <v>0</v>
      </c>
      <c r="AG43" s="33">
        <v>0</v>
      </c>
      <c r="AH43" s="33">
        <v>0</v>
      </c>
      <c r="AI43" s="33">
        <v>0</v>
      </c>
      <c r="AJ43" s="33">
        <v>0</v>
      </c>
      <c r="AK43" s="33">
        <v>0</v>
      </c>
      <c r="AL43" s="33">
        <v>0</v>
      </c>
      <c r="AM43" s="33">
        <v>0</v>
      </c>
      <c r="AN43" s="33">
        <v>0</v>
      </c>
      <c r="AO43" s="33">
        <v>0</v>
      </c>
      <c r="AP43" s="33">
        <v>0</v>
      </c>
    </row>
    <row r="44" spans="1:42" ht="76.5">
      <c r="A44" s="14"/>
      <c r="B44" s="14"/>
      <c r="C44" s="14" t="s">
        <v>1190</v>
      </c>
      <c r="D44" s="14" t="s">
        <v>61</v>
      </c>
      <c r="E44" s="111" t="str">
        <f>VLOOKUP(C44,KELAS!$A$2:$D$643,4,0)</f>
        <v>1 MADINAH</v>
      </c>
      <c r="F44" s="14"/>
      <c r="G44" s="14"/>
      <c r="H44" s="16" t="s">
        <v>120</v>
      </c>
      <c r="I44" s="36">
        <v>1617000</v>
      </c>
      <c r="J44" s="87">
        <v>45962</v>
      </c>
      <c r="K44" s="88">
        <v>0.76907407407407402</v>
      </c>
      <c r="L44" s="38">
        <f t="shared" si="2"/>
        <v>0</v>
      </c>
      <c r="M44" s="17">
        <f t="shared" si="1"/>
        <v>-1617000</v>
      </c>
      <c r="N44" s="33">
        <v>0</v>
      </c>
      <c r="O44" s="60">
        <v>0</v>
      </c>
      <c r="P44" s="33">
        <v>0</v>
      </c>
      <c r="Q44" s="33">
        <v>0</v>
      </c>
      <c r="R44" s="33">
        <v>0</v>
      </c>
      <c r="S44" s="33">
        <v>0</v>
      </c>
      <c r="T44" s="33">
        <v>0</v>
      </c>
      <c r="U44" s="33">
        <v>0</v>
      </c>
      <c r="V44" s="60">
        <v>0</v>
      </c>
      <c r="W44" s="33">
        <v>0</v>
      </c>
      <c r="X44" s="60">
        <v>0</v>
      </c>
      <c r="Y44" s="60">
        <v>0</v>
      </c>
      <c r="Z44" s="33"/>
      <c r="AA44" s="60">
        <v>0</v>
      </c>
      <c r="AB44" s="60">
        <v>0</v>
      </c>
      <c r="AC44" s="60">
        <v>0</v>
      </c>
      <c r="AD44" s="60">
        <v>0</v>
      </c>
      <c r="AE44" s="60">
        <v>0</v>
      </c>
      <c r="AF44" s="33">
        <v>0</v>
      </c>
      <c r="AG44" s="33">
        <v>0</v>
      </c>
      <c r="AH44" s="33">
        <v>0</v>
      </c>
      <c r="AI44" s="33">
        <v>0</v>
      </c>
      <c r="AJ44" s="33">
        <v>0</v>
      </c>
      <c r="AK44" s="33">
        <v>0</v>
      </c>
      <c r="AL44" s="33">
        <v>0</v>
      </c>
      <c r="AM44" s="33">
        <v>0</v>
      </c>
      <c r="AN44" s="33">
        <v>0</v>
      </c>
      <c r="AO44" s="33">
        <v>0</v>
      </c>
      <c r="AP44" s="33">
        <v>0</v>
      </c>
    </row>
    <row r="45" spans="1:42" ht="63.75">
      <c r="A45" s="14"/>
      <c r="B45" s="14"/>
      <c r="C45" s="14" t="s">
        <v>1638</v>
      </c>
      <c r="D45" s="14" t="s">
        <v>61</v>
      </c>
      <c r="E45" s="111" t="str">
        <f>VLOOKUP(C45,KELAS!$A$2:$D$643,4,0)</f>
        <v>3 MEKKAH</v>
      </c>
      <c r="F45" s="14"/>
      <c r="G45" s="14"/>
      <c r="H45" s="16" t="s">
        <v>164</v>
      </c>
      <c r="I45" s="36">
        <v>1450000</v>
      </c>
      <c r="J45" s="87">
        <v>45962</v>
      </c>
      <c r="K45" s="88">
        <v>0.77494212962962961</v>
      </c>
      <c r="L45" s="38">
        <f t="shared" si="2"/>
        <v>0</v>
      </c>
      <c r="M45" s="17">
        <f t="shared" si="1"/>
        <v>-1450000</v>
      </c>
      <c r="N45" s="33">
        <v>0</v>
      </c>
      <c r="O45" s="60">
        <v>0</v>
      </c>
      <c r="P45" s="33">
        <v>0</v>
      </c>
      <c r="Q45" s="33">
        <v>0</v>
      </c>
      <c r="R45" s="33">
        <v>0</v>
      </c>
      <c r="S45" s="33">
        <v>0</v>
      </c>
      <c r="T45" s="33">
        <v>0</v>
      </c>
      <c r="U45" s="33">
        <v>0</v>
      </c>
      <c r="V45" s="60">
        <v>0</v>
      </c>
      <c r="W45" s="33">
        <v>0</v>
      </c>
      <c r="X45" s="60">
        <v>0</v>
      </c>
      <c r="Y45" s="60">
        <v>0</v>
      </c>
      <c r="Z45" s="33"/>
      <c r="AA45" s="60">
        <v>0</v>
      </c>
      <c r="AB45" s="60">
        <v>0</v>
      </c>
      <c r="AC45" s="60">
        <v>0</v>
      </c>
      <c r="AD45" s="60">
        <v>0</v>
      </c>
      <c r="AE45" s="60">
        <v>0</v>
      </c>
      <c r="AF45" s="33">
        <v>0</v>
      </c>
      <c r="AG45" s="33">
        <v>0</v>
      </c>
      <c r="AH45" s="33">
        <v>0</v>
      </c>
      <c r="AI45" s="33">
        <v>0</v>
      </c>
      <c r="AJ45" s="33">
        <v>0</v>
      </c>
      <c r="AK45" s="33">
        <v>0</v>
      </c>
      <c r="AL45" s="33">
        <v>0</v>
      </c>
      <c r="AM45" s="33">
        <v>0</v>
      </c>
      <c r="AN45" s="33">
        <v>0</v>
      </c>
      <c r="AO45" s="33">
        <v>0</v>
      </c>
      <c r="AP45" s="33">
        <v>0</v>
      </c>
    </row>
    <row r="46" spans="1:42" ht="89.25">
      <c r="A46" s="14"/>
      <c r="B46" s="14"/>
      <c r="C46" s="14" t="s">
        <v>1764</v>
      </c>
      <c r="D46" s="14" t="s">
        <v>61</v>
      </c>
      <c r="E46" s="111" t="str">
        <f>VLOOKUP(C46,KELAS!$A$2:$D$643,4,0)</f>
        <v>3 MINA</v>
      </c>
      <c r="F46" s="14"/>
      <c r="G46" s="14"/>
      <c r="H46" s="16" t="s">
        <v>251</v>
      </c>
      <c r="I46" s="36">
        <v>1450000</v>
      </c>
      <c r="J46" s="87">
        <v>45962</v>
      </c>
      <c r="K46" s="88">
        <v>0.77936342592592589</v>
      </c>
      <c r="L46" s="38">
        <f t="shared" si="2"/>
        <v>0</v>
      </c>
      <c r="M46" s="17">
        <f t="shared" si="1"/>
        <v>-1450000</v>
      </c>
      <c r="N46" s="33">
        <v>0</v>
      </c>
      <c r="O46" s="60">
        <v>0</v>
      </c>
      <c r="P46" s="33">
        <v>0</v>
      </c>
      <c r="Q46" s="33">
        <v>0</v>
      </c>
      <c r="R46" s="33">
        <v>0</v>
      </c>
      <c r="S46" s="33">
        <v>0</v>
      </c>
      <c r="T46" s="33">
        <v>0</v>
      </c>
      <c r="U46" s="33">
        <v>0</v>
      </c>
      <c r="V46" s="60">
        <v>0</v>
      </c>
      <c r="W46" s="33">
        <v>0</v>
      </c>
      <c r="X46" s="60">
        <v>0</v>
      </c>
      <c r="Y46" s="60">
        <v>0</v>
      </c>
      <c r="Z46" s="33"/>
      <c r="AA46" s="60">
        <v>0</v>
      </c>
      <c r="AB46" s="60">
        <v>0</v>
      </c>
      <c r="AC46" s="60">
        <v>0</v>
      </c>
      <c r="AD46" s="60">
        <v>0</v>
      </c>
      <c r="AE46" s="60">
        <v>0</v>
      </c>
      <c r="AF46" s="33">
        <v>0</v>
      </c>
      <c r="AG46" s="33">
        <v>0</v>
      </c>
      <c r="AH46" s="33">
        <v>0</v>
      </c>
      <c r="AI46" s="33">
        <v>0</v>
      </c>
      <c r="AJ46" s="33">
        <v>0</v>
      </c>
      <c r="AK46" s="33">
        <v>0</v>
      </c>
      <c r="AL46" s="33">
        <v>0</v>
      </c>
      <c r="AM46" s="33">
        <v>0</v>
      </c>
      <c r="AN46" s="33">
        <v>0</v>
      </c>
      <c r="AO46" s="33">
        <v>0</v>
      </c>
      <c r="AP46" s="33">
        <v>0</v>
      </c>
    </row>
    <row r="47" spans="1:42" ht="89.25">
      <c r="A47" s="14"/>
      <c r="B47" s="14"/>
      <c r="C47" s="14" t="s">
        <v>1658</v>
      </c>
      <c r="D47" s="14" t="s">
        <v>61</v>
      </c>
      <c r="E47" s="111" t="str">
        <f>VLOOKUP(C47,KELAS!$A$2:$D$643,4,0)</f>
        <v>3 MADINAH</v>
      </c>
      <c r="F47" s="14"/>
      <c r="G47" s="14"/>
      <c r="H47" s="16" t="s">
        <v>253</v>
      </c>
      <c r="I47" s="36">
        <v>1450000</v>
      </c>
      <c r="J47" s="87">
        <v>45962</v>
      </c>
      <c r="K47" s="88">
        <v>0.79182870370370373</v>
      </c>
      <c r="L47" s="38">
        <f t="shared" si="2"/>
        <v>0</v>
      </c>
      <c r="M47" s="17">
        <f t="shared" si="1"/>
        <v>-1450000</v>
      </c>
      <c r="N47" s="33">
        <v>0</v>
      </c>
      <c r="O47" s="60">
        <v>0</v>
      </c>
      <c r="P47" s="33">
        <v>0</v>
      </c>
      <c r="Q47" s="33">
        <v>0</v>
      </c>
      <c r="R47" s="33">
        <v>0</v>
      </c>
      <c r="S47" s="33">
        <v>0</v>
      </c>
      <c r="T47" s="33">
        <v>0</v>
      </c>
      <c r="U47" s="33">
        <v>0</v>
      </c>
      <c r="V47" s="60">
        <v>0</v>
      </c>
      <c r="W47" s="33">
        <v>0</v>
      </c>
      <c r="X47" s="60">
        <v>0</v>
      </c>
      <c r="Y47" s="60">
        <v>0</v>
      </c>
      <c r="Z47" s="33"/>
      <c r="AA47" s="60">
        <v>0</v>
      </c>
      <c r="AB47" s="60">
        <v>0</v>
      </c>
      <c r="AC47" s="60">
        <v>0</v>
      </c>
      <c r="AD47" s="60">
        <v>0</v>
      </c>
      <c r="AE47" s="60">
        <v>0</v>
      </c>
      <c r="AF47" s="33">
        <v>0</v>
      </c>
      <c r="AG47" s="33">
        <v>0</v>
      </c>
      <c r="AH47" s="33">
        <v>0</v>
      </c>
      <c r="AI47" s="33">
        <v>0</v>
      </c>
      <c r="AJ47" s="33">
        <v>0</v>
      </c>
      <c r="AK47" s="33">
        <v>0</v>
      </c>
      <c r="AL47" s="33">
        <v>0</v>
      </c>
      <c r="AM47" s="33">
        <v>0</v>
      </c>
      <c r="AN47" s="33">
        <v>0</v>
      </c>
      <c r="AO47" s="33">
        <v>0</v>
      </c>
      <c r="AP47" s="33">
        <v>0</v>
      </c>
    </row>
    <row r="48" spans="1:42" ht="89.25">
      <c r="A48" s="14"/>
      <c r="B48" s="14"/>
      <c r="C48" s="14" t="s">
        <v>2193</v>
      </c>
      <c r="D48" s="14" t="s">
        <v>61</v>
      </c>
      <c r="E48" s="111" t="str">
        <f>VLOOKUP(C48,KELAS!$A$2:$D$643,4,0)</f>
        <v>6 MEKKAH</v>
      </c>
      <c r="F48" s="14"/>
      <c r="G48" s="14"/>
      <c r="H48" s="16" t="s">
        <v>255</v>
      </c>
      <c r="I48" s="36">
        <v>1400000</v>
      </c>
      <c r="J48" s="87">
        <v>45962</v>
      </c>
      <c r="K48" s="88">
        <v>0.8772106481481482</v>
      </c>
      <c r="L48" s="38">
        <f t="shared" si="2"/>
        <v>0</v>
      </c>
      <c r="M48" s="17">
        <f t="shared" si="1"/>
        <v>-1400000</v>
      </c>
      <c r="N48" s="33">
        <v>0</v>
      </c>
      <c r="O48" s="60">
        <v>0</v>
      </c>
      <c r="P48" s="33">
        <v>0</v>
      </c>
      <c r="Q48" s="33">
        <v>0</v>
      </c>
      <c r="R48" s="33">
        <v>0</v>
      </c>
      <c r="S48" s="33">
        <v>0</v>
      </c>
      <c r="T48" s="33">
        <v>0</v>
      </c>
      <c r="U48" s="33">
        <v>0</v>
      </c>
      <c r="V48" s="60">
        <v>0</v>
      </c>
      <c r="W48" s="33">
        <v>0</v>
      </c>
      <c r="X48" s="60">
        <v>0</v>
      </c>
      <c r="Y48" s="60">
        <v>0</v>
      </c>
      <c r="Z48" s="33"/>
      <c r="AA48" s="60">
        <v>0</v>
      </c>
      <c r="AB48" s="60">
        <v>0</v>
      </c>
      <c r="AC48" s="60">
        <v>0</v>
      </c>
      <c r="AD48" s="60">
        <v>0</v>
      </c>
      <c r="AE48" s="60">
        <v>0</v>
      </c>
      <c r="AF48" s="33">
        <v>0</v>
      </c>
      <c r="AG48" s="33">
        <v>0</v>
      </c>
      <c r="AH48" s="33">
        <v>0</v>
      </c>
      <c r="AI48" s="33">
        <v>0</v>
      </c>
      <c r="AJ48" s="33">
        <v>0</v>
      </c>
      <c r="AK48" s="33">
        <v>0</v>
      </c>
      <c r="AL48" s="33">
        <v>0</v>
      </c>
      <c r="AM48" s="33">
        <v>0</v>
      </c>
      <c r="AN48" s="33">
        <v>0</v>
      </c>
      <c r="AO48" s="33">
        <v>0</v>
      </c>
      <c r="AP48" s="33">
        <v>0</v>
      </c>
    </row>
    <row r="49" spans="1:42" ht="89.25">
      <c r="A49" s="14"/>
      <c r="B49" s="14"/>
      <c r="C49" s="14" t="s">
        <v>2192</v>
      </c>
      <c r="D49" s="14" t="s">
        <v>61</v>
      </c>
      <c r="E49" s="111" t="str">
        <f>VLOOKUP(C49,KELAS!$A$2:$D$643,4,0)</f>
        <v>6 MEKKAH</v>
      </c>
      <c r="F49" s="14"/>
      <c r="G49" s="14"/>
      <c r="H49" s="16" t="s">
        <v>160</v>
      </c>
      <c r="I49" s="36">
        <v>1400000</v>
      </c>
      <c r="J49" s="87">
        <v>45962</v>
      </c>
      <c r="K49" s="88">
        <v>0.88275462962962958</v>
      </c>
      <c r="L49" s="38">
        <f t="shared" si="2"/>
        <v>0</v>
      </c>
      <c r="M49" s="17">
        <f t="shared" si="1"/>
        <v>-1400000</v>
      </c>
      <c r="N49" s="33">
        <v>0</v>
      </c>
      <c r="O49" s="60">
        <v>0</v>
      </c>
      <c r="P49" s="33">
        <v>0</v>
      </c>
      <c r="Q49" s="33">
        <v>0</v>
      </c>
      <c r="R49" s="33">
        <v>0</v>
      </c>
      <c r="S49" s="33">
        <v>0</v>
      </c>
      <c r="T49" s="33">
        <v>0</v>
      </c>
      <c r="U49" s="33">
        <v>0</v>
      </c>
      <c r="V49" s="60">
        <v>0</v>
      </c>
      <c r="W49" s="33">
        <v>0</v>
      </c>
      <c r="X49" s="60">
        <v>0</v>
      </c>
      <c r="Y49" s="60">
        <v>0</v>
      </c>
      <c r="Z49" s="33"/>
      <c r="AA49" s="60">
        <v>0</v>
      </c>
      <c r="AB49" s="60">
        <v>0</v>
      </c>
      <c r="AC49" s="60">
        <v>0</v>
      </c>
      <c r="AD49" s="60">
        <v>0</v>
      </c>
      <c r="AE49" s="60">
        <v>0</v>
      </c>
      <c r="AF49" s="33">
        <v>0</v>
      </c>
      <c r="AG49" s="33">
        <v>0</v>
      </c>
      <c r="AH49" s="33">
        <v>0</v>
      </c>
      <c r="AI49" s="33">
        <v>0</v>
      </c>
      <c r="AJ49" s="33">
        <v>0</v>
      </c>
      <c r="AK49" s="33">
        <v>0</v>
      </c>
      <c r="AL49" s="33">
        <v>0</v>
      </c>
      <c r="AM49" s="33">
        <v>0</v>
      </c>
      <c r="AN49" s="33">
        <v>0</v>
      </c>
      <c r="AO49" s="33">
        <v>0</v>
      </c>
      <c r="AP49" s="33">
        <v>0</v>
      </c>
    </row>
    <row r="50" spans="1:42" ht="89.25">
      <c r="A50" s="14"/>
      <c r="B50" s="14"/>
      <c r="C50" s="14" t="s">
        <v>1385</v>
      </c>
      <c r="D50" s="14" t="s">
        <v>61</v>
      </c>
      <c r="E50" s="111" t="str">
        <f>VLOOKUP(C50,KELAS!$A$2:$D$643,4,0)</f>
        <v>2 MEKKAH</v>
      </c>
      <c r="F50" s="14"/>
      <c r="G50" s="14"/>
      <c r="H50" s="16" t="s">
        <v>159</v>
      </c>
      <c r="I50" s="36">
        <v>1540000</v>
      </c>
      <c r="J50" s="87">
        <v>45962</v>
      </c>
      <c r="K50" s="88">
        <v>0.88369212962962962</v>
      </c>
      <c r="L50" s="38">
        <f t="shared" si="2"/>
        <v>0</v>
      </c>
      <c r="M50" s="17">
        <f t="shared" si="1"/>
        <v>-1540000</v>
      </c>
      <c r="N50" s="33">
        <v>0</v>
      </c>
      <c r="O50" s="60">
        <v>0</v>
      </c>
      <c r="P50" s="33">
        <v>0</v>
      </c>
      <c r="Q50" s="33">
        <v>0</v>
      </c>
      <c r="R50" s="33">
        <v>0</v>
      </c>
      <c r="S50" s="33">
        <v>0</v>
      </c>
      <c r="T50" s="33">
        <v>0</v>
      </c>
      <c r="U50" s="33">
        <v>0</v>
      </c>
      <c r="V50" s="60">
        <v>0</v>
      </c>
      <c r="W50" s="33">
        <v>0</v>
      </c>
      <c r="X50" s="60">
        <v>0</v>
      </c>
      <c r="Y50" s="60">
        <v>0</v>
      </c>
      <c r="Z50" s="33"/>
      <c r="AA50" s="60">
        <v>0</v>
      </c>
      <c r="AB50" s="60">
        <v>0</v>
      </c>
      <c r="AC50" s="60">
        <v>0</v>
      </c>
      <c r="AD50" s="60">
        <v>0</v>
      </c>
      <c r="AE50" s="60">
        <v>0</v>
      </c>
      <c r="AF50" s="33">
        <v>0</v>
      </c>
      <c r="AG50" s="33">
        <v>0</v>
      </c>
      <c r="AH50" s="33">
        <v>0</v>
      </c>
      <c r="AI50" s="33">
        <v>0</v>
      </c>
      <c r="AJ50" s="33">
        <v>0</v>
      </c>
      <c r="AK50" s="33">
        <v>0</v>
      </c>
      <c r="AL50" s="33">
        <v>0</v>
      </c>
      <c r="AM50" s="33">
        <v>0</v>
      </c>
      <c r="AN50" s="33">
        <v>0</v>
      </c>
      <c r="AO50" s="33">
        <v>0</v>
      </c>
      <c r="AP50" s="33">
        <v>0</v>
      </c>
    </row>
    <row r="51" spans="1:42" ht="76.5">
      <c r="A51" s="18"/>
      <c r="B51" s="18"/>
      <c r="C51" s="18" t="s">
        <v>2184</v>
      </c>
      <c r="D51" s="14" t="s">
        <v>61</v>
      </c>
      <c r="E51" s="111" t="str">
        <f>VLOOKUP(C51,KELAS!$A$2:$D$643,4,0)</f>
        <v>6 MEKKAH</v>
      </c>
      <c r="F51" s="18"/>
      <c r="G51" s="18"/>
      <c r="H51" s="19" t="s">
        <v>259</v>
      </c>
      <c r="I51" s="37">
        <v>1400000</v>
      </c>
      <c r="J51" s="87">
        <v>45962</v>
      </c>
      <c r="K51" s="88">
        <v>0.99844907407407413</v>
      </c>
      <c r="L51" s="39">
        <f t="shared" si="2"/>
        <v>0</v>
      </c>
      <c r="M51" s="20">
        <f t="shared" si="1"/>
        <v>-1400000</v>
      </c>
      <c r="N51" s="33">
        <v>0</v>
      </c>
      <c r="O51" s="60">
        <v>0</v>
      </c>
      <c r="P51" s="33">
        <v>0</v>
      </c>
      <c r="Q51" s="33">
        <v>0</v>
      </c>
      <c r="R51" s="33">
        <v>0</v>
      </c>
      <c r="S51" s="33">
        <v>0</v>
      </c>
      <c r="T51" s="33">
        <v>0</v>
      </c>
      <c r="U51" s="33">
        <v>0</v>
      </c>
      <c r="V51" s="60">
        <v>0</v>
      </c>
      <c r="W51" s="33">
        <v>0</v>
      </c>
      <c r="X51" s="60">
        <v>0</v>
      </c>
      <c r="Y51" s="60">
        <v>0</v>
      </c>
      <c r="Z51" s="33"/>
      <c r="AA51" s="60">
        <v>0</v>
      </c>
      <c r="AB51" s="60">
        <v>0</v>
      </c>
      <c r="AC51" s="60">
        <v>0</v>
      </c>
      <c r="AD51" s="60">
        <v>0</v>
      </c>
      <c r="AE51" s="60">
        <v>0</v>
      </c>
      <c r="AF51" s="33">
        <v>0</v>
      </c>
      <c r="AG51" s="33">
        <v>0</v>
      </c>
      <c r="AH51" s="33">
        <v>0</v>
      </c>
      <c r="AI51" s="33">
        <v>0</v>
      </c>
      <c r="AJ51" s="33">
        <v>0</v>
      </c>
      <c r="AK51" s="33">
        <v>0</v>
      </c>
      <c r="AL51" s="33">
        <v>0</v>
      </c>
      <c r="AM51" s="33">
        <v>0</v>
      </c>
      <c r="AN51" s="33">
        <v>0</v>
      </c>
      <c r="AO51" s="33">
        <v>0</v>
      </c>
      <c r="AP51" s="33">
        <v>0</v>
      </c>
    </row>
    <row r="52" spans="1:42" ht="76.5">
      <c r="A52" s="18"/>
      <c r="B52" s="18"/>
      <c r="C52" s="18" t="s">
        <v>1974</v>
      </c>
      <c r="D52" s="14" t="s">
        <v>61</v>
      </c>
      <c r="E52" s="111" t="str">
        <f>VLOOKUP(C52,KELAS!$A$2:$D$643,4,0)</f>
        <v>4 MINA</v>
      </c>
      <c r="F52" s="18"/>
      <c r="G52" s="18"/>
      <c r="H52" s="19" t="s">
        <v>261</v>
      </c>
      <c r="I52" s="37">
        <v>1400000</v>
      </c>
      <c r="J52" s="87">
        <v>45962</v>
      </c>
      <c r="K52" s="88">
        <v>0.99876157407407407</v>
      </c>
      <c r="L52" s="39">
        <f t="shared" si="2"/>
        <v>0</v>
      </c>
      <c r="M52" s="20">
        <f t="shared" si="1"/>
        <v>-1400000</v>
      </c>
      <c r="N52" s="33">
        <v>0</v>
      </c>
      <c r="O52" s="60">
        <v>0</v>
      </c>
      <c r="P52" s="33">
        <v>0</v>
      </c>
      <c r="Q52" s="33">
        <v>0</v>
      </c>
      <c r="R52" s="33">
        <v>0</v>
      </c>
      <c r="S52" s="33">
        <v>0</v>
      </c>
      <c r="T52" s="33">
        <v>0</v>
      </c>
      <c r="U52" s="33">
        <v>0</v>
      </c>
      <c r="V52" s="60">
        <v>0</v>
      </c>
      <c r="W52" s="33">
        <v>0</v>
      </c>
      <c r="X52" s="60">
        <v>0</v>
      </c>
      <c r="Y52" s="60">
        <v>0</v>
      </c>
      <c r="Z52" s="33"/>
      <c r="AA52" s="60">
        <v>0</v>
      </c>
      <c r="AB52" s="60">
        <v>0</v>
      </c>
      <c r="AC52" s="60">
        <v>0</v>
      </c>
      <c r="AD52" s="60">
        <v>0</v>
      </c>
      <c r="AE52" s="60">
        <v>0</v>
      </c>
      <c r="AF52" s="33">
        <v>0</v>
      </c>
      <c r="AG52" s="33">
        <v>0</v>
      </c>
      <c r="AH52" s="33">
        <v>0</v>
      </c>
      <c r="AI52" s="33">
        <v>0</v>
      </c>
      <c r="AJ52" s="33">
        <v>0</v>
      </c>
      <c r="AK52" s="33">
        <v>0</v>
      </c>
      <c r="AL52" s="33">
        <v>0</v>
      </c>
      <c r="AM52" s="33">
        <v>0</v>
      </c>
      <c r="AN52" s="33">
        <v>0</v>
      </c>
      <c r="AO52" s="33">
        <v>0</v>
      </c>
      <c r="AP52" s="33">
        <v>0</v>
      </c>
    </row>
    <row r="53" spans="1:42" ht="89.25">
      <c r="A53" s="18"/>
      <c r="B53" s="18"/>
      <c r="C53" s="18" t="s">
        <v>1360</v>
      </c>
      <c r="D53" s="14" t="s">
        <v>61</v>
      </c>
      <c r="E53" s="111" t="str">
        <f>VLOOKUP(C53,KELAS!$A$2:$D$643,4,0)</f>
        <v>2 MEKKAH</v>
      </c>
      <c r="F53" s="18"/>
      <c r="G53" s="18"/>
      <c r="H53" s="19" t="s">
        <v>263</v>
      </c>
      <c r="I53" s="37">
        <v>1540000</v>
      </c>
      <c r="J53" s="87">
        <v>45963</v>
      </c>
      <c r="K53" s="88">
        <v>2.7210648148148147E-2</v>
      </c>
      <c r="L53" s="39">
        <f t="shared" si="2"/>
        <v>0</v>
      </c>
      <c r="M53" s="20">
        <f t="shared" si="1"/>
        <v>-1540000</v>
      </c>
      <c r="N53" s="33">
        <v>0</v>
      </c>
      <c r="O53" s="60">
        <v>0</v>
      </c>
      <c r="P53" s="33">
        <v>0</v>
      </c>
      <c r="Q53" s="33">
        <v>0</v>
      </c>
      <c r="R53" s="33">
        <v>0</v>
      </c>
      <c r="S53" s="33">
        <v>0</v>
      </c>
      <c r="T53" s="33">
        <v>0</v>
      </c>
      <c r="U53" s="33">
        <v>0</v>
      </c>
      <c r="V53" s="60">
        <v>0</v>
      </c>
      <c r="W53" s="33">
        <v>0</v>
      </c>
      <c r="X53" s="60">
        <v>0</v>
      </c>
      <c r="Y53" s="60">
        <v>0</v>
      </c>
      <c r="Z53" s="33"/>
      <c r="AA53" s="60">
        <v>0</v>
      </c>
      <c r="AB53" s="60">
        <v>0</v>
      </c>
      <c r="AC53" s="60">
        <v>0</v>
      </c>
      <c r="AD53" s="60">
        <v>0</v>
      </c>
      <c r="AE53" s="60">
        <v>0</v>
      </c>
      <c r="AF53" s="33">
        <v>0</v>
      </c>
      <c r="AG53" s="33">
        <v>0</v>
      </c>
      <c r="AH53" s="33">
        <v>0</v>
      </c>
      <c r="AI53" s="33">
        <v>0</v>
      </c>
      <c r="AJ53" s="33">
        <v>0</v>
      </c>
      <c r="AK53" s="33">
        <v>0</v>
      </c>
      <c r="AL53" s="33">
        <v>0</v>
      </c>
      <c r="AM53" s="33">
        <v>0</v>
      </c>
      <c r="AN53" s="33">
        <v>0</v>
      </c>
      <c r="AO53" s="33">
        <v>0</v>
      </c>
      <c r="AP53" s="33">
        <v>0</v>
      </c>
    </row>
    <row r="54" spans="1:42" ht="51">
      <c r="A54" s="18"/>
      <c r="B54" s="18"/>
      <c r="C54" s="18" t="s">
        <v>1626</v>
      </c>
      <c r="D54" s="14" t="s">
        <v>61</v>
      </c>
      <c r="E54" s="111" t="str">
        <f>VLOOKUP(C54,KELAS!$A$2:$D$643,4,0)</f>
        <v>3 MEKKAH</v>
      </c>
      <c r="F54" s="18"/>
      <c r="G54" s="18"/>
      <c r="H54" s="19" t="s">
        <v>265</v>
      </c>
      <c r="I54" s="37">
        <v>1400000</v>
      </c>
      <c r="J54" s="87">
        <v>45963</v>
      </c>
      <c r="K54" s="88">
        <v>0.20003472222222221</v>
      </c>
      <c r="L54" s="39">
        <f t="shared" si="2"/>
        <v>0</v>
      </c>
      <c r="M54" s="20">
        <f t="shared" si="1"/>
        <v>-1400000</v>
      </c>
      <c r="N54" s="33">
        <v>0</v>
      </c>
      <c r="O54" s="60">
        <v>0</v>
      </c>
      <c r="P54" s="33">
        <v>0</v>
      </c>
      <c r="Q54" s="33">
        <v>0</v>
      </c>
      <c r="R54" s="33">
        <v>0</v>
      </c>
      <c r="S54" s="33">
        <v>0</v>
      </c>
      <c r="T54" s="33">
        <v>0</v>
      </c>
      <c r="U54" s="33">
        <v>0</v>
      </c>
      <c r="V54" s="60">
        <v>0</v>
      </c>
      <c r="W54" s="33">
        <v>0</v>
      </c>
      <c r="X54" s="60">
        <v>0</v>
      </c>
      <c r="Y54" s="60">
        <v>0</v>
      </c>
      <c r="Z54" s="33"/>
      <c r="AA54" s="60">
        <v>0</v>
      </c>
      <c r="AB54" s="60">
        <v>0</v>
      </c>
      <c r="AC54" s="60">
        <v>0</v>
      </c>
      <c r="AD54" s="60">
        <v>0</v>
      </c>
      <c r="AE54" s="60">
        <v>0</v>
      </c>
      <c r="AF54" s="33">
        <v>0</v>
      </c>
      <c r="AG54" s="33">
        <v>0</v>
      </c>
      <c r="AH54" s="33">
        <v>0</v>
      </c>
      <c r="AI54" s="33">
        <v>0</v>
      </c>
      <c r="AJ54" s="33">
        <v>0</v>
      </c>
      <c r="AK54" s="33">
        <v>0</v>
      </c>
      <c r="AL54" s="33">
        <v>0</v>
      </c>
      <c r="AM54" s="33">
        <v>0</v>
      </c>
      <c r="AN54" s="33">
        <v>0</v>
      </c>
      <c r="AO54" s="33">
        <v>0</v>
      </c>
      <c r="AP54" s="33">
        <v>0</v>
      </c>
    </row>
    <row r="55" spans="1:42" ht="89.25">
      <c r="A55" s="18"/>
      <c r="B55" s="18"/>
      <c r="C55" s="18" t="s">
        <v>1698</v>
      </c>
      <c r="D55" s="14" t="s">
        <v>61</v>
      </c>
      <c r="E55" s="111" t="str">
        <f>VLOOKUP(C55,KELAS!$A$2:$D$643,4,0)</f>
        <v>3 MADINAH</v>
      </c>
      <c r="F55" s="18"/>
      <c r="G55" s="18"/>
      <c r="H55" s="19" t="s">
        <v>267</v>
      </c>
      <c r="I55" s="37">
        <v>1450000</v>
      </c>
      <c r="J55" s="87">
        <v>45963</v>
      </c>
      <c r="K55" s="88">
        <v>0.20734953703703704</v>
      </c>
      <c r="L55" s="39">
        <f t="shared" si="2"/>
        <v>0</v>
      </c>
      <c r="M55" s="20">
        <f t="shared" si="1"/>
        <v>-1450000</v>
      </c>
      <c r="N55" s="33">
        <v>0</v>
      </c>
      <c r="O55" s="60">
        <v>0</v>
      </c>
      <c r="P55" s="33">
        <v>0</v>
      </c>
      <c r="Q55" s="33">
        <v>0</v>
      </c>
      <c r="R55" s="33">
        <v>0</v>
      </c>
      <c r="S55" s="33">
        <v>0</v>
      </c>
      <c r="T55" s="33">
        <v>0</v>
      </c>
      <c r="U55" s="33">
        <v>0</v>
      </c>
      <c r="V55" s="60">
        <v>0</v>
      </c>
      <c r="W55" s="33">
        <v>0</v>
      </c>
      <c r="X55" s="60">
        <v>0</v>
      </c>
      <c r="Y55" s="60">
        <v>0</v>
      </c>
      <c r="Z55" s="33"/>
      <c r="AA55" s="60">
        <v>0</v>
      </c>
      <c r="AB55" s="60">
        <v>0</v>
      </c>
      <c r="AC55" s="60">
        <v>0</v>
      </c>
      <c r="AD55" s="60">
        <v>0</v>
      </c>
      <c r="AE55" s="60">
        <v>0</v>
      </c>
      <c r="AF55" s="33">
        <v>0</v>
      </c>
      <c r="AG55" s="33">
        <v>0</v>
      </c>
      <c r="AH55" s="33">
        <v>0</v>
      </c>
      <c r="AI55" s="33">
        <v>0</v>
      </c>
      <c r="AJ55" s="33">
        <v>0</v>
      </c>
      <c r="AK55" s="33">
        <v>0</v>
      </c>
      <c r="AL55" s="33">
        <v>0</v>
      </c>
      <c r="AM55" s="33">
        <v>0</v>
      </c>
      <c r="AN55" s="33">
        <v>0</v>
      </c>
      <c r="AO55" s="33">
        <v>0</v>
      </c>
      <c r="AP55" s="33">
        <v>0</v>
      </c>
    </row>
    <row r="56" spans="1:42" ht="102">
      <c r="A56" s="18"/>
      <c r="B56" s="18"/>
      <c r="C56" s="18" t="s">
        <v>1275</v>
      </c>
      <c r="D56" s="14" t="s">
        <v>61</v>
      </c>
      <c r="E56" s="111" t="str">
        <f>VLOOKUP(C56,KELAS!$A$2:$D$643,4,0)</f>
        <v>1 MINA</v>
      </c>
      <c r="F56" s="18"/>
      <c r="G56" s="18"/>
      <c r="H56" s="19" t="s">
        <v>269</v>
      </c>
      <c r="I56" s="37">
        <v>1617000</v>
      </c>
      <c r="J56" s="87">
        <v>45963</v>
      </c>
      <c r="K56" s="88">
        <v>0.26290509259259259</v>
      </c>
      <c r="L56" s="39">
        <f t="shared" si="2"/>
        <v>0</v>
      </c>
      <c r="M56" s="20">
        <f t="shared" si="1"/>
        <v>-1617000</v>
      </c>
      <c r="N56" s="33">
        <v>0</v>
      </c>
      <c r="O56" s="60">
        <v>0</v>
      </c>
      <c r="P56" s="33">
        <v>0</v>
      </c>
      <c r="Q56" s="33">
        <v>0</v>
      </c>
      <c r="R56" s="33">
        <v>0</v>
      </c>
      <c r="S56" s="33">
        <v>0</v>
      </c>
      <c r="T56" s="33">
        <v>0</v>
      </c>
      <c r="U56" s="33">
        <v>0</v>
      </c>
      <c r="V56" s="60">
        <v>0</v>
      </c>
      <c r="W56" s="33">
        <v>0</v>
      </c>
      <c r="X56" s="60">
        <v>0</v>
      </c>
      <c r="Y56" s="60">
        <v>0</v>
      </c>
      <c r="Z56" s="33"/>
      <c r="AA56" s="60">
        <v>0</v>
      </c>
      <c r="AB56" s="60">
        <v>0</v>
      </c>
      <c r="AC56" s="60">
        <v>0</v>
      </c>
      <c r="AD56" s="60">
        <v>0</v>
      </c>
      <c r="AE56" s="60">
        <v>0</v>
      </c>
      <c r="AF56" s="33">
        <v>0</v>
      </c>
      <c r="AG56" s="33">
        <v>0</v>
      </c>
      <c r="AH56" s="33">
        <v>0</v>
      </c>
      <c r="AI56" s="33">
        <v>0</v>
      </c>
      <c r="AJ56" s="33">
        <v>0</v>
      </c>
      <c r="AK56" s="33">
        <v>0</v>
      </c>
      <c r="AL56" s="33">
        <v>0</v>
      </c>
      <c r="AM56" s="33">
        <v>0</v>
      </c>
      <c r="AN56" s="33">
        <v>0</v>
      </c>
      <c r="AO56" s="33">
        <v>0</v>
      </c>
      <c r="AP56" s="33">
        <v>0</v>
      </c>
    </row>
    <row r="57" spans="1:42" ht="89.25">
      <c r="A57" s="18"/>
      <c r="B57" s="18"/>
      <c r="C57" s="18" t="s">
        <v>1950</v>
      </c>
      <c r="D57" s="14" t="s">
        <v>61</v>
      </c>
      <c r="E57" s="111" t="str">
        <f>VLOOKUP(C57,KELAS!$A$2:$D$643,4,0)</f>
        <v>4 MINA</v>
      </c>
      <c r="F57" s="18"/>
      <c r="G57" s="18"/>
      <c r="H57" s="19" t="s">
        <v>271</v>
      </c>
      <c r="I57" s="37">
        <v>1400000</v>
      </c>
      <c r="J57" s="87">
        <v>45963</v>
      </c>
      <c r="K57" s="88">
        <v>0.26590277777777777</v>
      </c>
      <c r="L57" s="39">
        <f t="shared" si="2"/>
        <v>0</v>
      </c>
      <c r="M57" s="20">
        <f t="shared" si="1"/>
        <v>-1400000</v>
      </c>
      <c r="N57" s="33">
        <v>0</v>
      </c>
      <c r="O57" s="60">
        <v>0</v>
      </c>
      <c r="P57" s="33">
        <v>0</v>
      </c>
      <c r="Q57" s="33">
        <v>0</v>
      </c>
      <c r="R57" s="33">
        <v>0</v>
      </c>
      <c r="S57" s="33">
        <v>0</v>
      </c>
      <c r="T57" s="33">
        <v>0</v>
      </c>
      <c r="U57" s="33">
        <v>0</v>
      </c>
      <c r="V57" s="60">
        <v>0</v>
      </c>
      <c r="W57" s="33">
        <v>0</v>
      </c>
      <c r="X57" s="60">
        <v>0</v>
      </c>
      <c r="Y57" s="60">
        <v>0</v>
      </c>
      <c r="Z57" s="33"/>
      <c r="AA57" s="60">
        <v>0</v>
      </c>
      <c r="AB57" s="60">
        <v>0</v>
      </c>
      <c r="AC57" s="60">
        <v>0</v>
      </c>
      <c r="AD57" s="60">
        <v>0</v>
      </c>
      <c r="AE57" s="60">
        <v>0</v>
      </c>
      <c r="AF57" s="33">
        <v>0</v>
      </c>
      <c r="AG57" s="33">
        <v>0</v>
      </c>
      <c r="AH57" s="33">
        <v>0</v>
      </c>
      <c r="AI57" s="33">
        <v>0</v>
      </c>
      <c r="AJ57" s="33">
        <v>0</v>
      </c>
      <c r="AK57" s="33">
        <v>0</v>
      </c>
      <c r="AL57" s="33">
        <v>0</v>
      </c>
      <c r="AM57" s="33">
        <v>0</v>
      </c>
      <c r="AN57" s="33">
        <v>0</v>
      </c>
      <c r="AO57" s="33">
        <v>0</v>
      </c>
      <c r="AP57" s="33">
        <v>0</v>
      </c>
    </row>
    <row r="58" spans="1:42" ht="102">
      <c r="A58" s="18"/>
      <c r="B58" s="18"/>
      <c r="C58" s="18" t="s">
        <v>1540</v>
      </c>
      <c r="D58" s="14" t="s">
        <v>61</v>
      </c>
      <c r="E58" s="111" t="str">
        <f>VLOOKUP(C58,KELAS!$A$2:$D$643,4,0)</f>
        <v>2 MARWAH</v>
      </c>
      <c r="F58" s="18"/>
      <c r="G58" s="18"/>
      <c r="H58" s="19" t="s">
        <v>273</v>
      </c>
      <c r="I58" s="37">
        <v>1540000</v>
      </c>
      <c r="J58" s="87">
        <v>45963</v>
      </c>
      <c r="K58" s="88">
        <v>0.26635416666666667</v>
      </c>
      <c r="L58" s="39">
        <f t="shared" si="2"/>
        <v>0</v>
      </c>
      <c r="M58" s="20">
        <f t="shared" si="1"/>
        <v>-1540000</v>
      </c>
      <c r="N58" s="33">
        <v>0</v>
      </c>
      <c r="O58" s="60">
        <v>0</v>
      </c>
      <c r="P58" s="33">
        <v>0</v>
      </c>
      <c r="Q58" s="33">
        <v>0</v>
      </c>
      <c r="R58" s="33">
        <v>0</v>
      </c>
      <c r="S58" s="33">
        <v>0</v>
      </c>
      <c r="T58" s="33">
        <v>0</v>
      </c>
      <c r="U58" s="33">
        <v>0</v>
      </c>
      <c r="V58" s="60">
        <v>0</v>
      </c>
      <c r="W58" s="33">
        <v>0</v>
      </c>
      <c r="X58" s="60">
        <v>0</v>
      </c>
      <c r="Y58" s="60">
        <v>0</v>
      </c>
      <c r="Z58" s="33"/>
      <c r="AA58" s="60">
        <v>0</v>
      </c>
      <c r="AB58" s="60">
        <v>0</v>
      </c>
      <c r="AC58" s="60">
        <v>0</v>
      </c>
      <c r="AD58" s="60">
        <v>0</v>
      </c>
      <c r="AE58" s="60">
        <v>0</v>
      </c>
      <c r="AF58" s="33">
        <v>0</v>
      </c>
      <c r="AG58" s="33">
        <v>0</v>
      </c>
      <c r="AH58" s="33">
        <v>0</v>
      </c>
      <c r="AI58" s="33">
        <v>0</v>
      </c>
      <c r="AJ58" s="33">
        <v>0</v>
      </c>
      <c r="AK58" s="33">
        <v>0</v>
      </c>
      <c r="AL58" s="33">
        <v>0</v>
      </c>
      <c r="AM58" s="33">
        <v>0</v>
      </c>
      <c r="AN58" s="33">
        <v>0</v>
      </c>
      <c r="AO58" s="33">
        <v>0</v>
      </c>
      <c r="AP58" s="33">
        <v>0</v>
      </c>
    </row>
    <row r="59" spans="1:42" ht="102">
      <c r="A59" s="18"/>
      <c r="B59" s="18"/>
      <c r="C59" s="18" t="s">
        <v>1350</v>
      </c>
      <c r="D59" s="14" t="s">
        <v>61</v>
      </c>
      <c r="E59" s="111" t="str">
        <f>VLOOKUP(C59,KELAS!$A$2:$D$643,4,0)</f>
        <v>2 MEKKAH</v>
      </c>
      <c r="F59" s="18"/>
      <c r="G59" s="18"/>
      <c r="H59" s="19" t="s">
        <v>275</v>
      </c>
      <c r="I59" s="37">
        <v>1540000</v>
      </c>
      <c r="J59" s="87">
        <v>45963</v>
      </c>
      <c r="K59" s="88">
        <v>0.29418981481481482</v>
      </c>
      <c r="L59" s="39">
        <f t="shared" si="2"/>
        <v>0</v>
      </c>
      <c r="M59" s="20">
        <f t="shared" si="1"/>
        <v>-1540000</v>
      </c>
      <c r="N59" s="33">
        <v>0</v>
      </c>
      <c r="O59" s="60">
        <v>0</v>
      </c>
      <c r="P59" s="33">
        <v>0</v>
      </c>
      <c r="Q59" s="33">
        <v>0</v>
      </c>
      <c r="R59" s="33">
        <v>0</v>
      </c>
      <c r="S59" s="33">
        <v>0</v>
      </c>
      <c r="T59" s="33">
        <v>0</v>
      </c>
      <c r="U59" s="33">
        <v>0</v>
      </c>
      <c r="V59" s="60">
        <v>0</v>
      </c>
      <c r="W59" s="33">
        <v>0</v>
      </c>
      <c r="X59" s="60">
        <v>0</v>
      </c>
      <c r="Y59" s="60">
        <v>0</v>
      </c>
      <c r="Z59" s="33"/>
      <c r="AA59" s="60">
        <v>0</v>
      </c>
      <c r="AB59" s="60">
        <v>0</v>
      </c>
      <c r="AC59" s="60">
        <v>0</v>
      </c>
      <c r="AD59" s="60">
        <v>0</v>
      </c>
      <c r="AE59" s="60">
        <v>0</v>
      </c>
      <c r="AF59" s="33">
        <v>0</v>
      </c>
      <c r="AG59" s="33">
        <v>0</v>
      </c>
      <c r="AH59" s="33">
        <v>0</v>
      </c>
      <c r="AI59" s="33">
        <v>0</v>
      </c>
      <c r="AJ59" s="33">
        <v>0</v>
      </c>
      <c r="AK59" s="33">
        <v>0</v>
      </c>
      <c r="AL59" s="33">
        <v>0</v>
      </c>
      <c r="AM59" s="33">
        <v>0</v>
      </c>
      <c r="AN59" s="33">
        <v>0</v>
      </c>
      <c r="AO59" s="33">
        <v>0</v>
      </c>
      <c r="AP59" s="33">
        <v>0</v>
      </c>
    </row>
    <row r="60" spans="1:42" ht="102">
      <c r="A60" s="18"/>
      <c r="B60" s="18"/>
      <c r="C60" s="18" t="s">
        <v>1880</v>
      </c>
      <c r="D60" s="14" t="s">
        <v>61</v>
      </c>
      <c r="E60" s="111" t="str">
        <f>VLOOKUP(C60,KELAS!$A$2:$D$643,4,0)</f>
        <v>4 MEKKAH</v>
      </c>
      <c r="F60" s="18"/>
      <c r="G60" s="18"/>
      <c r="H60" s="19" t="s">
        <v>277</v>
      </c>
      <c r="I60" s="37">
        <v>1400000</v>
      </c>
      <c r="J60" s="87">
        <v>45963</v>
      </c>
      <c r="K60" s="88">
        <v>0.3387384259259259</v>
      </c>
      <c r="L60" s="39">
        <f t="shared" si="2"/>
        <v>0</v>
      </c>
      <c r="M60" s="20">
        <f t="shared" si="1"/>
        <v>-1400000</v>
      </c>
      <c r="N60" s="33">
        <v>0</v>
      </c>
      <c r="O60" s="60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60">
        <v>0</v>
      </c>
      <c r="W60" s="33">
        <v>0</v>
      </c>
      <c r="X60" s="60">
        <v>0</v>
      </c>
      <c r="Y60" s="60">
        <v>0</v>
      </c>
      <c r="Z60" s="33"/>
      <c r="AA60" s="60">
        <v>0</v>
      </c>
      <c r="AB60" s="60">
        <v>0</v>
      </c>
      <c r="AC60" s="60">
        <v>0</v>
      </c>
      <c r="AD60" s="60">
        <v>0</v>
      </c>
      <c r="AE60" s="60">
        <v>0</v>
      </c>
      <c r="AF60" s="33">
        <v>0</v>
      </c>
      <c r="AG60" s="33">
        <v>0</v>
      </c>
      <c r="AH60" s="33">
        <v>0</v>
      </c>
      <c r="AI60" s="33">
        <v>0</v>
      </c>
      <c r="AJ60" s="33">
        <v>0</v>
      </c>
      <c r="AK60" s="33">
        <v>0</v>
      </c>
      <c r="AL60" s="33">
        <v>0</v>
      </c>
      <c r="AM60" s="33">
        <v>0</v>
      </c>
      <c r="AN60" s="33">
        <v>0</v>
      </c>
      <c r="AO60" s="33">
        <v>0</v>
      </c>
      <c r="AP60" s="33">
        <v>0</v>
      </c>
    </row>
    <row r="61" spans="1:42" ht="63.75">
      <c r="A61" s="18"/>
      <c r="B61" s="18"/>
      <c r="C61" s="18" t="s">
        <v>1926</v>
      </c>
      <c r="D61" s="14" t="s">
        <v>61</v>
      </c>
      <c r="E61" s="111" t="str">
        <f>VLOOKUP(C61,KELAS!$A$2:$D$643,4,0)</f>
        <v>4 MADINAH</v>
      </c>
      <c r="F61" s="18"/>
      <c r="G61" s="18"/>
      <c r="H61" s="19" t="s">
        <v>279</v>
      </c>
      <c r="I61" s="37">
        <v>3234000</v>
      </c>
      <c r="J61" s="87">
        <v>45963</v>
      </c>
      <c r="K61" s="88">
        <v>0.34509259259259262</v>
      </c>
      <c r="L61" s="39">
        <f t="shared" si="2"/>
        <v>0</v>
      </c>
      <c r="M61" s="20">
        <f t="shared" si="1"/>
        <v>-3234000</v>
      </c>
      <c r="N61" s="33">
        <v>0</v>
      </c>
      <c r="O61" s="60">
        <v>0</v>
      </c>
      <c r="P61" s="33">
        <v>0</v>
      </c>
      <c r="Q61" s="33">
        <v>0</v>
      </c>
      <c r="R61" s="33">
        <v>0</v>
      </c>
      <c r="S61" s="33">
        <v>0</v>
      </c>
      <c r="T61" s="33">
        <v>0</v>
      </c>
      <c r="U61" s="33">
        <v>0</v>
      </c>
      <c r="V61" s="60">
        <v>0</v>
      </c>
      <c r="W61" s="33">
        <v>0</v>
      </c>
      <c r="X61" s="60">
        <v>0</v>
      </c>
      <c r="Y61" s="60">
        <v>0</v>
      </c>
      <c r="Z61" s="33"/>
      <c r="AA61" s="60">
        <v>0</v>
      </c>
      <c r="AB61" s="60">
        <v>0</v>
      </c>
      <c r="AC61" s="60">
        <v>0</v>
      </c>
      <c r="AD61" s="60">
        <v>0</v>
      </c>
      <c r="AE61" s="60">
        <v>0</v>
      </c>
      <c r="AF61" s="33">
        <v>0</v>
      </c>
      <c r="AG61" s="33">
        <v>0</v>
      </c>
      <c r="AH61" s="33">
        <v>0</v>
      </c>
      <c r="AI61" s="33">
        <v>0</v>
      </c>
      <c r="AJ61" s="33">
        <v>0</v>
      </c>
      <c r="AK61" s="33">
        <v>0</v>
      </c>
      <c r="AL61" s="33">
        <v>0</v>
      </c>
      <c r="AM61" s="33">
        <v>0</v>
      </c>
      <c r="AN61" s="33">
        <v>0</v>
      </c>
      <c r="AO61" s="33">
        <v>0</v>
      </c>
      <c r="AP61" s="33">
        <v>0</v>
      </c>
    </row>
    <row r="62" spans="1:42" ht="76.5">
      <c r="A62" s="18"/>
      <c r="B62" s="18"/>
      <c r="C62" s="18" t="s">
        <v>1168</v>
      </c>
      <c r="D62" s="14" t="s">
        <v>61</v>
      </c>
      <c r="E62" s="111" t="str">
        <f>VLOOKUP(C62,KELAS!$A$2:$D$643,4,0)</f>
        <v>1 MEKKAH</v>
      </c>
      <c r="F62" s="18"/>
      <c r="G62" s="18"/>
      <c r="H62" s="19" t="s">
        <v>281</v>
      </c>
      <c r="I62" s="37">
        <v>2800000</v>
      </c>
      <c r="J62" s="87">
        <v>45963</v>
      </c>
      <c r="K62" s="88">
        <v>0.34574074074074074</v>
      </c>
      <c r="L62" s="39">
        <f t="shared" si="2"/>
        <v>0</v>
      </c>
      <c r="M62" s="20">
        <f t="shared" si="1"/>
        <v>-2800000</v>
      </c>
      <c r="N62" s="33">
        <v>0</v>
      </c>
      <c r="O62" s="60">
        <v>0</v>
      </c>
      <c r="P62" s="33">
        <v>0</v>
      </c>
      <c r="Q62" s="33">
        <v>0</v>
      </c>
      <c r="R62" s="33">
        <v>0</v>
      </c>
      <c r="S62" s="33">
        <v>0</v>
      </c>
      <c r="T62" s="33">
        <v>0</v>
      </c>
      <c r="U62" s="33">
        <v>0</v>
      </c>
      <c r="V62" s="60">
        <v>0</v>
      </c>
      <c r="W62" s="33">
        <v>0</v>
      </c>
      <c r="X62" s="60">
        <v>0</v>
      </c>
      <c r="Y62" s="60">
        <v>0</v>
      </c>
      <c r="Z62" s="33"/>
      <c r="AA62" s="60">
        <v>0</v>
      </c>
      <c r="AB62" s="60">
        <v>0</v>
      </c>
      <c r="AC62" s="60">
        <v>0</v>
      </c>
      <c r="AD62" s="60">
        <v>0</v>
      </c>
      <c r="AE62" s="60">
        <v>0</v>
      </c>
      <c r="AF62" s="33">
        <v>0</v>
      </c>
      <c r="AG62" s="33">
        <v>0</v>
      </c>
      <c r="AH62" s="33">
        <v>0</v>
      </c>
      <c r="AI62" s="33">
        <v>0</v>
      </c>
      <c r="AJ62" s="33">
        <v>0</v>
      </c>
      <c r="AK62" s="33">
        <v>0</v>
      </c>
      <c r="AL62" s="33">
        <v>0</v>
      </c>
      <c r="AM62" s="33">
        <v>0</v>
      </c>
      <c r="AN62" s="33">
        <v>0</v>
      </c>
      <c r="AO62" s="33">
        <v>0</v>
      </c>
      <c r="AP62" s="33">
        <v>0</v>
      </c>
    </row>
    <row r="63" spans="1:42" ht="76.5">
      <c r="A63" s="18"/>
      <c r="B63" s="18"/>
      <c r="C63" s="18" t="s">
        <v>1521</v>
      </c>
      <c r="D63" s="14" t="s">
        <v>61</v>
      </c>
      <c r="E63" s="111" t="str">
        <f>VLOOKUP(C63,KELAS!$A$2:$D$643,4,0)</f>
        <v>2 MINA</v>
      </c>
      <c r="F63" s="18"/>
      <c r="G63" s="18"/>
      <c r="H63" s="19" t="s">
        <v>156</v>
      </c>
      <c r="I63" s="37">
        <v>1540000</v>
      </c>
      <c r="J63" s="87">
        <v>45963</v>
      </c>
      <c r="K63" s="88">
        <v>0.39337962962962963</v>
      </c>
      <c r="L63" s="39">
        <f t="shared" si="2"/>
        <v>0</v>
      </c>
      <c r="M63" s="20">
        <f t="shared" si="1"/>
        <v>-1540000</v>
      </c>
      <c r="N63" s="33">
        <v>0</v>
      </c>
      <c r="O63" s="60">
        <v>0</v>
      </c>
      <c r="P63" s="33">
        <v>0</v>
      </c>
      <c r="Q63" s="33">
        <v>0</v>
      </c>
      <c r="R63" s="33">
        <v>0</v>
      </c>
      <c r="S63" s="33">
        <v>0</v>
      </c>
      <c r="T63" s="33">
        <v>0</v>
      </c>
      <c r="U63" s="33">
        <v>0</v>
      </c>
      <c r="V63" s="60">
        <v>0</v>
      </c>
      <c r="W63" s="33">
        <v>0</v>
      </c>
      <c r="X63" s="60">
        <v>0</v>
      </c>
      <c r="Y63" s="60">
        <v>0</v>
      </c>
      <c r="Z63" s="33"/>
      <c r="AA63" s="60">
        <v>0</v>
      </c>
      <c r="AB63" s="60">
        <v>0</v>
      </c>
      <c r="AC63" s="60">
        <v>0</v>
      </c>
      <c r="AD63" s="60">
        <v>0</v>
      </c>
      <c r="AE63" s="60">
        <v>0</v>
      </c>
      <c r="AF63" s="33">
        <v>0</v>
      </c>
      <c r="AG63" s="33">
        <v>0</v>
      </c>
      <c r="AH63" s="33">
        <v>0</v>
      </c>
      <c r="AI63" s="33">
        <v>0</v>
      </c>
      <c r="AJ63" s="33">
        <v>0</v>
      </c>
      <c r="AK63" s="33">
        <v>0</v>
      </c>
      <c r="AL63" s="33">
        <v>0</v>
      </c>
      <c r="AM63" s="33">
        <v>0</v>
      </c>
      <c r="AN63" s="33">
        <v>0</v>
      </c>
      <c r="AO63" s="33">
        <v>0</v>
      </c>
      <c r="AP63" s="33">
        <v>0</v>
      </c>
    </row>
    <row r="64" spans="1:42" ht="102">
      <c r="A64" s="18"/>
      <c r="B64" s="18"/>
      <c r="C64" s="18" t="s">
        <v>2273</v>
      </c>
      <c r="D64" s="14" t="s">
        <v>61</v>
      </c>
      <c r="E64" s="111" t="str">
        <f>VLOOKUP(C64,KELAS!$A$2:$D$643,4,0)</f>
        <v>6 MINA</v>
      </c>
      <c r="F64" s="18"/>
      <c r="G64" s="18"/>
      <c r="H64" s="19" t="s">
        <v>284</v>
      </c>
      <c r="I64" s="37">
        <v>1400000</v>
      </c>
      <c r="J64" s="87">
        <v>45963</v>
      </c>
      <c r="K64" s="88">
        <v>0.40585648148148146</v>
      </c>
      <c r="L64" s="39">
        <f t="shared" si="2"/>
        <v>0</v>
      </c>
      <c r="M64" s="20">
        <f t="shared" si="1"/>
        <v>-1400000</v>
      </c>
      <c r="N64" s="33">
        <v>0</v>
      </c>
      <c r="O64" s="60">
        <v>0</v>
      </c>
      <c r="P64" s="33">
        <v>0</v>
      </c>
      <c r="Q64" s="33">
        <v>0</v>
      </c>
      <c r="R64" s="33">
        <v>0</v>
      </c>
      <c r="S64" s="33">
        <v>0</v>
      </c>
      <c r="T64" s="33">
        <v>0</v>
      </c>
      <c r="U64" s="33">
        <v>0</v>
      </c>
      <c r="V64" s="60">
        <v>0</v>
      </c>
      <c r="W64" s="33">
        <v>0</v>
      </c>
      <c r="X64" s="60">
        <v>0</v>
      </c>
      <c r="Y64" s="60">
        <v>0</v>
      </c>
      <c r="Z64" s="33"/>
      <c r="AA64" s="60">
        <v>0</v>
      </c>
      <c r="AB64" s="60">
        <v>0</v>
      </c>
      <c r="AC64" s="60">
        <v>0</v>
      </c>
      <c r="AD64" s="60">
        <v>0</v>
      </c>
      <c r="AE64" s="60">
        <v>0</v>
      </c>
      <c r="AF64" s="33">
        <v>0</v>
      </c>
      <c r="AG64" s="33">
        <v>0</v>
      </c>
      <c r="AH64" s="33">
        <v>0</v>
      </c>
      <c r="AI64" s="33">
        <v>0</v>
      </c>
      <c r="AJ64" s="33">
        <v>0</v>
      </c>
      <c r="AK64" s="33">
        <v>0</v>
      </c>
      <c r="AL64" s="33">
        <v>0</v>
      </c>
      <c r="AM64" s="33">
        <v>0</v>
      </c>
      <c r="AN64" s="33">
        <v>0</v>
      </c>
      <c r="AO64" s="33">
        <v>0</v>
      </c>
      <c r="AP64" s="33">
        <v>0</v>
      </c>
    </row>
    <row r="65" spans="1:42" ht="89.25">
      <c r="A65" s="18"/>
      <c r="B65" s="18"/>
      <c r="C65" s="18" t="s">
        <v>1523</v>
      </c>
      <c r="D65" s="14" t="s">
        <v>61</v>
      </c>
      <c r="E65" s="111" t="str">
        <f>VLOOKUP(C65,KELAS!$A$2:$D$643,4,0)</f>
        <v>2 MINA</v>
      </c>
      <c r="F65" s="18"/>
      <c r="G65" s="18"/>
      <c r="H65" s="19" t="s">
        <v>286</v>
      </c>
      <c r="I65" s="37">
        <v>1540000</v>
      </c>
      <c r="J65" s="87">
        <v>45963</v>
      </c>
      <c r="K65" s="88">
        <v>0.53813657407407411</v>
      </c>
      <c r="L65" s="39">
        <f t="shared" si="2"/>
        <v>0</v>
      </c>
      <c r="M65" s="20">
        <f t="shared" si="1"/>
        <v>-1540000</v>
      </c>
      <c r="N65" s="33">
        <v>0</v>
      </c>
      <c r="O65" s="60">
        <v>0</v>
      </c>
      <c r="P65" s="33">
        <v>0</v>
      </c>
      <c r="Q65" s="33">
        <v>0</v>
      </c>
      <c r="R65" s="33">
        <v>0</v>
      </c>
      <c r="S65" s="33">
        <v>0</v>
      </c>
      <c r="T65" s="33">
        <v>0</v>
      </c>
      <c r="U65" s="33">
        <v>0</v>
      </c>
      <c r="V65" s="60">
        <v>0</v>
      </c>
      <c r="W65" s="33">
        <v>0</v>
      </c>
      <c r="X65" s="60">
        <v>0</v>
      </c>
      <c r="Y65" s="60">
        <v>0</v>
      </c>
      <c r="Z65" s="33"/>
      <c r="AA65" s="60">
        <v>0</v>
      </c>
      <c r="AB65" s="60">
        <v>0</v>
      </c>
      <c r="AC65" s="60">
        <v>0</v>
      </c>
      <c r="AD65" s="60">
        <v>0</v>
      </c>
      <c r="AE65" s="60">
        <v>0</v>
      </c>
      <c r="AF65" s="33">
        <v>0</v>
      </c>
      <c r="AG65" s="33">
        <v>0</v>
      </c>
      <c r="AH65" s="33">
        <v>0</v>
      </c>
      <c r="AI65" s="33">
        <v>0</v>
      </c>
      <c r="AJ65" s="33">
        <v>0</v>
      </c>
      <c r="AK65" s="33">
        <v>0</v>
      </c>
      <c r="AL65" s="33">
        <v>0</v>
      </c>
      <c r="AM65" s="33">
        <v>0</v>
      </c>
      <c r="AN65" s="33">
        <v>0</v>
      </c>
      <c r="AO65" s="33">
        <v>0</v>
      </c>
      <c r="AP65" s="33">
        <v>0</v>
      </c>
    </row>
    <row r="66" spans="1:42" ht="102">
      <c r="A66" s="18"/>
      <c r="B66" s="18"/>
      <c r="C66" s="18" t="s">
        <v>1112</v>
      </c>
      <c r="D66" s="14" t="s">
        <v>61</v>
      </c>
      <c r="E66" s="111" t="str">
        <f>VLOOKUP(C66,KELAS!$A$2:$D$643,4,0)</f>
        <v>1 MEKKAH</v>
      </c>
      <c r="F66" s="18"/>
      <c r="G66" s="18"/>
      <c r="H66" s="19" t="s">
        <v>288</v>
      </c>
      <c r="I66" s="37">
        <v>1617000</v>
      </c>
      <c r="J66" s="87">
        <v>45963</v>
      </c>
      <c r="K66" s="88">
        <v>0.54600694444444442</v>
      </c>
      <c r="L66" s="39">
        <f t="shared" si="2"/>
        <v>0</v>
      </c>
      <c r="M66" s="20">
        <f t="shared" si="1"/>
        <v>-1617000</v>
      </c>
      <c r="N66" s="33">
        <v>0</v>
      </c>
      <c r="O66" s="60">
        <v>0</v>
      </c>
      <c r="P66" s="33">
        <v>0</v>
      </c>
      <c r="Q66" s="33">
        <v>0</v>
      </c>
      <c r="R66" s="33">
        <v>0</v>
      </c>
      <c r="S66" s="33">
        <v>0</v>
      </c>
      <c r="T66" s="33">
        <v>0</v>
      </c>
      <c r="U66" s="33">
        <v>0</v>
      </c>
      <c r="V66" s="60">
        <v>0</v>
      </c>
      <c r="W66" s="33">
        <v>0</v>
      </c>
      <c r="X66" s="60">
        <v>0</v>
      </c>
      <c r="Y66" s="60">
        <v>0</v>
      </c>
      <c r="Z66" s="33"/>
      <c r="AA66" s="60">
        <v>0</v>
      </c>
      <c r="AB66" s="60">
        <v>0</v>
      </c>
      <c r="AC66" s="60">
        <v>0</v>
      </c>
      <c r="AD66" s="60">
        <v>0</v>
      </c>
      <c r="AE66" s="60">
        <v>0</v>
      </c>
      <c r="AF66" s="33">
        <v>0</v>
      </c>
      <c r="AG66" s="33">
        <v>0</v>
      </c>
      <c r="AH66" s="33">
        <v>0</v>
      </c>
      <c r="AI66" s="33">
        <v>0</v>
      </c>
      <c r="AJ66" s="33">
        <v>0</v>
      </c>
      <c r="AK66" s="33">
        <v>0</v>
      </c>
      <c r="AL66" s="33">
        <v>0</v>
      </c>
      <c r="AM66" s="33">
        <v>0</v>
      </c>
      <c r="AN66" s="33">
        <v>0</v>
      </c>
      <c r="AO66" s="33">
        <v>0</v>
      </c>
      <c r="AP66" s="33">
        <v>0</v>
      </c>
    </row>
    <row r="67" spans="1:42" ht="76.5">
      <c r="A67" s="18"/>
      <c r="B67" s="18"/>
      <c r="C67" s="18" t="s">
        <v>2319</v>
      </c>
      <c r="D67" s="14" t="s">
        <v>61</v>
      </c>
      <c r="E67" s="111" t="e">
        <f>VLOOKUP(C67,KELAS!$A$2:$D$643,4,0)</f>
        <v>#N/A</v>
      </c>
      <c r="F67" s="18"/>
      <c r="G67" s="18"/>
      <c r="H67" s="19" t="s">
        <v>290</v>
      </c>
      <c r="I67" s="37">
        <v>1400000</v>
      </c>
      <c r="J67" s="87">
        <v>45963</v>
      </c>
      <c r="K67" s="88">
        <v>0.67336805555555557</v>
      </c>
      <c r="L67" s="39">
        <f t="shared" si="2"/>
        <v>0</v>
      </c>
      <c r="M67" s="20">
        <f t="shared" si="1"/>
        <v>-1400000</v>
      </c>
      <c r="N67" s="33">
        <v>0</v>
      </c>
      <c r="O67" s="60">
        <v>0</v>
      </c>
      <c r="P67" s="33">
        <v>0</v>
      </c>
      <c r="Q67" s="33">
        <v>0</v>
      </c>
      <c r="R67" s="33">
        <v>0</v>
      </c>
      <c r="S67" s="33">
        <v>0</v>
      </c>
      <c r="T67" s="33">
        <v>0</v>
      </c>
      <c r="U67" s="33">
        <v>0</v>
      </c>
      <c r="V67" s="60">
        <v>0</v>
      </c>
      <c r="W67" s="33">
        <v>0</v>
      </c>
      <c r="X67" s="60">
        <v>0</v>
      </c>
      <c r="Y67" s="60">
        <v>0</v>
      </c>
      <c r="Z67" s="33"/>
      <c r="AA67" s="60">
        <v>0</v>
      </c>
      <c r="AB67" s="60">
        <v>0</v>
      </c>
      <c r="AC67" s="60">
        <v>0</v>
      </c>
      <c r="AD67" s="60">
        <v>0</v>
      </c>
      <c r="AE67" s="60">
        <v>0</v>
      </c>
      <c r="AF67" s="33">
        <v>0</v>
      </c>
      <c r="AG67" s="33">
        <v>0</v>
      </c>
      <c r="AH67" s="33">
        <v>0</v>
      </c>
      <c r="AI67" s="33">
        <v>0</v>
      </c>
      <c r="AJ67" s="33">
        <v>0</v>
      </c>
      <c r="AK67" s="33">
        <v>0</v>
      </c>
      <c r="AL67" s="33">
        <v>0</v>
      </c>
      <c r="AM67" s="33">
        <v>0</v>
      </c>
      <c r="AN67" s="33">
        <v>0</v>
      </c>
      <c r="AO67" s="33">
        <v>0</v>
      </c>
      <c r="AP67" s="33">
        <v>0</v>
      </c>
    </row>
    <row r="68" spans="1:42" ht="89.25">
      <c r="A68" s="18"/>
      <c r="B68" s="18"/>
      <c r="C68" s="18" t="s">
        <v>1634</v>
      </c>
      <c r="D68" s="14" t="s">
        <v>61</v>
      </c>
      <c r="E68" s="111" t="str">
        <f>VLOOKUP(C68,KELAS!$A$2:$D$643,4,0)</f>
        <v>3 MEKKAH</v>
      </c>
      <c r="F68" s="18"/>
      <c r="G68" s="18"/>
      <c r="H68" s="19" t="s">
        <v>158</v>
      </c>
      <c r="I68" s="37">
        <v>1450000</v>
      </c>
      <c r="J68" s="87">
        <v>45963</v>
      </c>
      <c r="K68" s="88">
        <v>0.72069444444444442</v>
      </c>
      <c r="L68" s="39">
        <f t="shared" si="2"/>
        <v>0</v>
      </c>
      <c r="M68" s="20">
        <f t="shared" si="1"/>
        <v>-1450000</v>
      </c>
      <c r="N68" s="33">
        <v>0</v>
      </c>
      <c r="O68" s="60">
        <v>0</v>
      </c>
      <c r="P68" s="33">
        <v>0</v>
      </c>
      <c r="Q68" s="33">
        <v>0</v>
      </c>
      <c r="R68" s="33">
        <v>0</v>
      </c>
      <c r="S68" s="33">
        <v>0</v>
      </c>
      <c r="T68" s="33">
        <v>0</v>
      </c>
      <c r="U68" s="33">
        <v>0</v>
      </c>
      <c r="V68" s="60">
        <v>0</v>
      </c>
      <c r="W68" s="33">
        <v>0</v>
      </c>
      <c r="X68" s="60">
        <v>0</v>
      </c>
      <c r="Y68" s="60">
        <v>0</v>
      </c>
      <c r="Z68" s="33"/>
      <c r="AA68" s="60">
        <v>0</v>
      </c>
      <c r="AB68" s="60">
        <v>0</v>
      </c>
      <c r="AC68" s="60">
        <v>0</v>
      </c>
      <c r="AD68" s="60">
        <v>0</v>
      </c>
      <c r="AE68" s="60">
        <v>0</v>
      </c>
      <c r="AF68" s="33">
        <v>0</v>
      </c>
      <c r="AG68" s="33">
        <v>0</v>
      </c>
      <c r="AH68" s="33">
        <v>0</v>
      </c>
      <c r="AI68" s="33">
        <v>0</v>
      </c>
      <c r="AJ68" s="33">
        <v>0</v>
      </c>
      <c r="AK68" s="33">
        <v>0</v>
      </c>
      <c r="AL68" s="33">
        <v>0</v>
      </c>
      <c r="AM68" s="33">
        <v>0</v>
      </c>
      <c r="AN68" s="33">
        <v>0</v>
      </c>
      <c r="AO68" s="33">
        <v>0</v>
      </c>
      <c r="AP68" s="33">
        <v>0</v>
      </c>
    </row>
    <row r="69" spans="1:42" ht="102">
      <c r="A69" s="18"/>
      <c r="B69" s="18"/>
      <c r="C69" s="18" t="s">
        <v>2320</v>
      </c>
      <c r="D69" s="14" t="s">
        <v>61</v>
      </c>
      <c r="E69" s="111" t="e">
        <f>VLOOKUP(C69,KELAS!$A$2:$D$643,4,0)</f>
        <v>#N/A</v>
      </c>
      <c r="F69" s="18"/>
      <c r="G69" s="18"/>
      <c r="H69" s="19" t="s">
        <v>293</v>
      </c>
      <c r="I69" s="37">
        <v>1540000</v>
      </c>
      <c r="J69" s="87">
        <v>45963</v>
      </c>
      <c r="K69" s="88">
        <v>0.87518518518518518</v>
      </c>
      <c r="L69" s="39">
        <f t="shared" si="2"/>
        <v>0</v>
      </c>
      <c r="M69" s="20">
        <f t="shared" si="1"/>
        <v>-1540000</v>
      </c>
      <c r="N69" s="33">
        <v>0</v>
      </c>
      <c r="O69" s="60">
        <v>0</v>
      </c>
      <c r="P69" s="33">
        <v>0</v>
      </c>
      <c r="Q69" s="33">
        <v>0</v>
      </c>
      <c r="R69" s="33">
        <v>0</v>
      </c>
      <c r="S69" s="33">
        <v>0</v>
      </c>
      <c r="T69" s="33">
        <v>0</v>
      </c>
      <c r="U69" s="33">
        <v>0</v>
      </c>
      <c r="V69" s="60">
        <v>0</v>
      </c>
      <c r="W69" s="33">
        <v>0</v>
      </c>
      <c r="X69" s="60">
        <v>0</v>
      </c>
      <c r="Y69" s="60">
        <v>0</v>
      </c>
      <c r="Z69" s="33"/>
      <c r="AA69" s="60">
        <v>0</v>
      </c>
      <c r="AB69" s="60">
        <v>0</v>
      </c>
      <c r="AC69" s="60">
        <v>0</v>
      </c>
      <c r="AD69" s="60">
        <v>0</v>
      </c>
      <c r="AE69" s="60">
        <v>0</v>
      </c>
      <c r="AF69" s="33">
        <v>0</v>
      </c>
      <c r="AG69" s="33">
        <v>0</v>
      </c>
      <c r="AH69" s="33">
        <v>0</v>
      </c>
      <c r="AI69" s="33">
        <v>0</v>
      </c>
      <c r="AJ69" s="33">
        <v>0</v>
      </c>
      <c r="AK69" s="33">
        <v>0</v>
      </c>
      <c r="AL69" s="33">
        <v>0</v>
      </c>
      <c r="AM69" s="33">
        <v>0</v>
      </c>
      <c r="AN69" s="33">
        <v>0</v>
      </c>
      <c r="AO69" s="33">
        <v>0</v>
      </c>
      <c r="AP69" s="33">
        <v>0</v>
      </c>
    </row>
    <row r="70" spans="1:42" ht="102">
      <c r="A70" s="18"/>
      <c r="B70" s="18"/>
      <c r="C70" s="18" t="s">
        <v>2196</v>
      </c>
      <c r="D70" s="14" t="s">
        <v>61</v>
      </c>
      <c r="E70" s="111" t="str">
        <f>VLOOKUP(C70,KELAS!$A$2:$D$643,4,0)</f>
        <v>6 MEKKAH</v>
      </c>
      <c r="F70" s="18"/>
      <c r="G70" s="18"/>
      <c r="H70" s="19" t="s">
        <v>295</v>
      </c>
      <c r="I70" s="37">
        <v>1450000</v>
      </c>
      <c r="J70" s="87">
        <v>45963</v>
      </c>
      <c r="K70" s="88">
        <v>0.87649305555555557</v>
      </c>
      <c r="L70" s="39">
        <f t="shared" ref="L70:L101" si="3">SUM(N70:AP70)</f>
        <v>0</v>
      </c>
      <c r="M70" s="20">
        <f t="shared" si="1"/>
        <v>-1450000</v>
      </c>
      <c r="N70" s="33">
        <v>0</v>
      </c>
      <c r="O70" s="60">
        <v>0</v>
      </c>
      <c r="P70" s="33">
        <v>0</v>
      </c>
      <c r="Q70" s="33">
        <v>0</v>
      </c>
      <c r="R70" s="33">
        <v>0</v>
      </c>
      <c r="S70" s="33">
        <v>0</v>
      </c>
      <c r="T70" s="33">
        <v>0</v>
      </c>
      <c r="U70" s="33">
        <v>0</v>
      </c>
      <c r="V70" s="60">
        <v>0</v>
      </c>
      <c r="W70" s="33">
        <v>0</v>
      </c>
      <c r="X70" s="60">
        <v>0</v>
      </c>
      <c r="Y70" s="60">
        <v>0</v>
      </c>
      <c r="Z70" s="33"/>
      <c r="AA70" s="60">
        <v>0</v>
      </c>
      <c r="AB70" s="60">
        <v>0</v>
      </c>
      <c r="AC70" s="60">
        <v>0</v>
      </c>
      <c r="AD70" s="60">
        <v>0</v>
      </c>
      <c r="AE70" s="60">
        <v>0</v>
      </c>
      <c r="AF70" s="33">
        <v>0</v>
      </c>
      <c r="AG70" s="33">
        <v>0</v>
      </c>
      <c r="AH70" s="33">
        <v>0</v>
      </c>
      <c r="AI70" s="33">
        <v>0</v>
      </c>
      <c r="AJ70" s="33">
        <v>0</v>
      </c>
      <c r="AK70" s="33">
        <v>0</v>
      </c>
      <c r="AL70" s="33">
        <v>0</v>
      </c>
      <c r="AM70" s="33">
        <v>0</v>
      </c>
      <c r="AN70" s="33">
        <v>0</v>
      </c>
      <c r="AO70" s="33">
        <v>0</v>
      </c>
      <c r="AP70" s="33">
        <v>0</v>
      </c>
    </row>
    <row r="71" spans="1:42" ht="76.5">
      <c r="A71" s="18"/>
      <c r="B71" s="18"/>
      <c r="C71" s="18" t="s">
        <v>2321</v>
      </c>
      <c r="D71" s="14" t="s">
        <v>61</v>
      </c>
      <c r="E71" s="111" t="e">
        <f>VLOOKUP(C71,KELAS!$A$2:$D$643,4,0)</f>
        <v>#N/A</v>
      </c>
      <c r="F71" s="18"/>
      <c r="G71" s="18"/>
      <c r="H71" s="19" t="s">
        <v>95</v>
      </c>
      <c r="I71" s="37">
        <v>1450000</v>
      </c>
      <c r="J71" s="87">
        <v>45963</v>
      </c>
      <c r="K71" s="88">
        <v>0.89449074074074075</v>
      </c>
      <c r="L71" s="39">
        <f t="shared" si="3"/>
        <v>0</v>
      </c>
      <c r="M71" s="20">
        <f t="shared" ref="M71:M134" si="4">L71-I71</f>
        <v>-1450000</v>
      </c>
      <c r="N71" s="33">
        <v>0</v>
      </c>
      <c r="O71" s="60">
        <v>0</v>
      </c>
      <c r="P71" s="33">
        <v>0</v>
      </c>
      <c r="Q71" s="33">
        <v>0</v>
      </c>
      <c r="R71" s="33">
        <v>0</v>
      </c>
      <c r="S71" s="33">
        <v>0</v>
      </c>
      <c r="T71" s="33">
        <v>0</v>
      </c>
      <c r="U71" s="33">
        <v>0</v>
      </c>
      <c r="V71" s="60">
        <v>0</v>
      </c>
      <c r="W71" s="33">
        <v>0</v>
      </c>
      <c r="X71" s="60">
        <v>0</v>
      </c>
      <c r="Y71" s="60">
        <v>0</v>
      </c>
      <c r="Z71" s="33"/>
      <c r="AA71" s="60">
        <v>0</v>
      </c>
      <c r="AB71" s="60">
        <v>0</v>
      </c>
      <c r="AC71" s="60">
        <v>0</v>
      </c>
      <c r="AD71" s="60">
        <v>0</v>
      </c>
      <c r="AE71" s="60">
        <v>0</v>
      </c>
      <c r="AF71" s="33">
        <v>0</v>
      </c>
      <c r="AG71" s="33">
        <v>0</v>
      </c>
      <c r="AH71" s="33">
        <v>0</v>
      </c>
      <c r="AI71" s="33">
        <v>0</v>
      </c>
      <c r="AJ71" s="33">
        <v>0</v>
      </c>
      <c r="AK71" s="33">
        <v>0</v>
      </c>
      <c r="AL71" s="33">
        <v>0</v>
      </c>
      <c r="AM71" s="33">
        <v>0</v>
      </c>
      <c r="AN71" s="33">
        <v>0</v>
      </c>
      <c r="AO71" s="33">
        <v>0</v>
      </c>
      <c r="AP71" s="33">
        <v>0</v>
      </c>
    </row>
    <row r="72" spans="1:42" ht="89.25">
      <c r="A72" s="18"/>
      <c r="B72" s="18"/>
      <c r="C72" s="18" t="s">
        <v>1148</v>
      </c>
      <c r="D72" s="14" t="s">
        <v>61</v>
      </c>
      <c r="E72" s="111" t="str">
        <f>VLOOKUP(C72,KELAS!$A$2:$D$643,4,0)</f>
        <v>1 MEKKAH</v>
      </c>
      <c r="F72" s="18"/>
      <c r="G72" s="18"/>
      <c r="H72" s="19" t="s">
        <v>144</v>
      </c>
      <c r="I72" s="37">
        <v>1617000</v>
      </c>
      <c r="J72" s="87">
        <v>45963</v>
      </c>
      <c r="K72" s="88">
        <v>0.97851851851851857</v>
      </c>
      <c r="L72" s="39">
        <f t="shared" si="3"/>
        <v>0</v>
      </c>
      <c r="M72" s="20">
        <f t="shared" si="4"/>
        <v>-1617000</v>
      </c>
      <c r="N72" s="33">
        <v>0</v>
      </c>
      <c r="O72" s="60">
        <v>0</v>
      </c>
      <c r="P72" s="33">
        <v>0</v>
      </c>
      <c r="Q72" s="33">
        <v>0</v>
      </c>
      <c r="R72" s="33">
        <v>0</v>
      </c>
      <c r="S72" s="33">
        <v>0</v>
      </c>
      <c r="T72" s="33">
        <v>0</v>
      </c>
      <c r="U72" s="33">
        <v>0</v>
      </c>
      <c r="V72" s="60">
        <v>0</v>
      </c>
      <c r="W72" s="33">
        <v>0</v>
      </c>
      <c r="X72" s="60">
        <v>0</v>
      </c>
      <c r="Y72" s="60">
        <v>0</v>
      </c>
      <c r="Z72" s="33"/>
      <c r="AA72" s="60">
        <v>0</v>
      </c>
      <c r="AB72" s="60">
        <v>0</v>
      </c>
      <c r="AC72" s="60">
        <v>0</v>
      </c>
      <c r="AD72" s="60">
        <v>0</v>
      </c>
      <c r="AE72" s="60">
        <v>0</v>
      </c>
      <c r="AF72" s="33">
        <v>0</v>
      </c>
      <c r="AG72" s="33">
        <v>0</v>
      </c>
      <c r="AH72" s="33">
        <v>0</v>
      </c>
      <c r="AI72" s="33">
        <v>0</v>
      </c>
      <c r="AJ72" s="33">
        <v>0</v>
      </c>
      <c r="AK72" s="33">
        <v>0</v>
      </c>
      <c r="AL72" s="33">
        <v>0</v>
      </c>
      <c r="AM72" s="33">
        <v>0</v>
      </c>
      <c r="AN72" s="33">
        <v>0</v>
      </c>
      <c r="AO72" s="33">
        <v>0</v>
      </c>
      <c r="AP72" s="33">
        <v>0</v>
      </c>
    </row>
    <row r="73" spans="1:42" ht="89.25">
      <c r="A73" s="18"/>
      <c r="B73" s="18"/>
      <c r="C73" s="18" t="s">
        <v>1124</v>
      </c>
      <c r="D73" s="14" t="s">
        <v>61</v>
      </c>
      <c r="E73" s="111" t="str">
        <f>VLOOKUP(C73,KELAS!$A$2:$D$643,4,0)</f>
        <v>1 MEKKAH</v>
      </c>
      <c r="F73" s="18"/>
      <c r="G73" s="18"/>
      <c r="H73" s="19" t="s">
        <v>299</v>
      </c>
      <c r="I73" s="37">
        <v>1617000</v>
      </c>
      <c r="J73" s="87">
        <v>45964</v>
      </c>
      <c r="K73" s="88">
        <v>0.24659722222222222</v>
      </c>
      <c r="L73" s="39">
        <f t="shared" si="3"/>
        <v>0</v>
      </c>
      <c r="M73" s="20">
        <f t="shared" si="4"/>
        <v>-1617000</v>
      </c>
      <c r="N73" s="33">
        <v>0</v>
      </c>
      <c r="O73" s="60">
        <v>0</v>
      </c>
      <c r="P73" s="33">
        <v>0</v>
      </c>
      <c r="Q73" s="33">
        <v>0</v>
      </c>
      <c r="R73" s="33">
        <v>0</v>
      </c>
      <c r="S73" s="33">
        <v>0</v>
      </c>
      <c r="T73" s="33">
        <v>0</v>
      </c>
      <c r="U73" s="33">
        <v>0</v>
      </c>
      <c r="V73" s="60">
        <v>0</v>
      </c>
      <c r="W73" s="33">
        <v>0</v>
      </c>
      <c r="X73" s="60">
        <v>0</v>
      </c>
      <c r="Y73" s="60">
        <v>0</v>
      </c>
      <c r="Z73" s="33"/>
      <c r="AA73" s="60">
        <v>0</v>
      </c>
      <c r="AB73" s="60">
        <v>0</v>
      </c>
      <c r="AC73" s="60">
        <v>0</v>
      </c>
      <c r="AD73" s="60">
        <v>0</v>
      </c>
      <c r="AE73" s="60">
        <v>0</v>
      </c>
      <c r="AF73" s="33">
        <v>0</v>
      </c>
      <c r="AG73" s="33">
        <v>0</v>
      </c>
      <c r="AH73" s="33">
        <v>0</v>
      </c>
      <c r="AI73" s="33">
        <v>0</v>
      </c>
      <c r="AJ73" s="33">
        <v>0</v>
      </c>
      <c r="AK73" s="33">
        <v>0</v>
      </c>
      <c r="AL73" s="33">
        <v>0</v>
      </c>
      <c r="AM73" s="33">
        <v>0</v>
      </c>
      <c r="AN73" s="33">
        <v>0</v>
      </c>
      <c r="AO73" s="33">
        <v>0</v>
      </c>
      <c r="AP73" s="33">
        <v>0</v>
      </c>
    </row>
    <row r="74" spans="1:42" ht="89.25">
      <c r="A74" s="18"/>
      <c r="B74" s="18"/>
      <c r="C74" s="18" t="s">
        <v>1283</v>
      </c>
      <c r="D74" s="14" t="s">
        <v>61</v>
      </c>
      <c r="E74" s="111" t="str">
        <f>VLOOKUP(C74,KELAS!$A$2:$D$643,4,0)</f>
        <v>1 MINA</v>
      </c>
      <c r="F74" s="18"/>
      <c r="G74" s="18"/>
      <c r="H74" s="19" t="s">
        <v>301</v>
      </c>
      <c r="I74" s="37">
        <v>1617000</v>
      </c>
      <c r="J74" s="87">
        <v>45964</v>
      </c>
      <c r="K74" s="88">
        <v>0.29694444444444446</v>
      </c>
      <c r="L74" s="39">
        <f t="shared" si="3"/>
        <v>0</v>
      </c>
      <c r="M74" s="20">
        <f t="shared" si="4"/>
        <v>-1617000</v>
      </c>
      <c r="N74" s="33">
        <v>0</v>
      </c>
      <c r="O74" s="60">
        <v>0</v>
      </c>
      <c r="P74" s="33">
        <v>0</v>
      </c>
      <c r="Q74" s="33">
        <v>0</v>
      </c>
      <c r="R74" s="33">
        <v>0</v>
      </c>
      <c r="S74" s="33">
        <v>0</v>
      </c>
      <c r="T74" s="33">
        <v>0</v>
      </c>
      <c r="U74" s="33">
        <v>0</v>
      </c>
      <c r="V74" s="60">
        <v>0</v>
      </c>
      <c r="W74" s="33">
        <v>0</v>
      </c>
      <c r="X74" s="60">
        <v>0</v>
      </c>
      <c r="Y74" s="60">
        <v>0</v>
      </c>
      <c r="Z74" s="33"/>
      <c r="AA74" s="60">
        <v>0</v>
      </c>
      <c r="AB74" s="60">
        <v>0</v>
      </c>
      <c r="AC74" s="60">
        <v>0</v>
      </c>
      <c r="AD74" s="60">
        <v>0</v>
      </c>
      <c r="AE74" s="60">
        <v>0</v>
      </c>
      <c r="AF74" s="33">
        <v>0</v>
      </c>
      <c r="AG74" s="33">
        <v>0</v>
      </c>
      <c r="AH74" s="33">
        <v>0</v>
      </c>
      <c r="AI74" s="33">
        <v>0</v>
      </c>
      <c r="AJ74" s="33">
        <v>0</v>
      </c>
      <c r="AK74" s="33">
        <v>0</v>
      </c>
      <c r="AL74" s="33">
        <v>0</v>
      </c>
      <c r="AM74" s="33">
        <v>0</v>
      </c>
      <c r="AN74" s="33">
        <v>0</v>
      </c>
      <c r="AO74" s="33">
        <v>0</v>
      </c>
      <c r="AP74" s="33">
        <v>0</v>
      </c>
    </row>
    <row r="75" spans="1:42" ht="76.5">
      <c r="A75" s="18"/>
      <c r="B75" s="18"/>
      <c r="C75" s="18" t="s">
        <v>1194</v>
      </c>
      <c r="D75" s="14" t="s">
        <v>61</v>
      </c>
      <c r="E75" s="111" t="str">
        <f>VLOOKUP(C75,KELAS!$A$2:$D$643,4,0)</f>
        <v>1 MADINAH</v>
      </c>
      <c r="F75" s="18"/>
      <c r="G75" s="18"/>
      <c r="H75" s="19" t="s">
        <v>124</v>
      </c>
      <c r="I75" s="37">
        <v>1617000</v>
      </c>
      <c r="J75" s="87">
        <v>45964</v>
      </c>
      <c r="K75" s="88">
        <v>0.32287037037037036</v>
      </c>
      <c r="L75" s="39">
        <f t="shared" si="3"/>
        <v>0</v>
      </c>
      <c r="M75" s="20">
        <f t="shared" si="4"/>
        <v>-1617000</v>
      </c>
      <c r="N75" s="33">
        <v>0</v>
      </c>
      <c r="O75" s="60">
        <v>0</v>
      </c>
      <c r="P75" s="33">
        <v>0</v>
      </c>
      <c r="Q75" s="33">
        <v>0</v>
      </c>
      <c r="R75" s="33">
        <v>0</v>
      </c>
      <c r="S75" s="33">
        <v>0</v>
      </c>
      <c r="T75" s="33">
        <v>0</v>
      </c>
      <c r="U75" s="33">
        <v>0</v>
      </c>
      <c r="V75" s="60">
        <v>0</v>
      </c>
      <c r="W75" s="33">
        <v>0</v>
      </c>
      <c r="X75" s="60">
        <v>0</v>
      </c>
      <c r="Y75" s="60">
        <v>0</v>
      </c>
      <c r="Z75" s="33"/>
      <c r="AA75" s="60">
        <v>0</v>
      </c>
      <c r="AB75" s="60">
        <v>0</v>
      </c>
      <c r="AC75" s="60">
        <v>0</v>
      </c>
      <c r="AD75" s="60">
        <v>0</v>
      </c>
      <c r="AE75" s="60">
        <v>0</v>
      </c>
      <c r="AF75" s="33">
        <v>0</v>
      </c>
      <c r="AG75" s="33">
        <v>0</v>
      </c>
      <c r="AH75" s="33">
        <v>0</v>
      </c>
      <c r="AI75" s="33">
        <v>0</v>
      </c>
      <c r="AJ75" s="33">
        <v>0</v>
      </c>
      <c r="AK75" s="33">
        <v>0</v>
      </c>
      <c r="AL75" s="33">
        <v>0</v>
      </c>
      <c r="AM75" s="33">
        <v>0</v>
      </c>
      <c r="AN75" s="33">
        <v>0</v>
      </c>
      <c r="AO75" s="33">
        <v>0</v>
      </c>
      <c r="AP75" s="33">
        <v>0</v>
      </c>
    </row>
    <row r="76" spans="1:42" ht="102">
      <c r="A76" s="18"/>
      <c r="B76" s="18"/>
      <c r="C76" s="18" t="s">
        <v>2291</v>
      </c>
      <c r="D76" s="14" t="s">
        <v>61</v>
      </c>
      <c r="E76" s="111" t="str">
        <f>VLOOKUP(C76,KELAS!$A$2:$D$643,4,0)</f>
        <v>6 MINA</v>
      </c>
      <c r="F76" s="18"/>
      <c r="G76" s="18"/>
      <c r="H76" s="19" t="s">
        <v>304</v>
      </c>
      <c r="I76" s="37">
        <v>1400000</v>
      </c>
      <c r="J76" s="87">
        <v>45964</v>
      </c>
      <c r="K76" s="88">
        <v>0.36100694444444442</v>
      </c>
      <c r="L76" s="39">
        <f t="shared" si="3"/>
        <v>0</v>
      </c>
      <c r="M76" s="20">
        <f t="shared" si="4"/>
        <v>-1400000</v>
      </c>
      <c r="N76" s="33">
        <v>0</v>
      </c>
      <c r="O76" s="60">
        <v>0</v>
      </c>
      <c r="P76" s="33">
        <v>0</v>
      </c>
      <c r="Q76" s="33">
        <v>0</v>
      </c>
      <c r="R76" s="33">
        <v>0</v>
      </c>
      <c r="S76" s="33">
        <v>0</v>
      </c>
      <c r="T76" s="33">
        <v>0</v>
      </c>
      <c r="U76" s="33">
        <v>0</v>
      </c>
      <c r="V76" s="60">
        <v>0</v>
      </c>
      <c r="W76" s="33">
        <v>0</v>
      </c>
      <c r="X76" s="60">
        <v>0</v>
      </c>
      <c r="Y76" s="60">
        <v>0</v>
      </c>
      <c r="Z76" s="33"/>
      <c r="AA76" s="60">
        <v>0</v>
      </c>
      <c r="AB76" s="60">
        <v>0</v>
      </c>
      <c r="AC76" s="60">
        <v>0</v>
      </c>
      <c r="AD76" s="60">
        <v>0</v>
      </c>
      <c r="AE76" s="60">
        <v>0</v>
      </c>
      <c r="AF76" s="33">
        <v>0</v>
      </c>
      <c r="AG76" s="33">
        <v>0</v>
      </c>
      <c r="AH76" s="33">
        <v>0</v>
      </c>
      <c r="AI76" s="33">
        <v>0</v>
      </c>
      <c r="AJ76" s="33">
        <v>0</v>
      </c>
      <c r="AK76" s="33">
        <v>0</v>
      </c>
      <c r="AL76" s="33">
        <v>0</v>
      </c>
      <c r="AM76" s="33">
        <v>0</v>
      </c>
      <c r="AN76" s="33">
        <v>0</v>
      </c>
      <c r="AO76" s="33">
        <v>0</v>
      </c>
      <c r="AP76" s="33">
        <v>0</v>
      </c>
    </row>
    <row r="77" spans="1:42" ht="102">
      <c r="A77" s="18"/>
      <c r="B77" s="18"/>
      <c r="C77" s="18" t="s">
        <v>1212</v>
      </c>
      <c r="D77" s="14" t="s">
        <v>61</v>
      </c>
      <c r="E77" s="111" t="str">
        <f>VLOOKUP(C77,KELAS!$A$2:$D$643,4,0)</f>
        <v>1 MADINAH</v>
      </c>
      <c r="F77" s="18"/>
      <c r="G77" s="18"/>
      <c r="H77" s="19" t="s">
        <v>306</v>
      </c>
      <c r="I77" s="37">
        <v>1617000</v>
      </c>
      <c r="J77" s="87">
        <v>45964</v>
      </c>
      <c r="K77" s="88">
        <v>0.36888888888888888</v>
      </c>
      <c r="L77" s="39">
        <f t="shared" si="3"/>
        <v>0</v>
      </c>
      <c r="M77" s="20">
        <f t="shared" si="4"/>
        <v>-1617000</v>
      </c>
      <c r="N77" s="33">
        <v>0</v>
      </c>
      <c r="O77" s="60">
        <v>0</v>
      </c>
      <c r="P77" s="33">
        <v>0</v>
      </c>
      <c r="Q77" s="33">
        <v>0</v>
      </c>
      <c r="R77" s="33">
        <v>0</v>
      </c>
      <c r="S77" s="33">
        <v>0</v>
      </c>
      <c r="T77" s="33">
        <v>0</v>
      </c>
      <c r="U77" s="33">
        <v>0</v>
      </c>
      <c r="V77" s="60">
        <v>0</v>
      </c>
      <c r="W77" s="33">
        <v>0</v>
      </c>
      <c r="X77" s="60">
        <v>0</v>
      </c>
      <c r="Y77" s="60">
        <v>0</v>
      </c>
      <c r="Z77" s="33"/>
      <c r="AA77" s="60">
        <v>0</v>
      </c>
      <c r="AB77" s="60">
        <v>0</v>
      </c>
      <c r="AC77" s="60">
        <v>0</v>
      </c>
      <c r="AD77" s="60">
        <v>0</v>
      </c>
      <c r="AE77" s="60">
        <v>0</v>
      </c>
      <c r="AF77" s="33">
        <v>0</v>
      </c>
      <c r="AG77" s="33">
        <v>0</v>
      </c>
      <c r="AH77" s="33">
        <v>0</v>
      </c>
      <c r="AI77" s="33">
        <v>0</v>
      </c>
      <c r="AJ77" s="33">
        <v>0</v>
      </c>
      <c r="AK77" s="33">
        <v>0</v>
      </c>
      <c r="AL77" s="33">
        <v>0</v>
      </c>
      <c r="AM77" s="33">
        <v>0</v>
      </c>
      <c r="AN77" s="33">
        <v>0</v>
      </c>
      <c r="AO77" s="33">
        <v>0</v>
      </c>
      <c r="AP77" s="33">
        <v>0</v>
      </c>
    </row>
    <row r="78" spans="1:42" ht="102">
      <c r="A78" s="18"/>
      <c r="B78" s="18"/>
      <c r="C78" s="18" t="s">
        <v>2322</v>
      </c>
      <c r="D78" s="14" t="s">
        <v>61</v>
      </c>
      <c r="E78" s="111" t="e">
        <f>VLOOKUP(C78,KELAS!$A$2:$D$643,4,0)</f>
        <v>#N/A</v>
      </c>
      <c r="F78" s="18"/>
      <c r="G78" s="18"/>
      <c r="H78" s="19" t="s">
        <v>308</v>
      </c>
      <c r="I78" s="37">
        <v>1450000</v>
      </c>
      <c r="J78" s="87">
        <v>45964</v>
      </c>
      <c r="K78" s="88">
        <v>0.38065972222222222</v>
      </c>
      <c r="L78" s="39">
        <f t="shared" si="3"/>
        <v>0</v>
      </c>
      <c r="M78" s="20">
        <f t="shared" si="4"/>
        <v>-1450000</v>
      </c>
      <c r="N78" s="33">
        <v>0</v>
      </c>
      <c r="O78" s="60">
        <v>0</v>
      </c>
      <c r="P78" s="33">
        <v>0</v>
      </c>
      <c r="Q78" s="33">
        <v>0</v>
      </c>
      <c r="R78" s="33">
        <v>0</v>
      </c>
      <c r="S78" s="33">
        <v>0</v>
      </c>
      <c r="T78" s="33">
        <v>0</v>
      </c>
      <c r="U78" s="33">
        <v>0</v>
      </c>
      <c r="V78" s="60">
        <v>0</v>
      </c>
      <c r="W78" s="33">
        <v>0</v>
      </c>
      <c r="X78" s="60">
        <v>0</v>
      </c>
      <c r="Y78" s="60">
        <v>0</v>
      </c>
      <c r="Z78" s="33"/>
      <c r="AA78" s="60">
        <v>0</v>
      </c>
      <c r="AB78" s="60">
        <v>0</v>
      </c>
      <c r="AC78" s="60">
        <v>0</v>
      </c>
      <c r="AD78" s="60">
        <v>0</v>
      </c>
      <c r="AE78" s="60">
        <v>0</v>
      </c>
      <c r="AF78" s="33">
        <v>0</v>
      </c>
      <c r="AG78" s="33">
        <v>0</v>
      </c>
      <c r="AH78" s="33">
        <v>0</v>
      </c>
      <c r="AI78" s="33">
        <v>0</v>
      </c>
      <c r="AJ78" s="33">
        <v>0</v>
      </c>
      <c r="AK78" s="33">
        <v>0</v>
      </c>
      <c r="AL78" s="33">
        <v>0</v>
      </c>
      <c r="AM78" s="33">
        <v>0</v>
      </c>
      <c r="AN78" s="33">
        <v>0</v>
      </c>
      <c r="AO78" s="33">
        <v>0</v>
      </c>
      <c r="AP78" s="33">
        <v>0</v>
      </c>
    </row>
    <row r="79" spans="1:42" ht="63.75">
      <c r="A79" s="18"/>
      <c r="B79" s="18"/>
      <c r="C79" s="18" t="s">
        <v>2130</v>
      </c>
      <c r="D79" s="14" t="s">
        <v>61</v>
      </c>
      <c r="E79" s="111" t="str">
        <f>VLOOKUP(C79,KELAS!$A$2:$D$643,4,0)</f>
        <v>5 MINA</v>
      </c>
      <c r="F79" s="18"/>
      <c r="G79" s="18"/>
      <c r="H79" s="19" t="s">
        <v>310</v>
      </c>
      <c r="I79" s="37">
        <v>1400000</v>
      </c>
      <c r="J79" s="87">
        <v>45964</v>
      </c>
      <c r="K79" s="88">
        <v>0.38240740740740742</v>
      </c>
      <c r="L79" s="39">
        <f t="shared" si="3"/>
        <v>0</v>
      </c>
      <c r="M79" s="20">
        <f t="shared" si="4"/>
        <v>-1400000</v>
      </c>
      <c r="N79" s="33">
        <v>0</v>
      </c>
      <c r="O79" s="60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60">
        <v>0</v>
      </c>
      <c r="W79" s="33">
        <v>0</v>
      </c>
      <c r="X79" s="60">
        <v>0</v>
      </c>
      <c r="Y79" s="60">
        <v>0</v>
      </c>
      <c r="Z79" s="33"/>
      <c r="AA79" s="60">
        <v>0</v>
      </c>
      <c r="AB79" s="60">
        <v>0</v>
      </c>
      <c r="AC79" s="60">
        <v>0</v>
      </c>
      <c r="AD79" s="60">
        <v>0</v>
      </c>
      <c r="AE79" s="60">
        <v>0</v>
      </c>
      <c r="AF79" s="33">
        <v>0</v>
      </c>
      <c r="AG79" s="33">
        <v>0</v>
      </c>
      <c r="AH79" s="33">
        <v>0</v>
      </c>
      <c r="AI79" s="33">
        <v>0</v>
      </c>
      <c r="AJ79" s="33">
        <v>0</v>
      </c>
      <c r="AK79" s="33">
        <v>0</v>
      </c>
      <c r="AL79" s="33">
        <v>0</v>
      </c>
      <c r="AM79" s="33">
        <v>0</v>
      </c>
      <c r="AN79" s="33">
        <v>0</v>
      </c>
      <c r="AO79" s="33">
        <v>0</v>
      </c>
      <c r="AP79" s="33">
        <v>0</v>
      </c>
    </row>
    <row r="80" spans="1:42" ht="76.5">
      <c r="A80" s="18"/>
      <c r="B80" s="18"/>
      <c r="C80" s="18" t="s">
        <v>1451</v>
      </c>
      <c r="D80" s="14" t="s">
        <v>61</v>
      </c>
      <c r="E80" s="111" t="str">
        <f>VLOOKUP(C80,KELAS!$A$2:$D$643,4,0)</f>
        <v>2 MADINAH</v>
      </c>
      <c r="F80" s="18"/>
      <c r="G80" s="18"/>
      <c r="H80" s="19" t="s">
        <v>312</v>
      </c>
      <c r="I80" s="37">
        <v>1540000</v>
      </c>
      <c r="J80" s="87">
        <v>45964</v>
      </c>
      <c r="K80" s="88">
        <v>0.40412037037037035</v>
      </c>
      <c r="L80" s="39">
        <f t="shared" si="3"/>
        <v>0</v>
      </c>
      <c r="M80" s="20">
        <f t="shared" si="4"/>
        <v>-1540000</v>
      </c>
      <c r="N80" s="33">
        <v>0</v>
      </c>
      <c r="O80" s="60">
        <v>0</v>
      </c>
      <c r="P80" s="33">
        <v>0</v>
      </c>
      <c r="Q80" s="33">
        <v>0</v>
      </c>
      <c r="R80" s="33">
        <v>0</v>
      </c>
      <c r="S80" s="33">
        <v>0</v>
      </c>
      <c r="T80" s="33">
        <v>0</v>
      </c>
      <c r="U80" s="33">
        <v>0</v>
      </c>
      <c r="V80" s="60">
        <v>0</v>
      </c>
      <c r="W80" s="33">
        <v>0</v>
      </c>
      <c r="X80" s="60">
        <v>0</v>
      </c>
      <c r="Y80" s="60">
        <v>0</v>
      </c>
      <c r="Z80" s="33"/>
      <c r="AA80" s="60">
        <v>0</v>
      </c>
      <c r="AB80" s="60">
        <v>0</v>
      </c>
      <c r="AC80" s="60">
        <v>0</v>
      </c>
      <c r="AD80" s="60">
        <v>0</v>
      </c>
      <c r="AE80" s="60">
        <v>0</v>
      </c>
      <c r="AF80" s="33">
        <v>0</v>
      </c>
      <c r="AG80" s="33">
        <v>0</v>
      </c>
      <c r="AH80" s="33">
        <v>0</v>
      </c>
      <c r="AI80" s="33">
        <v>0</v>
      </c>
      <c r="AJ80" s="33">
        <v>0</v>
      </c>
      <c r="AK80" s="33">
        <v>0</v>
      </c>
      <c r="AL80" s="33">
        <v>0</v>
      </c>
      <c r="AM80" s="33">
        <v>0</v>
      </c>
      <c r="AN80" s="33">
        <v>0</v>
      </c>
      <c r="AO80" s="33">
        <v>0</v>
      </c>
      <c r="AP80" s="33">
        <v>0</v>
      </c>
    </row>
    <row r="81" spans="1:42" ht="102">
      <c r="A81" s="18"/>
      <c r="B81" s="18"/>
      <c r="C81" s="18" t="s">
        <v>2323</v>
      </c>
      <c r="D81" s="14" t="s">
        <v>61</v>
      </c>
      <c r="E81" s="111" t="e">
        <f>VLOOKUP(C81,KELAS!$A$2:$D$643,4,0)</f>
        <v>#N/A</v>
      </c>
      <c r="F81" s="18"/>
      <c r="G81" s="18"/>
      <c r="H81" s="19" t="s">
        <v>314</v>
      </c>
      <c r="I81" s="37">
        <v>1450000</v>
      </c>
      <c r="J81" s="87">
        <v>45964</v>
      </c>
      <c r="K81" s="88">
        <v>0.40687499999999999</v>
      </c>
      <c r="L81" s="39">
        <f t="shared" si="3"/>
        <v>0</v>
      </c>
      <c r="M81" s="20">
        <f t="shared" si="4"/>
        <v>-1450000</v>
      </c>
      <c r="N81" s="33">
        <v>0</v>
      </c>
      <c r="O81" s="60">
        <v>0</v>
      </c>
      <c r="P81" s="33">
        <v>0</v>
      </c>
      <c r="Q81" s="33">
        <v>0</v>
      </c>
      <c r="R81" s="33">
        <v>0</v>
      </c>
      <c r="S81" s="33">
        <v>0</v>
      </c>
      <c r="T81" s="33">
        <v>0</v>
      </c>
      <c r="U81" s="33">
        <v>0</v>
      </c>
      <c r="V81" s="60">
        <v>0</v>
      </c>
      <c r="W81" s="33">
        <v>0</v>
      </c>
      <c r="X81" s="60">
        <v>0</v>
      </c>
      <c r="Y81" s="60">
        <v>0</v>
      </c>
      <c r="Z81" s="33"/>
      <c r="AA81" s="60">
        <v>0</v>
      </c>
      <c r="AB81" s="60">
        <v>0</v>
      </c>
      <c r="AC81" s="60">
        <v>0</v>
      </c>
      <c r="AD81" s="60">
        <v>0</v>
      </c>
      <c r="AE81" s="60">
        <v>0</v>
      </c>
      <c r="AF81" s="33">
        <v>0</v>
      </c>
      <c r="AG81" s="33">
        <v>0</v>
      </c>
      <c r="AH81" s="33">
        <v>0</v>
      </c>
      <c r="AI81" s="33">
        <v>0</v>
      </c>
      <c r="AJ81" s="33">
        <v>0</v>
      </c>
      <c r="AK81" s="33">
        <v>0</v>
      </c>
      <c r="AL81" s="33">
        <v>0</v>
      </c>
      <c r="AM81" s="33">
        <v>0</v>
      </c>
      <c r="AN81" s="33">
        <v>0</v>
      </c>
      <c r="AO81" s="33">
        <v>0</v>
      </c>
      <c r="AP81" s="33">
        <v>0</v>
      </c>
    </row>
    <row r="82" spans="1:42" ht="89.25">
      <c r="A82" s="18"/>
      <c r="B82" s="18"/>
      <c r="C82" s="18" t="s">
        <v>1576</v>
      </c>
      <c r="D82" s="14" t="s">
        <v>61</v>
      </c>
      <c r="E82" s="111" t="str">
        <f>VLOOKUP(C82,KELAS!$A$2:$D$643,4,0)</f>
        <v>2 MARWAH</v>
      </c>
      <c r="F82" s="18"/>
      <c r="G82" s="18"/>
      <c r="H82" s="19" t="s">
        <v>316</v>
      </c>
      <c r="I82" s="37">
        <v>1540000</v>
      </c>
      <c r="J82" s="87">
        <v>45964</v>
      </c>
      <c r="K82" s="88">
        <v>0.4072337962962963</v>
      </c>
      <c r="L82" s="39">
        <f t="shared" si="3"/>
        <v>0</v>
      </c>
      <c r="M82" s="20">
        <f t="shared" si="4"/>
        <v>-1540000</v>
      </c>
      <c r="N82" s="33">
        <v>0</v>
      </c>
      <c r="O82" s="60">
        <v>0</v>
      </c>
      <c r="P82" s="33">
        <v>0</v>
      </c>
      <c r="Q82" s="33">
        <v>0</v>
      </c>
      <c r="R82" s="33">
        <v>0</v>
      </c>
      <c r="S82" s="33">
        <v>0</v>
      </c>
      <c r="T82" s="33">
        <v>0</v>
      </c>
      <c r="U82" s="33">
        <v>0</v>
      </c>
      <c r="V82" s="60">
        <v>0</v>
      </c>
      <c r="W82" s="33">
        <v>0</v>
      </c>
      <c r="X82" s="60">
        <v>0</v>
      </c>
      <c r="Y82" s="60">
        <v>0</v>
      </c>
      <c r="Z82" s="33"/>
      <c r="AA82" s="60">
        <v>0</v>
      </c>
      <c r="AB82" s="60">
        <v>0</v>
      </c>
      <c r="AC82" s="60">
        <v>0</v>
      </c>
      <c r="AD82" s="60">
        <v>0</v>
      </c>
      <c r="AE82" s="60">
        <v>0</v>
      </c>
      <c r="AF82" s="33">
        <v>0</v>
      </c>
      <c r="AG82" s="33">
        <v>0</v>
      </c>
      <c r="AH82" s="33">
        <v>0</v>
      </c>
      <c r="AI82" s="33">
        <v>0</v>
      </c>
      <c r="AJ82" s="33">
        <v>0</v>
      </c>
      <c r="AK82" s="33">
        <v>0</v>
      </c>
      <c r="AL82" s="33">
        <v>0</v>
      </c>
      <c r="AM82" s="33">
        <v>0</v>
      </c>
      <c r="AN82" s="33">
        <v>0</v>
      </c>
      <c r="AO82" s="33">
        <v>0</v>
      </c>
      <c r="AP82" s="33">
        <v>0</v>
      </c>
    </row>
    <row r="83" spans="1:42" ht="89.25">
      <c r="A83" s="18"/>
      <c r="B83" s="18"/>
      <c r="C83" s="18" t="s">
        <v>1208</v>
      </c>
      <c r="D83" s="14" t="s">
        <v>61</v>
      </c>
      <c r="E83" s="111" t="str">
        <f>VLOOKUP(C83,KELAS!$A$2:$D$643,4,0)</f>
        <v>1 MADINAH</v>
      </c>
      <c r="F83" s="18"/>
      <c r="G83" s="18"/>
      <c r="H83" s="19" t="s">
        <v>318</v>
      </c>
      <c r="I83" s="37">
        <v>1617000</v>
      </c>
      <c r="J83" s="87">
        <v>45964</v>
      </c>
      <c r="K83" s="88">
        <v>0.46395833333333331</v>
      </c>
      <c r="L83" s="39">
        <f t="shared" si="3"/>
        <v>0</v>
      </c>
      <c r="M83" s="20">
        <f t="shared" si="4"/>
        <v>-1617000</v>
      </c>
      <c r="N83" s="33">
        <v>0</v>
      </c>
      <c r="O83" s="60">
        <v>0</v>
      </c>
      <c r="P83" s="33">
        <v>0</v>
      </c>
      <c r="Q83" s="33">
        <v>0</v>
      </c>
      <c r="R83" s="33">
        <v>0</v>
      </c>
      <c r="S83" s="33">
        <v>0</v>
      </c>
      <c r="T83" s="33">
        <v>0</v>
      </c>
      <c r="U83" s="33">
        <v>0</v>
      </c>
      <c r="V83" s="60">
        <v>0</v>
      </c>
      <c r="W83" s="33">
        <v>0</v>
      </c>
      <c r="X83" s="60">
        <v>0</v>
      </c>
      <c r="Y83" s="60">
        <v>0</v>
      </c>
      <c r="Z83" s="33"/>
      <c r="AA83" s="60">
        <v>0</v>
      </c>
      <c r="AB83" s="60">
        <v>0</v>
      </c>
      <c r="AC83" s="60">
        <v>0</v>
      </c>
      <c r="AD83" s="60">
        <v>0</v>
      </c>
      <c r="AE83" s="60">
        <v>0</v>
      </c>
      <c r="AF83" s="33">
        <v>0</v>
      </c>
      <c r="AG83" s="33">
        <v>0</v>
      </c>
      <c r="AH83" s="33">
        <v>0</v>
      </c>
      <c r="AI83" s="33">
        <v>0</v>
      </c>
      <c r="AJ83" s="33">
        <v>0</v>
      </c>
      <c r="AK83" s="33">
        <v>0</v>
      </c>
      <c r="AL83" s="33">
        <v>0</v>
      </c>
      <c r="AM83" s="33">
        <v>0</v>
      </c>
      <c r="AN83" s="33">
        <v>0</v>
      </c>
      <c r="AO83" s="33">
        <v>0</v>
      </c>
      <c r="AP83" s="33">
        <v>0</v>
      </c>
    </row>
    <row r="84" spans="1:42" ht="76.5">
      <c r="A84" s="18"/>
      <c r="B84" s="18"/>
      <c r="C84" s="18" t="s">
        <v>1775</v>
      </c>
      <c r="D84" s="14" t="s">
        <v>61</v>
      </c>
      <c r="E84" s="111" t="str">
        <f>VLOOKUP(C84,KELAS!$A$2:$D$643,4,0)</f>
        <v>3 MARWAH</v>
      </c>
      <c r="F84" s="18"/>
      <c r="G84" s="18"/>
      <c r="H84" s="19" t="s">
        <v>115</v>
      </c>
      <c r="I84" s="37">
        <v>1450000</v>
      </c>
      <c r="J84" s="87">
        <v>45964</v>
      </c>
      <c r="K84" s="88">
        <v>0.46998842592592593</v>
      </c>
      <c r="L84" s="39">
        <f t="shared" si="3"/>
        <v>0</v>
      </c>
      <c r="M84" s="20">
        <f t="shared" si="4"/>
        <v>-1450000</v>
      </c>
      <c r="N84" s="33">
        <v>0</v>
      </c>
      <c r="O84" s="60">
        <v>0</v>
      </c>
      <c r="P84" s="33">
        <v>0</v>
      </c>
      <c r="Q84" s="33">
        <v>0</v>
      </c>
      <c r="R84" s="33">
        <v>0</v>
      </c>
      <c r="S84" s="33">
        <v>0</v>
      </c>
      <c r="T84" s="33">
        <v>0</v>
      </c>
      <c r="U84" s="33">
        <v>0</v>
      </c>
      <c r="V84" s="60">
        <v>0</v>
      </c>
      <c r="W84" s="33">
        <v>0</v>
      </c>
      <c r="X84" s="60">
        <v>0</v>
      </c>
      <c r="Y84" s="60">
        <v>0</v>
      </c>
      <c r="Z84" s="33"/>
      <c r="AA84" s="60">
        <v>0</v>
      </c>
      <c r="AB84" s="60">
        <v>0</v>
      </c>
      <c r="AC84" s="60">
        <v>0</v>
      </c>
      <c r="AD84" s="60">
        <v>0</v>
      </c>
      <c r="AE84" s="60">
        <v>0</v>
      </c>
      <c r="AF84" s="33">
        <v>0</v>
      </c>
      <c r="AG84" s="33">
        <v>0</v>
      </c>
      <c r="AH84" s="33">
        <v>0</v>
      </c>
      <c r="AI84" s="33">
        <v>0</v>
      </c>
      <c r="AJ84" s="33">
        <v>0</v>
      </c>
      <c r="AK84" s="33">
        <v>0</v>
      </c>
      <c r="AL84" s="33">
        <v>0</v>
      </c>
      <c r="AM84" s="33">
        <v>0</v>
      </c>
      <c r="AN84" s="33">
        <v>0</v>
      </c>
      <c r="AO84" s="33">
        <v>0</v>
      </c>
      <c r="AP84" s="33">
        <v>0</v>
      </c>
    </row>
    <row r="85" spans="1:42" ht="89.25">
      <c r="A85" s="18"/>
      <c r="B85" s="18"/>
      <c r="C85" s="18" t="s">
        <v>1991</v>
      </c>
      <c r="D85" s="14" t="s">
        <v>61</v>
      </c>
      <c r="E85" s="111" t="str">
        <f>VLOOKUP(C85,KELAS!$A$2:$D$643,4,0)</f>
        <v>4 MINA</v>
      </c>
      <c r="F85" s="18"/>
      <c r="G85" s="18"/>
      <c r="H85" s="19" t="s">
        <v>321</v>
      </c>
      <c r="I85" s="37">
        <v>1400000</v>
      </c>
      <c r="J85" s="87">
        <v>45964</v>
      </c>
      <c r="K85" s="88">
        <v>0.47836805555555556</v>
      </c>
      <c r="L85" s="39">
        <f t="shared" si="3"/>
        <v>0</v>
      </c>
      <c r="M85" s="20">
        <f t="shared" si="4"/>
        <v>-1400000</v>
      </c>
      <c r="N85" s="33">
        <v>0</v>
      </c>
      <c r="O85" s="60">
        <v>0</v>
      </c>
      <c r="P85" s="33">
        <v>0</v>
      </c>
      <c r="Q85" s="33">
        <v>0</v>
      </c>
      <c r="R85" s="33">
        <v>0</v>
      </c>
      <c r="S85" s="33">
        <v>0</v>
      </c>
      <c r="T85" s="33">
        <v>0</v>
      </c>
      <c r="U85" s="33">
        <v>0</v>
      </c>
      <c r="V85" s="60">
        <v>0</v>
      </c>
      <c r="W85" s="33">
        <v>0</v>
      </c>
      <c r="X85" s="60">
        <v>0</v>
      </c>
      <c r="Y85" s="60">
        <v>0</v>
      </c>
      <c r="Z85" s="33"/>
      <c r="AA85" s="60">
        <v>0</v>
      </c>
      <c r="AB85" s="60">
        <v>0</v>
      </c>
      <c r="AC85" s="60">
        <v>0</v>
      </c>
      <c r="AD85" s="60">
        <v>0</v>
      </c>
      <c r="AE85" s="60">
        <v>0</v>
      </c>
      <c r="AF85" s="33">
        <v>0</v>
      </c>
      <c r="AG85" s="33">
        <v>0</v>
      </c>
      <c r="AH85" s="33">
        <v>0</v>
      </c>
      <c r="AI85" s="33">
        <v>0</v>
      </c>
      <c r="AJ85" s="33">
        <v>0</v>
      </c>
      <c r="AK85" s="33">
        <v>0</v>
      </c>
      <c r="AL85" s="33">
        <v>0</v>
      </c>
      <c r="AM85" s="33">
        <v>0</v>
      </c>
      <c r="AN85" s="33">
        <v>0</v>
      </c>
      <c r="AO85" s="33">
        <v>0</v>
      </c>
      <c r="AP85" s="33">
        <v>0</v>
      </c>
    </row>
    <row r="86" spans="1:42" ht="102">
      <c r="A86" s="18"/>
      <c r="B86" s="18"/>
      <c r="C86" s="18" t="s">
        <v>1956</v>
      </c>
      <c r="D86" s="14" t="s">
        <v>61</v>
      </c>
      <c r="E86" s="111" t="str">
        <f>VLOOKUP(C86,KELAS!$A$2:$D$643,4,0)</f>
        <v>4 MINA</v>
      </c>
      <c r="F86" s="18"/>
      <c r="G86" s="18"/>
      <c r="H86" s="19" t="s">
        <v>323</v>
      </c>
      <c r="I86" s="37">
        <v>1400000</v>
      </c>
      <c r="J86" s="87">
        <v>45964</v>
      </c>
      <c r="K86" s="88">
        <v>0.5003009259259259</v>
      </c>
      <c r="L86" s="39">
        <f t="shared" si="3"/>
        <v>0</v>
      </c>
      <c r="M86" s="20">
        <f t="shared" si="4"/>
        <v>-1400000</v>
      </c>
      <c r="N86" s="33">
        <v>0</v>
      </c>
      <c r="O86" s="60">
        <v>0</v>
      </c>
      <c r="P86" s="33">
        <v>0</v>
      </c>
      <c r="Q86" s="33">
        <v>0</v>
      </c>
      <c r="R86" s="33">
        <v>0</v>
      </c>
      <c r="S86" s="33">
        <v>0</v>
      </c>
      <c r="T86" s="33">
        <v>0</v>
      </c>
      <c r="U86" s="33">
        <v>0</v>
      </c>
      <c r="V86" s="60">
        <v>0</v>
      </c>
      <c r="W86" s="33">
        <v>0</v>
      </c>
      <c r="X86" s="60">
        <v>0</v>
      </c>
      <c r="Y86" s="60">
        <v>0</v>
      </c>
      <c r="Z86" s="33"/>
      <c r="AA86" s="60">
        <v>0</v>
      </c>
      <c r="AB86" s="60">
        <v>0</v>
      </c>
      <c r="AC86" s="60">
        <v>0</v>
      </c>
      <c r="AD86" s="60">
        <v>0</v>
      </c>
      <c r="AE86" s="60">
        <v>0</v>
      </c>
      <c r="AF86" s="33">
        <v>0</v>
      </c>
      <c r="AG86" s="33">
        <v>0</v>
      </c>
      <c r="AH86" s="33">
        <v>0</v>
      </c>
      <c r="AI86" s="33">
        <v>0</v>
      </c>
      <c r="AJ86" s="33">
        <v>0</v>
      </c>
      <c r="AK86" s="33">
        <v>0</v>
      </c>
      <c r="AL86" s="33">
        <v>0</v>
      </c>
      <c r="AM86" s="33">
        <v>0</v>
      </c>
      <c r="AN86" s="33">
        <v>0</v>
      </c>
      <c r="AO86" s="33">
        <v>0</v>
      </c>
      <c r="AP86" s="33">
        <v>0</v>
      </c>
    </row>
    <row r="87" spans="1:42" ht="102">
      <c r="A87" s="18"/>
      <c r="B87" s="18"/>
      <c r="C87" s="18" t="s">
        <v>1382</v>
      </c>
      <c r="D87" s="14" t="s">
        <v>61</v>
      </c>
      <c r="E87" s="111" t="str">
        <f>VLOOKUP(C87,KELAS!$A$2:$D$643,4,0)</f>
        <v>2 MEKKAH</v>
      </c>
      <c r="F87" s="18"/>
      <c r="G87" s="18"/>
      <c r="H87" s="19" t="s">
        <v>325</v>
      </c>
      <c r="I87" s="37">
        <v>1540000</v>
      </c>
      <c r="J87" s="87">
        <v>45964</v>
      </c>
      <c r="K87" s="88">
        <v>0.51589120370370367</v>
      </c>
      <c r="L87" s="39">
        <f t="shared" si="3"/>
        <v>0</v>
      </c>
      <c r="M87" s="20">
        <f t="shared" si="4"/>
        <v>-1540000</v>
      </c>
      <c r="N87" s="33">
        <v>0</v>
      </c>
      <c r="O87" s="60">
        <v>0</v>
      </c>
      <c r="P87" s="33">
        <v>0</v>
      </c>
      <c r="Q87" s="33">
        <v>0</v>
      </c>
      <c r="R87" s="33">
        <v>0</v>
      </c>
      <c r="S87" s="33">
        <v>0</v>
      </c>
      <c r="T87" s="33">
        <v>0</v>
      </c>
      <c r="U87" s="33">
        <v>0</v>
      </c>
      <c r="V87" s="60">
        <v>0</v>
      </c>
      <c r="W87" s="33">
        <v>0</v>
      </c>
      <c r="X87" s="60">
        <v>0</v>
      </c>
      <c r="Y87" s="60">
        <v>0</v>
      </c>
      <c r="Z87" s="33"/>
      <c r="AA87" s="60">
        <v>0</v>
      </c>
      <c r="AB87" s="60">
        <v>0</v>
      </c>
      <c r="AC87" s="60">
        <v>0</v>
      </c>
      <c r="AD87" s="60">
        <v>0</v>
      </c>
      <c r="AE87" s="60">
        <v>0</v>
      </c>
      <c r="AF87" s="33">
        <v>0</v>
      </c>
      <c r="AG87" s="33">
        <v>0</v>
      </c>
      <c r="AH87" s="33">
        <v>0</v>
      </c>
      <c r="AI87" s="33">
        <v>0</v>
      </c>
      <c r="AJ87" s="33">
        <v>0</v>
      </c>
      <c r="AK87" s="33">
        <v>0</v>
      </c>
      <c r="AL87" s="33">
        <v>0</v>
      </c>
      <c r="AM87" s="33">
        <v>0</v>
      </c>
      <c r="AN87" s="33">
        <v>0</v>
      </c>
      <c r="AO87" s="33">
        <v>0</v>
      </c>
      <c r="AP87" s="33">
        <v>0</v>
      </c>
    </row>
    <row r="88" spans="1:42" ht="102">
      <c r="A88" s="18"/>
      <c r="B88" s="18"/>
      <c r="C88" s="18" t="s">
        <v>1574</v>
      </c>
      <c r="D88" s="14" t="s">
        <v>61</v>
      </c>
      <c r="E88" s="111" t="str">
        <f>VLOOKUP(C88,KELAS!$A$2:$D$643,4,0)</f>
        <v>2 MARWAH</v>
      </c>
      <c r="F88" s="18"/>
      <c r="G88" s="18"/>
      <c r="H88" s="19" t="s">
        <v>327</v>
      </c>
      <c r="I88" s="37">
        <v>1540000</v>
      </c>
      <c r="J88" s="87">
        <v>45964</v>
      </c>
      <c r="K88" s="88">
        <v>0.51969907407407412</v>
      </c>
      <c r="L88" s="39">
        <f t="shared" si="3"/>
        <v>0</v>
      </c>
      <c r="M88" s="20">
        <f t="shared" si="4"/>
        <v>-1540000</v>
      </c>
      <c r="N88" s="33">
        <v>0</v>
      </c>
      <c r="O88" s="60">
        <v>0</v>
      </c>
      <c r="P88" s="33">
        <v>0</v>
      </c>
      <c r="Q88" s="33">
        <v>0</v>
      </c>
      <c r="R88" s="33">
        <v>0</v>
      </c>
      <c r="S88" s="33">
        <v>0</v>
      </c>
      <c r="T88" s="33">
        <v>0</v>
      </c>
      <c r="U88" s="33">
        <v>0</v>
      </c>
      <c r="V88" s="60">
        <v>0</v>
      </c>
      <c r="W88" s="33">
        <v>0</v>
      </c>
      <c r="X88" s="60">
        <v>0</v>
      </c>
      <c r="Y88" s="60">
        <v>0</v>
      </c>
      <c r="Z88" s="33"/>
      <c r="AA88" s="60">
        <v>0</v>
      </c>
      <c r="AB88" s="60">
        <v>0</v>
      </c>
      <c r="AC88" s="60">
        <v>0</v>
      </c>
      <c r="AD88" s="60">
        <v>0</v>
      </c>
      <c r="AE88" s="60">
        <v>0</v>
      </c>
      <c r="AF88" s="33">
        <v>0</v>
      </c>
      <c r="AG88" s="33">
        <v>0</v>
      </c>
      <c r="AH88" s="33">
        <v>0</v>
      </c>
      <c r="AI88" s="33">
        <v>0</v>
      </c>
      <c r="AJ88" s="33">
        <v>0</v>
      </c>
      <c r="AK88" s="33">
        <v>0</v>
      </c>
      <c r="AL88" s="33">
        <v>0</v>
      </c>
      <c r="AM88" s="33">
        <v>0</v>
      </c>
      <c r="AN88" s="33">
        <v>0</v>
      </c>
      <c r="AO88" s="33">
        <v>0</v>
      </c>
      <c r="AP88" s="33">
        <v>0</v>
      </c>
    </row>
    <row r="89" spans="1:42" ht="89.25">
      <c r="A89" s="18"/>
      <c r="B89" s="18"/>
      <c r="C89" s="18" t="s">
        <v>1589</v>
      </c>
      <c r="D89" s="14" t="s">
        <v>61</v>
      </c>
      <c r="E89" s="111" t="str">
        <f>VLOOKUP(C89,KELAS!$A$2:$D$643,4,0)</f>
        <v>2 MARWAH</v>
      </c>
      <c r="F89" s="18"/>
      <c r="G89" s="18"/>
      <c r="H89" s="19" t="s">
        <v>329</v>
      </c>
      <c r="I89" s="37">
        <v>1540000</v>
      </c>
      <c r="J89" s="87">
        <v>45964</v>
      </c>
      <c r="K89" s="88">
        <v>0.53216435185185185</v>
      </c>
      <c r="L89" s="39">
        <f t="shared" si="3"/>
        <v>0</v>
      </c>
      <c r="M89" s="20">
        <f t="shared" si="4"/>
        <v>-1540000</v>
      </c>
      <c r="N89" s="33">
        <v>0</v>
      </c>
      <c r="O89" s="60">
        <v>0</v>
      </c>
      <c r="P89" s="33">
        <v>0</v>
      </c>
      <c r="Q89" s="33">
        <v>0</v>
      </c>
      <c r="R89" s="33">
        <v>0</v>
      </c>
      <c r="S89" s="33">
        <v>0</v>
      </c>
      <c r="T89" s="33">
        <v>0</v>
      </c>
      <c r="U89" s="33">
        <v>0</v>
      </c>
      <c r="V89" s="60">
        <v>0</v>
      </c>
      <c r="W89" s="33">
        <v>0</v>
      </c>
      <c r="X89" s="60">
        <v>0</v>
      </c>
      <c r="Y89" s="60">
        <v>0</v>
      </c>
      <c r="Z89" s="33"/>
      <c r="AA89" s="60">
        <v>0</v>
      </c>
      <c r="AB89" s="60">
        <v>0</v>
      </c>
      <c r="AC89" s="60">
        <v>0</v>
      </c>
      <c r="AD89" s="60">
        <v>0</v>
      </c>
      <c r="AE89" s="60">
        <v>0</v>
      </c>
      <c r="AF89" s="33">
        <v>0</v>
      </c>
      <c r="AG89" s="33">
        <v>0</v>
      </c>
      <c r="AH89" s="33">
        <v>0</v>
      </c>
      <c r="AI89" s="33">
        <v>0</v>
      </c>
      <c r="AJ89" s="33">
        <v>0</v>
      </c>
      <c r="AK89" s="33">
        <v>0</v>
      </c>
      <c r="AL89" s="33">
        <v>0</v>
      </c>
      <c r="AM89" s="33">
        <v>0</v>
      </c>
      <c r="AN89" s="33">
        <v>0</v>
      </c>
      <c r="AO89" s="33">
        <v>0</v>
      </c>
      <c r="AP89" s="33">
        <v>0</v>
      </c>
    </row>
    <row r="90" spans="1:42" ht="89.25">
      <c r="A90" s="18"/>
      <c r="B90" s="18"/>
      <c r="C90" s="18" t="s">
        <v>1518</v>
      </c>
      <c r="D90" s="14" t="s">
        <v>61</v>
      </c>
      <c r="E90" s="111" t="str">
        <f>VLOOKUP(C90,KELAS!$A$2:$D$643,4,0)</f>
        <v>2 MINA</v>
      </c>
      <c r="F90" s="18"/>
      <c r="G90" s="18"/>
      <c r="H90" s="19" t="s">
        <v>331</v>
      </c>
      <c r="I90" s="37">
        <v>1540000</v>
      </c>
      <c r="J90" s="87">
        <v>45964</v>
      </c>
      <c r="K90" s="88">
        <v>0.53218750000000004</v>
      </c>
      <c r="L90" s="39">
        <f t="shared" si="3"/>
        <v>0</v>
      </c>
      <c r="M90" s="20">
        <f t="shared" si="4"/>
        <v>-1540000</v>
      </c>
      <c r="N90" s="33">
        <v>0</v>
      </c>
      <c r="O90" s="60">
        <v>0</v>
      </c>
      <c r="P90" s="33">
        <v>0</v>
      </c>
      <c r="Q90" s="33">
        <v>0</v>
      </c>
      <c r="R90" s="33">
        <v>0</v>
      </c>
      <c r="S90" s="33">
        <v>0</v>
      </c>
      <c r="T90" s="33">
        <v>0</v>
      </c>
      <c r="U90" s="33">
        <v>0</v>
      </c>
      <c r="V90" s="60">
        <v>0</v>
      </c>
      <c r="W90" s="33">
        <v>0</v>
      </c>
      <c r="X90" s="60">
        <v>0</v>
      </c>
      <c r="Y90" s="60">
        <v>0</v>
      </c>
      <c r="Z90" s="33"/>
      <c r="AA90" s="60">
        <v>0</v>
      </c>
      <c r="AB90" s="60">
        <v>0</v>
      </c>
      <c r="AC90" s="60">
        <v>0</v>
      </c>
      <c r="AD90" s="60">
        <v>0</v>
      </c>
      <c r="AE90" s="60">
        <v>0</v>
      </c>
      <c r="AF90" s="33">
        <v>0</v>
      </c>
      <c r="AG90" s="33">
        <v>0</v>
      </c>
      <c r="AH90" s="33">
        <v>0</v>
      </c>
      <c r="AI90" s="33">
        <v>0</v>
      </c>
      <c r="AJ90" s="33">
        <v>0</v>
      </c>
      <c r="AK90" s="33">
        <v>0</v>
      </c>
      <c r="AL90" s="33">
        <v>0</v>
      </c>
      <c r="AM90" s="33">
        <v>0</v>
      </c>
      <c r="AN90" s="33">
        <v>0</v>
      </c>
      <c r="AO90" s="33">
        <v>0</v>
      </c>
      <c r="AP90" s="33">
        <v>0</v>
      </c>
    </row>
    <row r="91" spans="1:42" ht="63.75">
      <c r="A91" s="18"/>
      <c r="B91" s="18"/>
      <c r="C91" s="18" t="s">
        <v>2324</v>
      </c>
      <c r="D91" s="14" t="s">
        <v>61</v>
      </c>
      <c r="E91" s="111" t="e">
        <f>VLOOKUP(C91,KELAS!$A$2:$D$643,4,0)</f>
        <v>#N/A</v>
      </c>
      <c r="F91" s="18"/>
      <c r="G91" s="18"/>
      <c r="H91" s="19" t="s">
        <v>333</v>
      </c>
      <c r="I91" s="37">
        <v>1400000</v>
      </c>
      <c r="J91" s="87">
        <v>45964</v>
      </c>
      <c r="K91" s="88">
        <v>0.54673611111111109</v>
      </c>
      <c r="L91" s="39">
        <f t="shared" si="3"/>
        <v>0</v>
      </c>
      <c r="M91" s="20">
        <f t="shared" si="4"/>
        <v>-1400000</v>
      </c>
      <c r="N91" s="33">
        <v>0</v>
      </c>
      <c r="O91" s="60">
        <v>0</v>
      </c>
      <c r="P91" s="33">
        <v>0</v>
      </c>
      <c r="Q91" s="33">
        <v>0</v>
      </c>
      <c r="R91" s="33">
        <v>0</v>
      </c>
      <c r="S91" s="33">
        <v>0</v>
      </c>
      <c r="T91" s="33">
        <v>0</v>
      </c>
      <c r="U91" s="33">
        <v>0</v>
      </c>
      <c r="V91" s="60">
        <v>0</v>
      </c>
      <c r="W91" s="33">
        <v>0</v>
      </c>
      <c r="X91" s="60">
        <v>0</v>
      </c>
      <c r="Y91" s="60">
        <v>0</v>
      </c>
      <c r="Z91" s="33"/>
      <c r="AA91" s="60">
        <v>0</v>
      </c>
      <c r="AB91" s="60">
        <v>0</v>
      </c>
      <c r="AC91" s="60">
        <v>0</v>
      </c>
      <c r="AD91" s="60">
        <v>0</v>
      </c>
      <c r="AE91" s="60">
        <v>0</v>
      </c>
      <c r="AF91" s="33">
        <v>0</v>
      </c>
      <c r="AG91" s="33">
        <v>0</v>
      </c>
      <c r="AH91" s="33">
        <v>0</v>
      </c>
      <c r="AI91" s="33">
        <v>0</v>
      </c>
      <c r="AJ91" s="33">
        <v>0</v>
      </c>
      <c r="AK91" s="33">
        <v>0</v>
      </c>
      <c r="AL91" s="33">
        <v>0</v>
      </c>
      <c r="AM91" s="33">
        <v>0</v>
      </c>
      <c r="AN91" s="33">
        <v>0</v>
      </c>
      <c r="AO91" s="33">
        <v>0</v>
      </c>
      <c r="AP91" s="33">
        <v>0</v>
      </c>
    </row>
    <row r="92" spans="1:42" ht="76.5">
      <c r="A92" s="18"/>
      <c r="B92" s="18"/>
      <c r="C92" s="18" t="s">
        <v>2325</v>
      </c>
      <c r="D92" s="14" t="s">
        <v>61</v>
      </c>
      <c r="E92" s="111" t="str">
        <f>VLOOKUP(C92,KELAS!$A$2:$D$643,4,0)</f>
        <v>3 MADINAH</v>
      </c>
      <c r="F92" s="18"/>
      <c r="G92" s="18"/>
      <c r="H92" s="19" t="s">
        <v>335</v>
      </c>
      <c r="I92" s="37">
        <v>1450000</v>
      </c>
      <c r="J92" s="87">
        <v>45964</v>
      </c>
      <c r="K92" s="88">
        <v>0.54895833333333333</v>
      </c>
      <c r="L92" s="39">
        <f t="shared" si="3"/>
        <v>0</v>
      </c>
      <c r="M92" s="20">
        <f t="shared" si="4"/>
        <v>-1450000</v>
      </c>
      <c r="N92" s="33">
        <v>0</v>
      </c>
      <c r="O92" s="60">
        <v>0</v>
      </c>
      <c r="P92" s="33">
        <v>0</v>
      </c>
      <c r="Q92" s="33">
        <v>0</v>
      </c>
      <c r="R92" s="33">
        <v>0</v>
      </c>
      <c r="S92" s="33">
        <v>0</v>
      </c>
      <c r="T92" s="33">
        <v>0</v>
      </c>
      <c r="U92" s="33">
        <v>0</v>
      </c>
      <c r="V92" s="60">
        <v>0</v>
      </c>
      <c r="W92" s="33">
        <v>0</v>
      </c>
      <c r="X92" s="60">
        <v>0</v>
      </c>
      <c r="Y92" s="60">
        <v>0</v>
      </c>
      <c r="Z92" s="33"/>
      <c r="AA92" s="60">
        <v>0</v>
      </c>
      <c r="AB92" s="60">
        <v>0</v>
      </c>
      <c r="AC92" s="60">
        <v>0</v>
      </c>
      <c r="AD92" s="60">
        <v>0</v>
      </c>
      <c r="AE92" s="60">
        <v>0</v>
      </c>
      <c r="AF92" s="33">
        <v>0</v>
      </c>
      <c r="AG92" s="33">
        <v>0</v>
      </c>
      <c r="AH92" s="33">
        <v>0</v>
      </c>
      <c r="AI92" s="33">
        <v>0</v>
      </c>
      <c r="AJ92" s="33">
        <v>0</v>
      </c>
      <c r="AK92" s="33">
        <v>0</v>
      </c>
      <c r="AL92" s="33">
        <v>0</v>
      </c>
      <c r="AM92" s="33">
        <v>0</v>
      </c>
      <c r="AN92" s="33">
        <v>0</v>
      </c>
      <c r="AO92" s="33">
        <v>0</v>
      </c>
      <c r="AP92" s="33">
        <v>0</v>
      </c>
    </row>
    <row r="93" spans="1:42" ht="89.25">
      <c r="A93" s="18"/>
      <c r="B93" s="18"/>
      <c r="C93" s="18" t="s">
        <v>2252</v>
      </c>
      <c r="D93" s="14" t="s">
        <v>61</v>
      </c>
      <c r="E93" s="111" t="str">
        <f>VLOOKUP(C93,KELAS!$A$2:$D$643,4,0)</f>
        <v>6 MADINAH</v>
      </c>
      <c r="F93" s="18"/>
      <c r="G93" s="18"/>
      <c r="H93" s="19" t="s">
        <v>337</v>
      </c>
      <c r="I93" s="37">
        <v>1400000</v>
      </c>
      <c r="J93" s="87">
        <v>45964</v>
      </c>
      <c r="K93" s="88">
        <v>0.56192129629629628</v>
      </c>
      <c r="L93" s="39">
        <f t="shared" si="3"/>
        <v>0</v>
      </c>
      <c r="M93" s="20">
        <f t="shared" si="4"/>
        <v>-1400000</v>
      </c>
      <c r="N93" s="33">
        <v>0</v>
      </c>
      <c r="O93" s="60">
        <v>0</v>
      </c>
      <c r="P93" s="33">
        <v>0</v>
      </c>
      <c r="Q93" s="33">
        <v>0</v>
      </c>
      <c r="R93" s="33">
        <v>0</v>
      </c>
      <c r="S93" s="33">
        <v>0</v>
      </c>
      <c r="T93" s="33">
        <v>0</v>
      </c>
      <c r="U93" s="33">
        <v>0</v>
      </c>
      <c r="V93" s="60">
        <v>0</v>
      </c>
      <c r="W93" s="33">
        <v>0</v>
      </c>
      <c r="X93" s="60">
        <v>0</v>
      </c>
      <c r="Y93" s="60">
        <v>0</v>
      </c>
      <c r="Z93" s="33"/>
      <c r="AA93" s="60">
        <v>0</v>
      </c>
      <c r="AB93" s="60">
        <v>0</v>
      </c>
      <c r="AC93" s="60">
        <v>0</v>
      </c>
      <c r="AD93" s="60">
        <v>0</v>
      </c>
      <c r="AE93" s="60">
        <v>0</v>
      </c>
      <c r="AF93" s="33">
        <v>0</v>
      </c>
      <c r="AG93" s="33">
        <v>0</v>
      </c>
      <c r="AH93" s="33">
        <v>0</v>
      </c>
      <c r="AI93" s="33">
        <v>0</v>
      </c>
      <c r="AJ93" s="33">
        <v>0</v>
      </c>
      <c r="AK93" s="33">
        <v>0</v>
      </c>
      <c r="AL93" s="33">
        <v>0</v>
      </c>
      <c r="AM93" s="33">
        <v>0</v>
      </c>
      <c r="AN93" s="33">
        <v>0</v>
      </c>
      <c r="AO93" s="33">
        <v>0</v>
      </c>
      <c r="AP93" s="33">
        <v>0</v>
      </c>
    </row>
    <row r="94" spans="1:42" ht="102">
      <c r="A94" s="18"/>
      <c r="B94" s="18"/>
      <c r="C94" s="18" t="s">
        <v>1739</v>
      </c>
      <c r="D94" s="14" t="s">
        <v>61</v>
      </c>
      <c r="E94" s="111" t="str">
        <f>VLOOKUP(C94,KELAS!$A$2:$D$643,4,0)</f>
        <v>3 MINA</v>
      </c>
      <c r="F94" s="18"/>
      <c r="G94" s="18"/>
      <c r="H94" s="19" t="s">
        <v>339</v>
      </c>
      <c r="I94" s="37">
        <v>1450000</v>
      </c>
      <c r="J94" s="87">
        <v>45964</v>
      </c>
      <c r="K94" s="88">
        <v>0.63160879629629629</v>
      </c>
      <c r="L94" s="39">
        <f t="shared" si="3"/>
        <v>0</v>
      </c>
      <c r="M94" s="20">
        <f t="shared" si="4"/>
        <v>-1450000</v>
      </c>
      <c r="N94" s="33">
        <v>0</v>
      </c>
      <c r="O94" s="60">
        <v>0</v>
      </c>
      <c r="P94" s="33">
        <v>0</v>
      </c>
      <c r="Q94" s="33">
        <v>0</v>
      </c>
      <c r="R94" s="33">
        <v>0</v>
      </c>
      <c r="S94" s="33">
        <v>0</v>
      </c>
      <c r="T94" s="33">
        <v>0</v>
      </c>
      <c r="U94" s="33">
        <v>0</v>
      </c>
      <c r="V94" s="60">
        <v>0</v>
      </c>
      <c r="W94" s="33">
        <v>0</v>
      </c>
      <c r="X94" s="60">
        <v>0</v>
      </c>
      <c r="Y94" s="60">
        <v>0</v>
      </c>
      <c r="Z94" s="33"/>
      <c r="AA94" s="60">
        <v>0</v>
      </c>
      <c r="AB94" s="60">
        <v>0</v>
      </c>
      <c r="AC94" s="60">
        <v>0</v>
      </c>
      <c r="AD94" s="60">
        <v>0</v>
      </c>
      <c r="AE94" s="60">
        <v>0</v>
      </c>
      <c r="AF94" s="33">
        <v>0</v>
      </c>
      <c r="AG94" s="33">
        <v>0</v>
      </c>
      <c r="AH94" s="33">
        <v>0</v>
      </c>
      <c r="AI94" s="33">
        <v>0</v>
      </c>
      <c r="AJ94" s="33">
        <v>0</v>
      </c>
      <c r="AK94" s="33">
        <v>0</v>
      </c>
      <c r="AL94" s="33">
        <v>0</v>
      </c>
      <c r="AM94" s="33">
        <v>0</v>
      </c>
      <c r="AN94" s="33">
        <v>0</v>
      </c>
      <c r="AO94" s="33">
        <v>0</v>
      </c>
      <c r="AP94" s="33">
        <v>0</v>
      </c>
    </row>
    <row r="95" spans="1:42" ht="76.5">
      <c r="A95" s="18"/>
      <c r="B95" s="18"/>
      <c r="C95" s="18" t="s">
        <v>2326</v>
      </c>
      <c r="D95" s="14" t="s">
        <v>61</v>
      </c>
      <c r="E95" s="111" t="e">
        <f>VLOOKUP(C95,KELAS!$A$2:$D$643,4,0)</f>
        <v>#N/A</v>
      </c>
      <c r="F95" s="18"/>
      <c r="G95" s="18"/>
      <c r="H95" s="19" t="s">
        <v>341</v>
      </c>
      <c r="I95" s="37">
        <v>1400000</v>
      </c>
      <c r="J95" s="87">
        <v>45964</v>
      </c>
      <c r="K95" s="88">
        <v>0.63351851851851848</v>
      </c>
      <c r="L95" s="39">
        <f t="shared" si="3"/>
        <v>0</v>
      </c>
      <c r="M95" s="20">
        <f t="shared" si="4"/>
        <v>-1400000</v>
      </c>
      <c r="N95" s="33">
        <v>0</v>
      </c>
      <c r="O95" s="60">
        <v>0</v>
      </c>
      <c r="P95" s="33">
        <v>0</v>
      </c>
      <c r="Q95" s="33">
        <v>0</v>
      </c>
      <c r="R95" s="33">
        <v>0</v>
      </c>
      <c r="S95" s="33">
        <v>0</v>
      </c>
      <c r="T95" s="33">
        <v>0</v>
      </c>
      <c r="U95" s="33">
        <v>0</v>
      </c>
      <c r="V95" s="60">
        <v>0</v>
      </c>
      <c r="W95" s="33">
        <v>0</v>
      </c>
      <c r="X95" s="60">
        <v>0</v>
      </c>
      <c r="Y95" s="60">
        <v>0</v>
      </c>
      <c r="Z95" s="33"/>
      <c r="AA95" s="60">
        <v>0</v>
      </c>
      <c r="AB95" s="60">
        <v>0</v>
      </c>
      <c r="AC95" s="60">
        <v>0</v>
      </c>
      <c r="AD95" s="60">
        <v>0</v>
      </c>
      <c r="AE95" s="60">
        <v>0</v>
      </c>
      <c r="AF95" s="33">
        <v>0</v>
      </c>
      <c r="AG95" s="33">
        <v>0</v>
      </c>
      <c r="AH95" s="33">
        <v>0</v>
      </c>
      <c r="AI95" s="33">
        <v>0</v>
      </c>
      <c r="AJ95" s="33">
        <v>0</v>
      </c>
      <c r="AK95" s="33">
        <v>0</v>
      </c>
      <c r="AL95" s="33">
        <v>0</v>
      </c>
      <c r="AM95" s="33">
        <v>0</v>
      </c>
      <c r="AN95" s="33">
        <v>0</v>
      </c>
      <c r="AO95" s="33">
        <v>0</v>
      </c>
      <c r="AP95" s="33">
        <v>0</v>
      </c>
    </row>
    <row r="96" spans="1:42" ht="76.5">
      <c r="A96" s="18"/>
      <c r="B96" s="18"/>
      <c r="C96" s="18" t="s">
        <v>2326</v>
      </c>
      <c r="D96" s="14" t="s">
        <v>61</v>
      </c>
      <c r="E96" s="111" t="e">
        <f>VLOOKUP(C96,KELAS!$A$2:$D$643,4,0)</f>
        <v>#N/A</v>
      </c>
      <c r="F96" s="18"/>
      <c r="G96" s="18"/>
      <c r="H96" s="19" t="s">
        <v>343</v>
      </c>
      <c r="I96" s="37">
        <v>1400000</v>
      </c>
      <c r="J96" s="87">
        <v>45964</v>
      </c>
      <c r="K96" s="88">
        <v>0.63392361111111106</v>
      </c>
      <c r="L96" s="39">
        <f t="shared" si="3"/>
        <v>0</v>
      </c>
      <c r="M96" s="20">
        <f t="shared" si="4"/>
        <v>-1400000</v>
      </c>
      <c r="N96" s="33">
        <v>0</v>
      </c>
      <c r="O96" s="60">
        <v>0</v>
      </c>
      <c r="P96" s="33">
        <v>0</v>
      </c>
      <c r="Q96" s="33">
        <v>0</v>
      </c>
      <c r="R96" s="33">
        <v>0</v>
      </c>
      <c r="S96" s="33">
        <v>0</v>
      </c>
      <c r="T96" s="33">
        <v>0</v>
      </c>
      <c r="U96" s="33">
        <v>0</v>
      </c>
      <c r="V96" s="60">
        <v>0</v>
      </c>
      <c r="W96" s="33">
        <v>0</v>
      </c>
      <c r="X96" s="60">
        <v>0</v>
      </c>
      <c r="Y96" s="60">
        <v>0</v>
      </c>
      <c r="Z96" s="33"/>
      <c r="AA96" s="60">
        <v>0</v>
      </c>
      <c r="AB96" s="60">
        <v>0</v>
      </c>
      <c r="AC96" s="60">
        <v>0</v>
      </c>
      <c r="AD96" s="60">
        <v>0</v>
      </c>
      <c r="AE96" s="60">
        <v>0</v>
      </c>
      <c r="AF96" s="33">
        <v>0</v>
      </c>
      <c r="AG96" s="33">
        <v>0</v>
      </c>
      <c r="AH96" s="33">
        <v>0</v>
      </c>
      <c r="AI96" s="33">
        <v>0</v>
      </c>
      <c r="AJ96" s="33">
        <v>0</v>
      </c>
      <c r="AK96" s="33">
        <v>0</v>
      </c>
      <c r="AL96" s="33">
        <v>0</v>
      </c>
      <c r="AM96" s="33">
        <v>0</v>
      </c>
      <c r="AN96" s="33">
        <v>0</v>
      </c>
      <c r="AO96" s="33">
        <v>0</v>
      </c>
      <c r="AP96" s="33">
        <v>0</v>
      </c>
    </row>
    <row r="97" spans="1:42" ht="63.75">
      <c r="A97" s="18"/>
      <c r="B97" s="18"/>
      <c r="C97" s="18" t="s">
        <v>2327</v>
      </c>
      <c r="D97" s="14" t="s">
        <v>61</v>
      </c>
      <c r="E97" s="111" t="str">
        <f>VLOOKUP(C97,KELAS!$A$2:$D$643,4,0)</f>
        <v>6 MADINAH</v>
      </c>
      <c r="F97" s="18"/>
      <c r="G97" s="18"/>
      <c r="H97" s="19" t="s">
        <v>134</v>
      </c>
      <c r="I97" s="37">
        <v>1400000</v>
      </c>
      <c r="J97" s="87">
        <v>45964</v>
      </c>
      <c r="K97" s="88">
        <v>0.67684027777777778</v>
      </c>
      <c r="L97" s="39">
        <f t="shared" si="3"/>
        <v>0</v>
      </c>
      <c r="M97" s="20">
        <f t="shared" si="4"/>
        <v>-1400000</v>
      </c>
      <c r="N97" s="33">
        <v>0</v>
      </c>
      <c r="O97" s="60">
        <v>0</v>
      </c>
      <c r="P97" s="33">
        <v>0</v>
      </c>
      <c r="Q97" s="33">
        <v>0</v>
      </c>
      <c r="R97" s="33">
        <v>0</v>
      </c>
      <c r="S97" s="33">
        <v>0</v>
      </c>
      <c r="T97" s="33">
        <v>0</v>
      </c>
      <c r="U97" s="33">
        <v>0</v>
      </c>
      <c r="V97" s="60">
        <v>0</v>
      </c>
      <c r="W97" s="33">
        <v>0</v>
      </c>
      <c r="X97" s="60">
        <v>0</v>
      </c>
      <c r="Y97" s="60">
        <v>0</v>
      </c>
      <c r="Z97" s="33"/>
      <c r="AA97" s="60">
        <v>0</v>
      </c>
      <c r="AB97" s="60">
        <v>0</v>
      </c>
      <c r="AC97" s="60">
        <v>0</v>
      </c>
      <c r="AD97" s="60">
        <v>0</v>
      </c>
      <c r="AE97" s="60">
        <v>0</v>
      </c>
      <c r="AF97" s="33">
        <v>0</v>
      </c>
      <c r="AG97" s="33">
        <v>0</v>
      </c>
      <c r="AH97" s="33">
        <v>0</v>
      </c>
      <c r="AI97" s="33">
        <v>0</v>
      </c>
      <c r="AJ97" s="33">
        <v>0</v>
      </c>
      <c r="AK97" s="33">
        <v>0</v>
      </c>
      <c r="AL97" s="33">
        <v>0</v>
      </c>
      <c r="AM97" s="33">
        <v>0</v>
      </c>
      <c r="AN97" s="33">
        <v>0</v>
      </c>
      <c r="AO97" s="33">
        <v>0</v>
      </c>
      <c r="AP97" s="33">
        <v>0</v>
      </c>
    </row>
    <row r="98" spans="1:42" ht="102">
      <c r="A98" s="18"/>
      <c r="B98" s="18"/>
      <c r="C98" s="18" t="s">
        <v>1737</v>
      </c>
      <c r="D98" s="14" t="s">
        <v>61</v>
      </c>
      <c r="E98" s="111" t="str">
        <f>VLOOKUP(C98,KELAS!$A$2:$D$643,4,0)</f>
        <v>3 MINA</v>
      </c>
      <c r="F98" s="18"/>
      <c r="G98" s="18"/>
      <c r="H98" s="19" t="s">
        <v>346</v>
      </c>
      <c r="I98" s="37">
        <v>1400000</v>
      </c>
      <c r="J98" s="87">
        <v>45964</v>
      </c>
      <c r="K98" s="88">
        <v>0.70474537037037033</v>
      </c>
      <c r="L98" s="39">
        <f t="shared" si="3"/>
        <v>0</v>
      </c>
      <c r="M98" s="20">
        <f t="shared" si="4"/>
        <v>-1400000</v>
      </c>
      <c r="N98" s="33">
        <v>0</v>
      </c>
      <c r="O98" s="60">
        <v>0</v>
      </c>
      <c r="P98" s="33">
        <v>0</v>
      </c>
      <c r="Q98" s="33">
        <v>0</v>
      </c>
      <c r="R98" s="33">
        <v>0</v>
      </c>
      <c r="S98" s="33">
        <v>0</v>
      </c>
      <c r="T98" s="33">
        <v>0</v>
      </c>
      <c r="U98" s="33">
        <v>0</v>
      </c>
      <c r="V98" s="60">
        <v>0</v>
      </c>
      <c r="W98" s="33">
        <v>0</v>
      </c>
      <c r="X98" s="60">
        <v>0</v>
      </c>
      <c r="Y98" s="60">
        <v>0</v>
      </c>
      <c r="Z98" s="33"/>
      <c r="AA98" s="60">
        <v>0</v>
      </c>
      <c r="AB98" s="60">
        <v>0</v>
      </c>
      <c r="AC98" s="60">
        <v>0</v>
      </c>
      <c r="AD98" s="60">
        <v>0</v>
      </c>
      <c r="AE98" s="60">
        <v>0</v>
      </c>
      <c r="AF98" s="33">
        <v>0</v>
      </c>
      <c r="AG98" s="33">
        <v>0</v>
      </c>
      <c r="AH98" s="33">
        <v>0</v>
      </c>
      <c r="AI98" s="33">
        <v>0</v>
      </c>
      <c r="AJ98" s="33">
        <v>0</v>
      </c>
      <c r="AK98" s="33">
        <v>0</v>
      </c>
      <c r="AL98" s="33">
        <v>0</v>
      </c>
      <c r="AM98" s="33">
        <v>0</v>
      </c>
      <c r="AN98" s="33">
        <v>0</v>
      </c>
      <c r="AO98" s="33">
        <v>0</v>
      </c>
      <c r="AP98" s="33">
        <v>0</v>
      </c>
    </row>
    <row r="99" spans="1:42" ht="102">
      <c r="A99" s="18"/>
      <c r="B99" s="18"/>
      <c r="C99" s="18" t="s">
        <v>1595</v>
      </c>
      <c r="D99" s="14" t="s">
        <v>61</v>
      </c>
      <c r="E99" s="111" t="str">
        <f>VLOOKUP(C99,KELAS!$A$2:$D$643,4,0)</f>
        <v>2 MARWAH</v>
      </c>
      <c r="F99" s="18"/>
      <c r="G99" s="18"/>
      <c r="H99" s="19" t="s">
        <v>348</v>
      </c>
      <c r="I99" s="37">
        <v>1540000</v>
      </c>
      <c r="J99" s="87">
        <v>45964</v>
      </c>
      <c r="K99" s="88">
        <v>0.70540509259259254</v>
      </c>
      <c r="L99" s="39">
        <f t="shared" si="3"/>
        <v>0</v>
      </c>
      <c r="M99" s="20">
        <f t="shared" si="4"/>
        <v>-1540000</v>
      </c>
      <c r="N99" s="33">
        <v>0</v>
      </c>
      <c r="O99" s="60">
        <v>0</v>
      </c>
      <c r="P99" s="33">
        <v>0</v>
      </c>
      <c r="Q99" s="33">
        <v>0</v>
      </c>
      <c r="R99" s="33">
        <v>0</v>
      </c>
      <c r="S99" s="33">
        <v>0</v>
      </c>
      <c r="T99" s="33">
        <v>0</v>
      </c>
      <c r="U99" s="33">
        <v>0</v>
      </c>
      <c r="V99" s="60">
        <v>0</v>
      </c>
      <c r="W99" s="33">
        <v>0</v>
      </c>
      <c r="X99" s="60">
        <v>0</v>
      </c>
      <c r="Y99" s="60">
        <v>0</v>
      </c>
      <c r="Z99" s="33"/>
      <c r="AA99" s="60">
        <v>0</v>
      </c>
      <c r="AB99" s="60">
        <v>0</v>
      </c>
      <c r="AC99" s="60">
        <v>0</v>
      </c>
      <c r="AD99" s="60">
        <v>0</v>
      </c>
      <c r="AE99" s="60">
        <v>0</v>
      </c>
      <c r="AF99" s="33">
        <v>0</v>
      </c>
      <c r="AG99" s="33">
        <v>0</v>
      </c>
      <c r="AH99" s="33">
        <v>0</v>
      </c>
      <c r="AI99" s="33">
        <v>0</v>
      </c>
      <c r="AJ99" s="33">
        <v>0</v>
      </c>
      <c r="AK99" s="33">
        <v>0</v>
      </c>
      <c r="AL99" s="33">
        <v>0</v>
      </c>
      <c r="AM99" s="33">
        <v>0</v>
      </c>
      <c r="AN99" s="33">
        <v>0</v>
      </c>
      <c r="AO99" s="33">
        <v>0</v>
      </c>
      <c r="AP99" s="33">
        <v>0</v>
      </c>
    </row>
    <row r="100" spans="1:42" ht="102">
      <c r="A100" s="18"/>
      <c r="B100" s="18"/>
      <c r="C100" s="18" t="s">
        <v>1725</v>
      </c>
      <c r="D100" s="14" t="s">
        <v>61</v>
      </c>
      <c r="E100" s="111" t="str">
        <f>VLOOKUP(C100,KELAS!$A$2:$D$643,4,0)</f>
        <v>3 MINA</v>
      </c>
      <c r="F100" s="18"/>
      <c r="G100" s="18"/>
      <c r="H100" s="19" t="s">
        <v>350</v>
      </c>
      <c r="I100" s="37">
        <v>1400000</v>
      </c>
      <c r="J100" s="87">
        <v>45964</v>
      </c>
      <c r="K100" s="88">
        <v>0.70568287037037036</v>
      </c>
      <c r="L100" s="39">
        <f t="shared" si="3"/>
        <v>0</v>
      </c>
      <c r="M100" s="20">
        <f t="shared" si="4"/>
        <v>-1400000</v>
      </c>
      <c r="N100" s="33">
        <v>0</v>
      </c>
      <c r="O100" s="60">
        <v>0</v>
      </c>
      <c r="P100" s="33">
        <v>0</v>
      </c>
      <c r="Q100" s="33">
        <v>0</v>
      </c>
      <c r="R100" s="33">
        <v>0</v>
      </c>
      <c r="S100" s="33">
        <v>0</v>
      </c>
      <c r="T100" s="33">
        <v>0</v>
      </c>
      <c r="U100" s="33">
        <v>0</v>
      </c>
      <c r="V100" s="60">
        <v>0</v>
      </c>
      <c r="W100" s="33">
        <v>0</v>
      </c>
      <c r="X100" s="60">
        <v>0</v>
      </c>
      <c r="Y100" s="60">
        <v>0</v>
      </c>
      <c r="Z100" s="33"/>
      <c r="AA100" s="60">
        <v>0</v>
      </c>
      <c r="AB100" s="60">
        <v>0</v>
      </c>
      <c r="AC100" s="60">
        <v>0</v>
      </c>
      <c r="AD100" s="60">
        <v>0</v>
      </c>
      <c r="AE100" s="60">
        <v>0</v>
      </c>
      <c r="AF100" s="33">
        <v>0</v>
      </c>
      <c r="AG100" s="33">
        <v>0</v>
      </c>
      <c r="AH100" s="33">
        <v>0</v>
      </c>
      <c r="AI100" s="33">
        <v>0</v>
      </c>
      <c r="AJ100" s="33">
        <v>0</v>
      </c>
      <c r="AK100" s="33">
        <v>0</v>
      </c>
      <c r="AL100" s="33">
        <v>0</v>
      </c>
      <c r="AM100" s="33">
        <v>0</v>
      </c>
      <c r="AN100" s="33">
        <v>0</v>
      </c>
      <c r="AO100" s="33">
        <v>0</v>
      </c>
      <c r="AP100" s="33">
        <v>0</v>
      </c>
    </row>
    <row r="101" spans="1:42" ht="89.25">
      <c r="A101" s="18"/>
      <c r="B101" s="18"/>
      <c r="C101" s="18" t="s">
        <v>1977</v>
      </c>
      <c r="D101" s="14" t="s">
        <v>61</v>
      </c>
      <c r="E101" s="111" t="str">
        <f>VLOOKUP(C101,KELAS!$A$2:$D$643,4,0)</f>
        <v>4 MINA</v>
      </c>
      <c r="F101" s="18"/>
      <c r="G101" s="18"/>
      <c r="H101" s="19" t="s">
        <v>352</v>
      </c>
      <c r="I101" s="37">
        <v>1400000</v>
      </c>
      <c r="J101" s="87">
        <v>45964</v>
      </c>
      <c r="K101" s="88">
        <v>0.70607638888888891</v>
      </c>
      <c r="L101" s="39">
        <f t="shared" si="3"/>
        <v>0</v>
      </c>
      <c r="M101" s="20">
        <f t="shared" si="4"/>
        <v>-1400000</v>
      </c>
      <c r="N101" s="33">
        <v>0</v>
      </c>
      <c r="O101" s="60">
        <v>0</v>
      </c>
      <c r="P101" s="33">
        <v>0</v>
      </c>
      <c r="Q101" s="33">
        <v>0</v>
      </c>
      <c r="R101" s="33">
        <v>0</v>
      </c>
      <c r="S101" s="33">
        <v>0</v>
      </c>
      <c r="T101" s="33">
        <v>0</v>
      </c>
      <c r="U101" s="33">
        <v>0</v>
      </c>
      <c r="V101" s="60">
        <v>0</v>
      </c>
      <c r="W101" s="33">
        <v>0</v>
      </c>
      <c r="X101" s="60">
        <v>0</v>
      </c>
      <c r="Y101" s="60">
        <v>0</v>
      </c>
      <c r="Z101" s="33"/>
      <c r="AA101" s="60">
        <v>0</v>
      </c>
      <c r="AB101" s="60">
        <v>0</v>
      </c>
      <c r="AC101" s="60">
        <v>0</v>
      </c>
      <c r="AD101" s="60">
        <v>0</v>
      </c>
      <c r="AE101" s="60">
        <v>0</v>
      </c>
      <c r="AF101" s="33">
        <v>0</v>
      </c>
      <c r="AG101" s="33">
        <v>0</v>
      </c>
      <c r="AH101" s="33">
        <v>0</v>
      </c>
      <c r="AI101" s="33">
        <v>0</v>
      </c>
      <c r="AJ101" s="33">
        <v>0</v>
      </c>
      <c r="AK101" s="33">
        <v>0</v>
      </c>
      <c r="AL101" s="33">
        <v>0</v>
      </c>
      <c r="AM101" s="33">
        <v>0</v>
      </c>
      <c r="AN101" s="33">
        <v>0</v>
      </c>
      <c r="AO101" s="33">
        <v>0</v>
      </c>
      <c r="AP101" s="33">
        <v>0</v>
      </c>
    </row>
    <row r="102" spans="1:42" ht="102">
      <c r="A102" s="18"/>
      <c r="B102" s="18"/>
      <c r="C102" s="18" t="s">
        <v>1614</v>
      </c>
      <c r="D102" s="14" t="s">
        <v>61</v>
      </c>
      <c r="E102" s="111" t="str">
        <f>VLOOKUP(C102,KELAS!$A$2:$D$643,4,0)</f>
        <v>3 MEKKAH</v>
      </c>
      <c r="F102" s="18"/>
      <c r="G102" s="18"/>
      <c r="H102" s="19" t="s">
        <v>354</v>
      </c>
      <c r="I102" s="37">
        <v>1450000</v>
      </c>
      <c r="J102" s="87">
        <v>45964</v>
      </c>
      <c r="K102" s="88">
        <v>0.7774537037037037</v>
      </c>
      <c r="L102" s="39">
        <f t="shared" ref="L102:L133" si="5">SUM(N102:AP102)</f>
        <v>0</v>
      </c>
      <c r="M102" s="20">
        <f t="shared" si="4"/>
        <v>-1450000</v>
      </c>
      <c r="N102" s="33">
        <v>0</v>
      </c>
      <c r="O102" s="60">
        <v>0</v>
      </c>
      <c r="P102" s="33">
        <v>0</v>
      </c>
      <c r="Q102" s="33">
        <v>0</v>
      </c>
      <c r="R102" s="33">
        <v>0</v>
      </c>
      <c r="S102" s="33">
        <v>0</v>
      </c>
      <c r="T102" s="33">
        <v>0</v>
      </c>
      <c r="U102" s="33">
        <v>0</v>
      </c>
      <c r="V102" s="60">
        <v>0</v>
      </c>
      <c r="W102" s="33">
        <v>0</v>
      </c>
      <c r="X102" s="60">
        <v>0</v>
      </c>
      <c r="Y102" s="60">
        <v>0</v>
      </c>
      <c r="Z102" s="33"/>
      <c r="AA102" s="60">
        <v>0</v>
      </c>
      <c r="AB102" s="60">
        <v>0</v>
      </c>
      <c r="AC102" s="60">
        <v>0</v>
      </c>
      <c r="AD102" s="60">
        <v>0</v>
      </c>
      <c r="AE102" s="60">
        <v>0</v>
      </c>
      <c r="AF102" s="33">
        <v>0</v>
      </c>
      <c r="AG102" s="33">
        <v>0</v>
      </c>
      <c r="AH102" s="33">
        <v>0</v>
      </c>
      <c r="AI102" s="33">
        <v>0</v>
      </c>
      <c r="AJ102" s="33">
        <v>0</v>
      </c>
      <c r="AK102" s="33">
        <v>0</v>
      </c>
      <c r="AL102" s="33">
        <v>0</v>
      </c>
      <c r="AM102" s="33">
        <v>0</v>
      </c>
      <c r="AN102" s="33">
        <v>0</v>
      </c>
      <c r="AO102" s="33">
        <v>0</v>
      </c>
      <c r="AP102" s="33">
        <v>0</v>
      </c>
    </row>
    <row r="103" spans="1:42" ht="102">
      <c r="A103" s="18"/>
      <c r="B103" s="18"/>
      <c r="C103" s="18" t="s">
        <v>1715</v>
      </c>
      <c r="D103" s="14" t="s">
        <v>61</v>
      </c>
      <c r="E103" s="111" t="str">
        <f>VLOOKUP(C103,KELAS!$A$2:$D$643,4,0)</f>
        <v>3 MINA</v>
      </c>
      <c r="F103" s="18"/>
      <c r="G103" s="18"/>
      <c r="H103" s="19" t="s">
        <v>356</v>
      </c>
      <c r="I103" s="37">
        <v>1500000</v>
      </c>
      <c r="J103" s="87">
        <v>45964</v>
      </c>
      <c r="K103" s="88">
        <v>0.82190972222222225</v>
      </c>
      <c r="L103" s="39">
        <f t="shared" si="5"/>
        <v>0</v>
      </c>
      <c r="M103" s="20">
        <f t="shared" si="4"/>
        <v>-1500000</v>
      </c>
      <c r="N103" s="33">
        <v>0</v>
      </c>
      <c r="O103" s="60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60">
        <v>0</v>
      </c>
      <c r="W103" s="33">
        <v>0</v>
      </c>
      <c r="X103" s="60">
        <v>0</v>
      </c>
      <c r="Y103" s="60">
        <v>0</v>
      </c>
      <c r="Z103" s="33"/>
      <c r="AA103" s="60">
        <v>0</v>
      </c>
      <c r="AB103" s="60">
        <v>0</v>
      </c>
      <c r="AC103" s="60">
        <v>0</v>
      </c>
      <c r="AD103" s="60">
        <v>0</v>
      </c>
      <c r="AE103" s="60">
        <v>0</v>
      </c>
      <c r="AF103" s="33">
        <v>0</v>
      </c>
      <c r="AG103" s="33">
        <v>0</v>
      </c>
      <c r="AH103" s="33">
        <v>0</v>
      </c>
      <c r="AI103" s="33">
        <v>0</v>
      </c>
      <c r="AJ103" s="33">
        <v>0</v>
      </c>
      <c r="AK103" s="33">
        <v>0</v>
      </c>
      <c r="AL103" s="33">
        <v>0</v>
      </c>
      <c r="AM103" s="33">
        <v>0</v>
      </c>
      <c r="AN103" s="33">
        <v>0</v>
      </c>
      <c r="AO103" s="33">
        <v>0</v>
      </c>
      <c r="AP103" s="33">
        <v>0</v>
      </c>
    </row>
    <row r="104" spans="1:42" ht="76.5">
      <c r="A104" s="18"/>
      <c r="B104" s="18"/>
      <c r="C104" s="18" t="s">
        <v>1222</v>
      </c>
      <c r="D104" s="14" t="s">
        <v>61</v>
      </c>
      <c r="E104" s="111" t="str">
        <f>VLOOKUP(C104,KELAS!$A$2:$D$643,4,0)</f>
        <v>1 MADINAH</v>
      </c>
      <c r="F104" s="18"/>
      <c r="G104" s="18"/>
      <c r="H104" s="19" t="s">
        <v>358</v>
      </c>
      <c r="I104" s="37">
        <v>1617000</v>
      </c>
      <c r="J104" s="87">
        <v>45964</v>
      </c>
      <c r="K104" s="88">
        <v>0.83305555555555555</v>
      </c>
      <c r="L104" s="39">
        <f t="shared" si="5"/>
        <v>0</v>
      </c>
      <c r="M104" s="20">
        <f t="shared" si="4"/>
        <v>-1617000</v>
      </c>
      <c r="N104" s="33">
        <v>0</v>
      </c>
      <c r="O104" s="60">
        <v>0</v>
      </c>
      <c r="P104" s="33">
        <v>0</v>
      </c>
      <c r="Q104" s="33">
        <v>0</v>
      </c>
      <c r="R104" s="33">
        <v>0</v>
      </c>
      <c r="S104" s="33">
        <v>0</v>
      </c>
      <c r="T104" s="33">
        <v>0</v>
      </c>
      <c r="U104" s="33">
        <v>0</v>
      </c>
      <c r="V104" s="60">
        <v>0</v>
      </c>
      <c r="W104" s="33">
        <v>0</v>
      </c>
      <c r="X104" s="60">
        <v>0</v>
      </c>
      <c r="Y104" s="60">
        <v>0</v>
      </c>
      <c r="Z104" s="33"/>
      <c r="AA104" s="60">
        <v>0</v>
      </c>
      <c r="AB104" s="60">
        <v>0</v>
      </c>
      <c r="AC104" s="60">
        <v>0</v>
      </c>
      <c r="AD104" s="60">
        <v>0</v>
      </c>
      <c r="AE104" s="60">
        <v>0</v>
      </c>
      <c r="AF104" s="33">
        <v>0</v>
      </c>
      <c r="AG104" s="33">
        <v>0</v>
      </c>
      <c r="AH104" s="33">
        <v>0</v>
      </c>
      <c r="AI104" s="33">
        <v>0</v>
      </c>
      <c r="AJ104" s="33">
        <v>0</v>
      </c>
      <c r="AK104" s="33">
        <v>0</v>
      </c>
      <c r="AL104" s="33">
        <v>0</v>
      </c>
      <c r="AM104" s="33">
        <v>0</v>
      </c>
      <c r="AN104" s="33">
        <v>0</v>
      </c>
      <c r="AO104" s="33">
        <v>0</v>
      </c>
      <c r="AP104" s="33">
        <v>0</v>
      </c>
    </row>
    <row r="105" spans="1:42" ht="89.25">
      <c r="A105" s="18"/>
      <c r="B105" s="18"/>
      <c r="C105" s="18" t="s">
        <v>2328</v>
      </c>
      <c r="D105" s="14" t="s">
        <v>61</v>
      </c>
      <c r="E105" s="111" t="e">
        <f>VLOOKUP(C105,KELAS!$A$2:$D$643,4,0)</f>
        <v>#N/A</v>
      </c>
      <c r="F105" s="18"/>
      <c r="G105" s="18"/>
      <c r="H105" s="19" t="s">
        <v>360</v>
      </c>
      <c r="I105" s="37">
        <v>2800000</v>
      </c>
      <c r="J105" s="87">
        <v>45964</v>
      </c>
      <c r="K105" s="88">
        <v>0.84509259259259262</v>
      </c>
      <c r="L105" s="39">
        <f t="shared" si="5"/>
        <v>0</v>
      </c>
      <c r="M105" s="20">
        <f t="shared" si="4"/>
        <v>-2800000</v>
      </c>
      <c r="N105" s="33">
        <v>0</v>
      </c>
      <c r="O105" s="60">
        <v>0</v>
      </c>
      <c r="P105" s="33">
        <v>0</v>
      </c>
      <c r="Q105" s="33">
        <v>0</v>
      </c>
      <c r="R105" s="33">
        <v>0</v>
      </c>
      <c r="S105" s="33">
        <v>0</v>
      </c>
      <c r="T105" s="33">
        <v>0</v>
      </c>
      <c r="U105" s="33">
        <v>0</v>
      </c>
      <c r="V105" s="60">
        <v>0</v>
      </c>
      <c r="W105" s="33">
        <v>0</v>
      </c>
      <c r="X105" s="60">
        <v>0</v>
      </c>
      <c r="Y105" s="60">
        <v>0</v>
      </c>
      <c r="Z105" s="33"/>
      <c r="AA105" s="60">
        <v>0</v>
      </c>
      <c r="AB105" s="60">
        <v>0</v>
      </c>
      <c r="AC105" s="60">
        <v>0</v>
      </c>
      <c r="AD105" s="60">
        <v>0</v>
      </c>
      <c r="AE105" s="60">
        <v>0</v>
      </c>
      <c r="AF105" s="33">
        <v>0</v>
      </c>
      <c r="AG105" s="33">
        <v>0</v>
      </c>
      <c r="AH105" s="33">
        <v>0</v>
      </c>
      <c r="AI105" s="33">
        <v>0</v>
      </c>
      <c r="AJ105" s="33">
        <v>0</v>
      </c>
      <c r="AK105" s="33">
        <v>0</v>
      </c>
      <c r="AL105" s="33">
        <v>0</v>
      </c>
      <c r="AM105" s="33">
        <v>0</v>
      </c>
      <c r="AN105" s="33">
        <v>0</v>
      </c>
      <c r="AO105" s="33">
        <v>0</v>
      </c>
      <c r="AP105" s="33">
        <v>0</v>
      </c>
    </row>
    <row r="106" spans="1:42" ht="76.5">
      <c r="A106" s="18"/>
      <c r="B106" s="18"/>
      <c r="C106" s="18" t="s">
        <v>1683</v>
      </c>
      <c r="D106" s="14" t="s">
        <v>61</v>
      </c>
      <c r="E106" s="111" t="str">
        <f>VLOOKUP(C106,KELAS!$A$2:$D$643,4,0)</f>
        <v>3 MADINAH</v>
      </c>
      <c r="F106" s="18"/>
      <c r="G106" s="18"/>
      <c r="H106" s="19" t="s">
        <v>161</v>
      </c>
      <c r="I106" s="37">
        <v>1450000</v>
      </c>
      <c r="J106" s="87">
        <v>45964</v>
      </c>
      <c r="K106" s="88">
        <v>0.8580092592592593</v>
      </c>
      <c r="L106" s="39">
        <f t="shared" si="5"/>
        <v>0</v>
      </c>
      <c r="M106" s="20">
        <f t="shared" si="4"/>
        <v>-1450000</v>
      </c>
      <c r="N106" s="33">
        <v>0</v>
      </c>
      <c r="O106" s="60">
        <v>0</v>
      </c>
      <c r="P106" s="33">
        <v>0</v>
      </c>
      <c r="Q106" s="33">
        <v>0</v>
      </c>
      <c r="R106" s="33">
        <v>0</v>
      </c>
      <c r="S106" s="33">
        <v>0</v>
      </c>
      <c r="T106" s="33">
        <v>0</v>
      </c>
      <c r="U106" s="33">
        <v>0</v>
      </c>
      <c r="V106" s="60">
        <v>0</v>
      </c>
      <c r="W106" s="33">
        <v>0</v>
      </c>
      <c r="X106" s="60">
        <v>0</v>
      </c>
      <c r="Y106" s="60">
        <v>0</v>
      </c>
      <c r="Z106" s="33"/>
      <c r="AA106" s="60">
        <v>0</v>
      </c>
      <c r="AB106" s="60">
        <v>0</v>
      </c>
      <c r="AC106" s="60">
        <v>0</v>
      </c>
      <c r="AD106" s="60">
        <v>0</v>
      </c>
      <c r="AE106" s="60">
        <v>0</v>
      </c>
      <c r="AF106" s="33">
        <v>0</v>
      </c>
      <c r="AG106" s="33">
        <v>0</v>
      </c>
      <c r="AH106" s="33">
        <v>0</v>
      </c>
      <c r="AI106" s="33">
        <v>0</v>
      </c>
      <c r="AJ106" s="33">
        <v>0</v>
      </c>
      <c r="AK106" s="33">
        <v>0</v>
      </c>
      <c r="AL106" s="33">
        <v>0</v>
      </c>
      <c r="AM106" s="33">
        <v>0</v>
      </c>
      <c r="AN106" s="33">
        <v>0</v>
      </c>
      <c r="AO106" s="33">
        <v>0</v>
      </c>
      <c r="AP106" s="33">
        <v>0</v>
      </c>
    </row>
    <row r="107" spans="1:42" ht="76.5">
      <c r="A107" s="18"/>
      <c r="B107" s="18"/>
      <c r="C107" s="18" t="s">
        <v>1142</v>
      </c>
      <c r="D107" s="14" t="s">
        <v>61</v>
      </c>
      <c r="E107" s="111" t="str">
        <f>VLOOKUP(C107,KELAS!$A$2:$D$643,4,0)</f>
        <v>1 MEKKAH</v>
      </c>
      <c r="F107" s="18"/>
      <c r="G107" s="18"/>
      <c r="H107" s="19" t="s">
        <v>162</v>
      </c>
      <c r="I107" s="37">
        <v>1625000</v>
      </c>
      <c r="J107" s="87">
        <v>45964</v>
      </c>
      <c r="K107" s="88">
        <v>0.85849537037037038</v>
      </c>
      <c r="L107" s="39">
        <f t="shared" si="5"/>
        <v>0</v>
      </c>
      <c r="M107" s="20">
        <f t="shared" si="4"/>
        <v>-1625000</v>
      </c>
      <c r="N107" s="33">
        <v>0</v>
      </c>
      <c r="O107" s="60">
        <v>0</v>
      </c>
      <c r="P107" s="33">
        <v>0</v>
      </c>
      <c r="Q107" s="33">
        <v>0</v>
      </c>
      <c r="R107" s="33">
        <v>0</v>
      </c>
      <c r="S107" s="33">
        <v>0</v>
      </c>
      <c r="T107" s="33">
        <v>0</v>
      </c>
      <c r="U107" s="33">
        <v>0</v>
      </c>
      <c r="V107" s="60">
        <v>0</v>
      </c>
      <c r="W107" s="33">
        <v>0</v>
      </c>
      <c r="X107" s="60">
        <v>0</v>
      </c>
      <c r="Y107" s="60">
        <v>0</v>
      </c>
      <c r="Z107" s="33"/>
      <c r="AA107" s="60">
        <v>0</v>
      </c>
      <c r="AB107" s="60">
        <v>0</v>
      </c>
      <c r="AC107" s="60">
        <v>0</v>
      </c>
      <c r="AD107" s="60">
        <v>0</v>
      </c>
      <c r="AE107" s="60">
        <v>0</v>
      </c>
      <c r="AF107" s="33">
        <v>0</v>
      </c>
      <c r="AG107" s="33">
        <v>0</v>
      </c>
      <c r="AH107" s="33">
        <v>0</v>
      </c>
      <c r="AI107" s="33">
        <v>0</v>
      </c>
      <c r="AJ107" s="33">
        <v>0</v>
      </c>
      <c r="AK107" s="33">
        <v>0</v>
      </c>
      <c r="AL107" s="33">
        <v>0</v>
      </c>
      <c r="AM107" s="33">
        <v>0</v>
      </c>
      <c r="AN107" s="33">
        <v>0</v>
      </c>
      <c r="AO107" s="33">
        <v>0</v>
      </c>
      <c r="AP107" s="33">
        <v>0</v>
      </c>
    </row>
    <row r="108" spans="1:42" ht="89.25">
      <c r="A108" s="18"/>
      <c r="B108" s="18"/>
      <c r="C108" s="18" t="s">
        <v>2155</v>
      </c>
      <c r="D108" s="14" t="s">
        <v>61</v>
      </c>
      <c r="E108" s="111" t="str">
        <f>VLOOKUP(C108,KELAS!$A$2:$D$643,4,0)</f>
        <v>5 MINA</v>
      </c>
      <c r="F108" s="18"/>
      <c r="G108" s="18"/>
      <c r="H108" s="19" t="s">
        <v>364</v>
      </c>
      <c r="I108" s="37">
        <v>1400000</v>
      </c>
      <c r="J108" s="87">
        <v>45964</v>
      </c>
      <c r="K108" s="88">
        <v>0.8740162037037037</v>
      </c>
      <c r="L108" s="39">
        <f t="shared" si="5"/>
        <v>0</v>
      </c>
      <c r="M108" s="20">
        <f t="shared" si="4"/>
        <v>-1400000</v>
      </c>
      <c r="N108" s="33">
        <v>0</v>
      </c>
      <c r="O108" s="60">
        <v>0</v>
      </c>
      <c r="P108" s="33">
        <v>0</v>
      </c>
      <c r="Q108" s="33">
        <v>0</v>
      </c>
      <c r="R108" s="33">
        <v>0</v>
      </c>
      <c r="S108" s="33">
        <v>0</v>
      </c>
      <c r="T108" s="33">
        <v>0</v>
      </c>
      <c r="U108" s="33">
        <v>0</v>
      </c>
      <c r="V108" s="60">
        <v>0</v>
      </c>
      <c r="W108" s="33">
        <v>0</v>
      </c>
      <c r="X108" s="60">
        <v>0</v>
      </c>
      <c r="Y108" s="60">
        <v>0</v>
      </c>
      <c r="Z108" s="33"/>
      <c r="AA108" s="60">
        <v>0</v>
      </c>
      <c r="AB108" s="60">
        <v>0</v>
      </c>
      <c r="AC108" s="60">
        <v>0</v>
      </c>
      <c r="AD108" s="60">
        <v>0</v>
      </c>
      <c r="AE108" s="60">
        <v>0</v>
      </c>
      <c r="AF108" s="33">
        <v>0</v>
      </c>
      <c r="AG108" s="33">
        <v>0</v>
      </c>
      <c r="AH108" s="33">
        <v>0</v>
      </c>
      <c r="AI108" s="33">
        <v>0</v>
      </c>
      <c r="AJ108" s="33">
        <v>0</v>
      </c>
      <c r="AK108" s="33">
        <v>0</v>
      </c>
      <c r="AL108" s="33">
        <v>0</v>
      </c>
      <c r="AM108" s="33">
        <v>0</v>
      </c>
      <c r="AN108" s="33">
        <v>0</v>
      </c>
      <c r="AO108" s="33">
        <v>0</v>
      </c>
      <c r="AP108" s="33">
        <v>0</v>
      </c>
    </row>
    <row r="109" spans="1:42" ht="89.25">
      <c r="A109" s="18"/>
      <c r="B109" s="18"/>
      <c r="C109" s="18" t="s">
        <v>1751</v>
      </c>
      <c r="D109" s="14" t="s">
        <v>61</v>
      </c>
      <c r="E109" s="111" t="str">
        <f>VLOOKUP(C109,KELAS!$A$2:$D$643,4,0)</f>
        <v>3 MINA</v>
      </c>
      <c r="F109" s="18"/>
      <c r="G109" s="18"/>
      <c r="H109" s="19" t="s">
        <v>366</v>
      </c>
      <c r="I109" s="37">
        <v>1540000</v>
      </c>
      <c r="J109" s="87">
        <v>45965</v>
      </c>
      <c r="K109" s="88">
        <v>0.15459490740740742</v>
      </c>
      <c r="L109" s="39">
        <f t="shared" si="5"/>
        <v>0</v>
      </c>
      <c r="M109" s="20">
        <f t="shared" si="4"/>
        <v>-1540000</v>
      </c>
      <c r="N109" s="33">
        <v>0</v>
      </c>
      <c r="O109" s="60">
        <v>0</v>
      </c>
      <c r="P109" s="33">
        <v>0</v>
      </c>
      <c r="Q109" s="33">
        <v>0</v>
      </c>
      <c r="R109" s="33">
        <v>0</v>
      </c>
      <c r="S109" s="33">
        <v>0</v>
      </c>
      <c r="T109" s="33">
        <v>0</v>
      </c>
      <c r="U109" s="33">
        <v>0</v>
      </c>
      <c r="V109" s="60">
        <v>0</v>
      </c>
      <c r="W109" s="33">
        <v>0</v>
      </c>
      <c r="X109" s="60">
        <v>0</v>
      </c>
      <c r="Y109" s="60">
        <v>0</v>
      </c>
      <c r="Z109" s="33"/>
      <c r="AA109" s="60">
        <v>0</v>
      </c>
      <c r="AB109" s="60">
        <v>0</v>
      </c>
      <c r="AC109" s="60">
        <v>0</v>
      </c>
      <c r="AD109" s="60">
        <v>0</v>
      </c>
      <c r="AE109" s="60">
        <v>0</v>
      </c>
      <c r="AF109" s="33">
        <v>0</v>
      </c>
      <c r="AG109" s="33">
        <v>0</v>
      </c>
      <c r="AH109" s="33">
        <v>0</v>
      </c>
      <c r="AI109" s="33">
        <v>0</v>
      </c>
      <c r="AJ109" s="33">
        <v>0</v>
      </c>
      <c r="AK109" s="33">
        <v>0</v>
      </c>
      <c r="AL109" s="33">
        <v>0</v>
      </c>
      <c r="AM109" s="33">
        <v>0</v>
      </c>
      <c r="AN109" s="33">
        <v>0</v>
      </c>
      <c r="AO109" s="33">
        <v>0</v>
      </c>
      <c r="AP109" s="33">
        <v>0</v>
      </c>
    </row>
    <row r="110" spans="1:42" ht="76.5">
      <c r="A110" s="18"/>
      <c r="B110" s="18"/>
      <c r="C110" s="18" t="s">
        <v>2047</v>
      </c>
      <c r="D110" s="14" t="s">
        <v>61</v>
      </c>
      <c r="E110" s="111" t="str">
        <f>VLOOKUP(C110,KELAS!$A$2:$D$643,4,0)</f>
        <v>5 MEKKAH</v>
      </c>
      <c r="F110" s="18"/>
      <c r="G110" s="18"/>
      <c r="H110" s="19" t="s">
        <v>368</v>
      </c>
      <c r="I110" s="37">
        <v>1540000</v>
      </c>
      <c r="J110" s="87">
        <v>45965</v>
      </c>
      <c r="K110" s="88">
        <v>0.2217824074074074</v>
      </c>
      <c r="L110" s="39">
        <f t="shared" si="5"/>
        <v>0</v>
      </c>
      <c r="M110" s="20">
        <f t="shared" si="4"/>
        <v>-1540000</v>
      </c>
      <c r="N110" s="33">
        <v>0</v>
      </c>
      <c r="O110" s="60">
        <v>0</v>
      </c>
      <c r="P110" s="33">
        <v>0</v>
      </c>
      <c r="Q110" s="33">
        <v>0</v>
      </c>
      <c r="R110" s="33">
        <v>0</v>
      </c>
      <c r="S110" s="33">
        <v>0</v>
      </c>
      <c r="T110" s="33">
        <v>0</v>
      </c>
      <c r="U110" s="33">
        <v>0</v>
      </c>
      <c r="V110" s="60">
        <v>0</v>
      </c>
      <c r="W110" s="33">
        <v>0</v>
      </c>
      <c r="X110" s="60">
        <v>0</v>
      </c>
      <c r="Y110" s="60">
        <v>0</v>
      </c>
      <c r="Z110" s="33"/>
      <c r="AA110" s="60">
        <v>0</v>
      </c>
      <c r="AB110" s="60">
        <v>0</v>
      </c>
      <c r="AC110" s="60">
        <v>0</v>
      </c>
      <c r="AD110" s="60">
        <v>0</v>
      </c>
      <c r="AE110" s="60">
        <v>0</v>
      </c>
      <c r="AF110" s="33">
        <v>0</v>
      </c>
      <c r="AG110" s="33">
        <v>0</v>
      </c>
      <c r="AH110" s="33">
        <v>0</v>
      </c>
      <c r="AI110" s="33">
        <v>0</v>
      </c>
      <c r="AJ110" s="33">
        <v>0</v>
      </c>
      <c r="AK110" s="33">
        <v>0</v>
      </c>
      <c r="AL110" s="33">
        <v>0</v>
      </c>
      <c r="AM110" s="33">
        <v>0</v>
      </c>
      <c r="AN110" s="33">
        <v>0</v>
      </c>
      <c r="AO110" s="33">
        <v>0</v>
      </c>
      <c r="AP110" s="33">
        <v>0</v>
      </c>
    </row>
    <row r="111" spans="1:42" ht="76.5">
      <c r="A111" s="18"/>
      <c r="B111" s="18"/>
      <c r="C111" s="18" t="s">
        <v>1329</v>
      </c>
      <c r="D111" s="14" t="s">
        <v>61</v>
      </c>
      <c r="E111" s="111" t="str">
        <f>VLOOKUP(C111,KELAS!$A$2:$D$643,4,0)</f>
        <v>1 MARWAH/TAHFIDZ</v>
      </c>
      <c r="F111" s="18"/>
      <c r="G111" s="18"/>
      <c r="H111" s="19" t="s">
        <v>370</v>
      </c>
      <c r="I111" s="37">
        <v>1617000</v>
      </c>
      <c r="J111" s="87">
        <v>45965</v>
      </c>
      <c r="K111" s="88">
        <v>0.22244212962962964</v>
      </c>
      <c r="L111" s="39">
        <f t="shared" si="5"/>
        <v>0</v>
      </c>
      <c r="M111" s="20">
        <f t="shared" si="4"/>
        <v>-1617000</v>
      </c>
      <c r="N111" s="33">
        <v>0</v>
      </c>
      <c r="O111" s="60">
        <v>0</v>
      </c>
      <c r="P111" s="33">
        <v>0</v>
      </c>
      <c r="Q111" s="33">
        <v>0</v>
      </c>
      <c r="R111" s="33">
        <v>0</v>
      </c>
      <c r="S111" s="33">
        <v>0</v>
      </c>
      <c r="T111" s="33">
        <v>0</v>
      </c>
      <c r="U111" s="33">
        <v>0</v>
      </c>
      <c r="V111" s="60">
        <v>0</v>
      </c>
      <c r="W111" s="33">
        <v>0</v>
      </c>
      <c r="X111" s="60">
        <v>0</v>
      </c>
      <c r="Y111" s="60">
        <v>0</v>
      </c>
      <c r="Z111" s="33"/>
      <c r="AA111" s="60">
        <v>0</v>
      </c>
      <c r="AB111" s="60">
        <v>0</v>
      </c>
      <c r="AC111" s="60">
        <v>0</v>
      </c>
      <c r="AD111" s="60">
        <v>0</v>
      </c>
      <c r="AE111" s="60">
        <v>0</v>
      </c>
      <c r="AF111" s="33">
        <v>0</v>
      </c>
      <c r="AG111" s="33">
        <v>0</v>
      </c>
      <c r="AH111" s="33">
        <v>0</v>
      </c>
      <c r="AI111" s="33">
        <v>0</v>
      </c>
      <c r="AJ111" s="33">
        <v>0</v>
      </c>
      <c r="AK111" s="33">
        <v>0</v>
      </c>
      <c r="AL111" s="33">
        <v>0</v>
      </c>
      <c r="AM111" s="33">
        <v>0</v>
      </c>
      <c r="AN111" s="33">
        <v>0</v>
      </c>
      <c r="AO111" s="33">
        <v>0</v>
      </c>
      <c r="AP111" s="33">
        <v>0</v>
      </c>
    </row>
    <row r="112" spans="1:42" ht="63.75">
      <c r="A112" s="18"/>
      <c r="B112" s="18"/>
      <c r="C112" s="18" t="s">
        <v>2329</v>
      </c>
      <c r="D112" s="14" t="s">
        <v>61</v>
      </c>
      <c r="E112" s="111" t="str">
        <f>VLOOKUP(C112,KELAS!$A$2:$D$643,4,0)</f>
        <v>6 MADINAH</v>
      </c>
      <c r="F112" s="18"/>
      <c r="G112" s="18"/>
      <c r="H112" s="19" t="s">
        <v>147</v>
      </c>
      <c r="I112" s="37">
        <v>1400000</v>
      </c>
      <c r="J112" s="87">
        <v>45965</v>
      </c>
      <c r="K112" s="88">
        <v>0.25364583333333335</v>
      </c>
      <c r="L112" s="39">
        <f t="shared" si="5"/>
        <v>0</v>
      </c>
      <c r="M112" s="20">
        <f t="shared" si="4"/>
        <v>-1400000</v>
      </c>
      <c r="N112" s="33">
        <v>0</v>
      </c>
      <c r="O112" s="60">
        <v>0</v>
      </c>
      <c r="P112" s="33">
        <v>0</v>
      </c>
      <c r="Q112" s="33">
        <v>0</v>
      </c>
      <c r="R112" s="33">
        <v>0</v>
      </c>
      <c r="S112" s="33">
        <v>0</v>
      </c>
      <c r="T112" s="33">
        <v>0</v>
      </c>
      <c r="U112" s="33">
        <v>0</v>
      </c>
      <c r="V112" s="60">
        <v>0</v>
      </c>
      <c r="W112" s="33">
        <v>0</v>
      </c>
      <c r="X112" s="60">
        <v>0</v>
      </c>
      <c r="Y112" s="60">
        <v>0</v>
      </c>
      <c r="Z112" s="33"/>
      <c r="AA112" s="60">
        <v>0</v>
      </c>
      <c r="AB112" s="60">
        <v>0</v>
      </c>
      <c r="AC112" s="60">
        <v>0</v>
      </c>
      <c r="AD112" s="60">
        <v>0</v>
      </c>
      <c r="AE112" s="60">
        <v>0</v>
      </c>
      <c r="AF112" s="33">
        <v>0</v>
      </c>
      <c r="AG112" s="33">
        <v>0</v>
      </c>
      <c r="AH112" s="33">
        <v>0</v>
      </c>
      <c r="AI112" s="33">
        <v>0</v>
      </c>
      <c r="AJ112" s="33">
        <v>0</v>
      </c>
      <c r="AK112" s="33">
        <v>0</v>
      </c>
      <c r="AL112" s="33">
        <v>0</v>
      </c>
      <c r="AM112" s="33">
        <v>0</v>
      </c>
      <c r="AN112" s="33">
        <v>0</v>
      </c>
      <c r="AO112" s="33">
        <v>0</v>
      </c>
      <c r="AP112" s="33">
        <v>0</v>
      </c>
    </row>
    <row r="113" spans="1:42" ht="89.25">
      <c r="A113" s="18"/>
      <c r="B113" s="18"/>
      <c r="C113" s="18" t="s">
        <v>1200</v>
      </c>
      <c r="D113" s="14" t="s">
        <v>61</v>
      </c>
      <c r="E113" s="111" t="str">
        <f>VLOOKUP(C113,KELAS!$A$2:$D$643,4,0)</f>
        <v>1 MADINAH</v>
      </c>
      <c r="F113" s="18"/>
      <c r="G113" s="18"/>
      <c r="H113" s="19" t="s">
        <v>373</v>
      </c>
      <c r="I113" s="37">
        <v>3234000</v>
      </c>
      <c r="J113" s="87">
        <v>45965</v>
      </c>
      <c r="K113" s="88">
        <v>0.28039351851851851</v>
      </c>
      <c r="L113" s="39">
        <f t="shared" si="5"/>
        <v>0</v>
      </c>
      <c r="M113" s="20">
        <f t="shared" si="4"/>
        <v>-3234000</v>
      </c>
      <c r="N113" s="33">
        <v>0</v>
      </c>
      <c r="O113" s="60">
        <v>0</v>
      </c>
      <c r="P113" s="33">
        <v>0</v>
      </c>
      <c r="Q113" s="33">
        <v>0</v>
      </c>
      <c r="R113" s="33">
        <v>0</v>
      </c>
      <c r="S113" s="33">
        <v>0</v>
      </c>
      <c r="T113" s="33">
        <v>0</v>
      </c>
      <c r="U113" s="33">
        <v>0</v>
      </c>
      <c r="V113" s="60">
        <v>0</v>
      </c>
      <c r="W113" s="33">
        <v>0</v>
      </c>
      <c r="X113" s="60">
        <v>0</v>
      </c>
      <c r="Y113" s="60">
        <v>0</v>
      </c>
      <c r="Z113" s="33"/>
      <c r="AA113" s="60">
        <v>0</v>
      </c>
      <c r="AB113" s="60">
        <v>0</v>
      </c>
      <c r="AC113" s="60">
        <v>0</v>
      </c>
      <c r="AD113" s="60">
        <v>0</v>
      </c>
      <c r="AE113" s="60">
        <v>0</v>
      </c>
      <c r="AF113" s="33">
        <v>0</v>
      </c>
      <c r="AG113" s="33">
        <v>0</v>
      </c>
      <c r="AH113" s="33">
        <v>0</v>
      </c>
      <c r="AI113" s="33">
        <v>0</v>
      </c>
      <c r="AJ113" s="33">
        <v>0</v>
      </c>
      <c r="AK113" s="33">
        <v>0</v>
      </c>
      <c r="AL113" s="33">
        <v>0</v>
      </c>
      <c r="AM113" s="33">
        <v>0</v>
      </c>
      <c r="AN113" s="33">
        <v>0</v>
      </c>
      <c r="AO113" s="33">
        <v>0</v>
      </c>
      <c r="AP113" s="33">
        <v>0</v>
      </c>
    </row>
    <row r="114" spans="1:42" ht="102">
      <c r="A114" s="18"/>
      <c r="B114" s="18"/>
      <c r="C114" s="18" t="s">
        <v>1293</v>
      </c>
      <c r="D114" s="14" t="s">
        <v>61</v>
      </c>
      <c r="E114" s="111" t="str">
        <f>VLOOKUP(C114,KELAS!$A$2:$D$643,4,0)</f>
        <v>1 MINA</v>
      </c>
      <c r="F114" s="18"/>
      <c r="G114" s="18"/>
      <c r="H114" s="19" t="s">
        <v>142</v>
      </c>
      <c r="I114" s="37">
        <v>1617000</v>
      </c>
      <c r="J114" s="87">
        <v>45965</v>
      </c>
      <c r="K114" s="88">
        <v>0.28388888888888891</v>
      </c>
      <c r="L114" s="39">
        <f t="shared" si="5"/>
        <v>0</v>
      </c>
      <c r="M114" s="20">
        <f t="shared" si="4"/>
        <v>-1617000</v>
      </c>
      <c r="N114" s="33">
        <v>0</v>
      </c>
      <c r="O114" s="60">
        <v>0</v>
      </c>
      <c r="P114" s="33">
        <v>0</v>
      </c>
      <c r="Q114" s="33">
        <v>0</v>
      </c>
      <c r="R114" s="33">
        <v>0</v>
      </c>
      <c r="S114" s="33">
        <v>0</v>
      </c>
      <c r="T114" s="33">
        <v>0</v>
      </c>
      <c r="U114" s="33">
        <v>0</v>
      </c>
      <c r="V114" s="60">
        <v>0</v>
      </c>
      <c r="W114" s="33">
        <v>0</v>
      </c>
      <c r="X114" s="60">
        <v>0</v>
      </c>
      <c r="Y114" s="60">
        <v>0</v>
      </c>
      <c r="Z114" s="33"/>
      <c r="AA114" s="60">
        <v>0</v>
      </c>
      <c r="AB114" s="60">
        <v>0</v>
      </c>
      <c r="AC114" s="60">
        <v>0</v>
      </c>
      <c r="AD114" s="60">
        <v>0</v>
      </c>
      <c r="AE114" s="60">
        <v>0</v>
      </c>
      <c r="AF114" s="33">
        <v>0</v>
      </c>
      <c r="AG114" s="33">
        <v>0</v>
      </c>
      <c r="AH114" s="33">
        <v>0</v>
      </c>
      <c r="AI114" s="33">
        <v>0</v>
      </c>
      <c r="AJ114" s="33">
        <v>0</v>
      </c>
      <c r="AK114" s="33">
        <v>0</v>
      </c>
      <c r="AL114" s="33">
        <v>0</v>
      </c>
      <c r="AM114" s="33">
        <v>0</v>
      </c>
      <c r="AN114" s="33">
        <v>0</v>
      </c>
      <c r="AO114" s="33">
        <v>0</v>
      </c>
      <c r="AP114" s="33">
        <v>0</v>
      </c>
    </row>
    <row r="115" spans="1:42" ht="76.5">
      <c r="A115" s="18"/>
      <c r="B115" s="18"/>
      <c r="C115" s="18" t="s">
        <v>1525</v>
      </c>
      <c r="D115" s="14" t="s">
        <v>61</v>
      </c>
      <c r="E115" s="111" t="str">
        <f>VLOOKUP(C115,KELAS!$A$2:$D$643,4,0)</f>
        <v>2 MINA</v>
      </c>
      <c r="F115" s="18"/>
      <c r="G115" s="18"/>
      <c r="H115" s="19" t="s">
        <v>143</v>
      </c>
      <c r="I115" s="37">
        <v>1540000</v>
      </c>
      <c r="J115" s="87">
        <v>45965</v>
      </c>
      <c r="K115" s="88">
        <v>0.28449074074074077</v>
      </c>
      <c r="L115" s="39">
        <f t="shared" si="5"/>
        <v>0</v>
      </c>
      <c r="M115" s="20">
        <f t="shared" si="4"/>
        <v>-1540000</v>
      </c>
      <c r="N115" s="33">
        <v>0</v>
      </c>
      <c r="O115" s="60">
        <v>0</v>
      </c>
      <c r="P115" s="33">
        <v>0</v>
      </c>
      <c r="Q115" s="33">
        <v>0</v>
      </c>
      <c r="R115" s="33">
        <v>0</v>
      </c>
      <c r="S115" s="33">
        <v>0</v>
      </c>
      <c r="T115" s="33">
        <v>0</v>
      </c>
      <c r="U115" s="33">
        <v>0</v>
      </c>
      <c r="V115" s="60">
        <v>0</v>
      </c>
      <c r="W115" s="33">
        <v>0</v>
      </c>
      <c r="X115" s="60">
        <v>0</v>
      </c>
      <c r="Y115" s="60">
        <v>0</v>
      </c>
      <c r="Z115" s="33"/>
      <c r="AA115" s="60">
        <v>0</v>
      </c>
      <c r="AB115" s="60">
        <v>0</v>
      </c>
      <c r="AC115" s="60">
        <v>0</v>
      </c>
      <c r="AD115" s="60">
        <v>0</v>
      </c>
      <c r="AE115" s="60">
        <v>0</v>
      </c>
      <c r="AF115" s="33">
        <v>0</v>
      </c>
      <c r="AG115" s="33">
        <v>0</v>
      </c>
      <c r="AH115" s="33">
        <v>0</v>
      </c>
      <c r="AI115" s="33">
        <v>0</v>
      </c>
      <c r="AJ115" s="33">
        <v>0</v>
      </c>
      <c r="AK115" s="33">
        <v>0</v>
      </c>
      <c r="AL115" s="33">
        <v>0</v>
      </c>
      <c r="AM115" s="33">
        <v>0</v>
      </c>
      <c r="AN115" s="33">
        <v>0</v>
      </c>
      <c r="AO115" s="33">
        <v>0</v>
      </c>
      <c r="AP115" s="33">
        <v>0</v>
      </c>
    </row>
    <row r="116" spans="1:42" ht="89.25">
      <c r="A116" s="18"/>
      <c r="B116" s="18"/>
      <c r="C116" s="18" t="s">
        <v>1251</v>
      </c>
      <c r="D116" s="14" t="s">
        <v>61</v>
      </c>
      <c r="E116" s="111" t="str">
        <f>VLOOKUP(C116,KELAS!$A$2:$D$643,4,0)</f>
        <v>1 MINA</v>
      </c>
      <c r="F116" s="18"/>
      <c r="G116" s="18"/>
      <c r="H116" s="19" t="s">
        <v>377</v>
      </c>
      <c r="I116" s="37">
        <v>1617000</v>
      </c>
      <c r="J116" s="87">
        <v>45965</v>
      </c>
      <c r="K116" s="88">
        <v>0.37305555555555553</v>
      </c>
      <c r="L116" s="39">
        <f t="shared" si="5"/>
        <v>0</v>
      </c>
      <c r="M116" s="20">
        <f t="shared" si="4"/>
        <v>-1617000</v>
      </c>
      <c r="N116" s="33">
        <v>0</v>
      </c>
      <c r="O116" s="60">
        <v>0</v>
      </c>
      <c r="P116" s="33">
        <v>0</v>
      </c>
      <c r="Q116" s="33">
        <v>0</v>
      </c>
      <c r="R116" s="33">
        <v>0</v>
      </c>
      <c r="S116" s="33">
        <v>0</v>
      </c>
      <c r="T116" s="33">
        <v>0</v>
      </c>
      <c r="U116" s="33">
        <v>0</v>
      </c>
      <c r="V116" s="60">
        <v>0</v>
      </c>
      <c r="W116" s="33">
        <v>0</v>
      </c>
      <c r="X116" s="60">
        <v>0</v>
      </c>
      <c r="Y116" s="60">
        <v>0</v>
      </c>
      <c r="Z116" s="33"/>
      <c r="AA116" s="60">
        <v>0</v>
      </c>
      <c r="AB116" s="60">
        <v>0</v>
      </c>
      <c r="AC116" s="60">
        <v>0</v>
      </c>
      <c r="AD116" s="60">
        <v>0</v>
      </c>
      <c r="AE116" s="60">
        <v>0</v>
      </c>
      <c r="AF116" s="33">
        <v>0</v>
      </c>
      <c r="AG116" s="33">
        <v>0</v>
      </c>
      <c r="AH116" s="33">
        <v>0</v>
      </c>
      <c r="AI116" s="33">
        <v>0</v>
      </c>
      <c r="AJ116" s="33">
        <v>0</v>
      </c>
      <c r="AK116" s="33">
        <v>0</v>
      </c>
      <c r="AL116" s="33">
        <v>0</v>
      </c>
      <c r="AM116" s="33">
        <v>0</v>
      </c>
      <c r="AN116" s="33">
        <v>0</v>
      </c>
      <c r="AO116" s="33">
        <v>0</v>
      </c>
      <c r="AP116" s="33">
        <v>0</v>
      </c>
    </row>
    <row r="117" spans="1:42" ht="89.25">
      <c r="A117" s="18"/>
      <c r="B117" s="18"/>
      <c r="C117" s="18" t="s">
        <v>2330</v>
      </c>
      <c r="D117" s="14" t="s">
        <v>61</v>
      </c>
      <c r="E117" s="111" t="e">
        <f>VLOOKUP(C117,KELAS!$A$2:$D$643,4,0)</f>
        <v>#N/A</v>
      </c>
      <c r="F117" s="18"/>
      <c r="G117" s="18"/>
      <c r="H117" s="19" t="s">
        <v>121</v>
      </c>
      <c r="I117" s="37">
        <v>1617000</v>
      </c>
      <c r="J117" s="87">
        <v>45965</v>
      </c>
      <c r="K117" s="88">
        <v>0.37843749999999998</v>
      </c>
      <c r="L117" s="39">
        <f t="shared" si="5"/>
        <v>0</v>
      </c>
      <c r="M117" s="20">
        <f t="shared" si="4"/>
        <v>-1617000</v>
      </c>
      <c r="N117" s="33">
        <v>0</v>
      </c>
      <c r="O117" s="60">
        <v>0</v>
      </c>
      <c r="P117" s="33">
        <v>0</v>
      </c>
      <c r="Q117" s="33">
        <v>0</v>
      </c>
      <c r="R117" s="33">
        <v>0</v>
      </c>
      <c r="S117" s="33">
        <v>0</v>
      </c>
      <c r="T117" s="33">
        <v>0</v>
      </c>
      <c r="U117" s="33">
        <v>0</v>
      </c>
      <c r="V117" s="60">
        <v>0</v>
      </c>
      <c r="W117" s="33">
        <v>0</v>
      </c>
      <c r="X117" s="60">
        <v>0</v>
      </c>
      <c r="Y117" s="60">
        <v>0</v>
      </c>
      <c r="Z117" s="33"/>
      <c r="AA117" s="60">
        <v>0</v>
      </c>
      <c r="AB117" s="60">
        <v>0</v>
      </c>
      <c r="AC117" s="60">
        <v>0</v>
      </c>
      <c r="AD117" s="60">
        <v>0</v>
      </c>
      <c r="AE117" s="60">
        <v>0</v>
      </c>
      <c r="AF117" s="33">
        <v>0</v>
      </c>
      <c r="AG117" s="33">
        <v>0</v>
      </c>
      <c r="AH117" s="33">
        <v>0</v>
      </c>
      <c r="AI117" s="33">
        <v>0</v>
      </c>
      <c r="AJ117" s="33">
        <v>0</v>
      </c>
      <c r="AK117" s="33">
        <v>0</v>
      </c>
      <c r="AL117" s="33">
        <v>0</v>
      </c>
      <c r="AM117" s="33">
        <v>0</v>
      </c>
      <c r="AN117" s="33">
        <v>0</v>
      </c>
      <c r="AO117" s="33">
        <v>0</v>
      </c>
      <c r="AP117" s="33">
        <v>0</v>
      </c>
    </row>
    <row r="118" spans="1:42" ht="76.5">
      <c r="A118" s="18"/>
      <c r="B118" s="18"/>
      <c r="C118" s="18" t="s">
        <v>1869</v>
      </c>
      <c r="D118" s="14" t="s">
        <v>61</v>
      </c>
      <c r="E118" s="111" t="str">
        <f>VLOOKUP(C118,KELAS!$A$2:$D$643,4,0)</f>
        <v>4 MEKKAH</v>
      </c>
      <c r="F118" s="18"/>
      <c r="G118" s="18"/>
      <c r="H118" s="19" t="s">
        <v>380</v>
      </c>
      <c r="I118" s="37">
        <v>1450000</v>
      </c>
      <c r="J118" s="87">
        <v>45965</v>
      </c>
      <c r="K118" s="88">
        <v>0.4004861111111111</v>
      </c>
      <c r="L118" s="39">
        <f t="shared" si="5"/>
        <v>0</v>
      </c>
      <c r="M118" s="20">
        <f t="shared" si="4"/>
        <v>-1450000</v>
      </c>
      <c r="N118" s="33">
        <v>0</v>
      </c>
      <c r="O118" s="60">
        <v>0</v>
      </c>
      <c r="P118" s="33">
        <v>0</v>
      </c>
      <c r="Q118" s="33">
        <v>0</v>
      </c>
      <c r="R118" s="33">
        <v>0</v>
      </c>
      <c r="S118" s="33">
        <v>0</v>
      </c>
      <c r="T118" s="33">
        <v>0</v>
      </c>
      <c r="U118" s="33">
        <v>0</v>
      </c>
      <c r="V118" s="60">
        <v>0</v>
      </c>
      <c r="W118" s="33">
        <v>0</v>
      </c>
      <c r="X118" s="60">
        <v>0</v>
      </c>
      <c r="Y118" s="60">
        <v>0</v>
      </c>
      <c r="Z118" s="33"/>
      <c r="AA118" s="60">
        <v>0</v>
      </c>
      <c r="AB118" s="60">
        <v>0</v>
      </c>
      <c r="AC118" s="60">
        <v>0</v>
      </c>
      <c r="AD118" s="60">
        <v>0</v>
      </c>
      <c r="AE118" s="60">
        <v>0</v>
      </c>
      <c r="AF118" s="33">
        <v>0</v>
      </c>
      <c r="AG118" s="33">
        <v>0</v>
      </c>
      <c r="AH118" s="33">
        <v>0</v>
      </c>
      <c r="AI118" s="33">
        <v>0</v>
      </c>
      <c r="AJ118" s="33">
        <v>0</v>
      </c>
      <c r="AK118" s="33">
        <v>0</v>
      </c>
      <c r="AL118" s="33">
        <v>0</v>
      </c>
      <c r="AM118" s="33">
        <v>0</v>
      </c>
      <c r="AN118" s="33">
        <v>0</v>
      </c>
      <c r="AO118" s="33">
        <v>0</v>
      </c>
      <c r="AP118" s="33">
        <v>0</v>
      </c>
    </row>
    <row r="119" spans="1:42" ht="76.5">
      <c r="A119" s="18"/>
      <c r="B119" s="18"/>
      <c r="C119" s="18" t="s">
        <v>1226</v>
      </c>
      <c r="D119" s="14" t="s">
        <v>61</v>
      </c>
      <c r="E119" s="111" t="str">
        <f>VLOOKUP(C119,KELAS!$A$2:$D$643,4,0)</f>
        <v>1 MADINAH</v>
      </c>
      <c r="F119" s="18"/>
      <c r="G119" s="18"/>
      <c r="H119" s="19" t="s">
        <v>382</v>
      </c>
      <c r="I119" s="37">
        <v>1617000</v>
      </c>
      <c r="J119" s="87">
        <v>45965</v>
      </c>
      <c r="K119" s="88">
        <v>0.41670138888888891</v>
      </c>
      <c r="L119" s="39">
        <f t="shared" si="5"/>
        <v>0</v>
      </c>
      <c r="M119" s="20">
        <f t="shared" si="4"/>
        <v>-1617000</v>
      </c>
      <c r="N119" s="33">
        <v>0</v>
      </c>
      <c r="O119" s="60">
        <v>0</v>
      </c>
      <c r="P119" s="33">
        <v>0</v>
      </c>
      <c r="Q119" s="33">
        <v>0</v>
      </c>
      <c r="R119" s="33">
        <v>0</v>
      </c>
      <c r="S119" s="33">
        <v>0</v>
      </c>
      <c r="T119" s="33">
        <v>0</v>
      </c>
      <c r="U119" s="33">
        <v>0</v>
      </c>
      <c r="V119" s="60">
        <v>0</v>
      </c>
      <c r="W119" s="33">
        <v>0</v>
      </c>
      <c r="X119" s="60">
        <v>0</v>
      </c>
      <c r="Y119" s="60">
        <v>0</v>
      </c>
      <c r="Z119" s="33"/>
      <c r="AA119" s="60">
        <v>0</v>
      </c>
      <c r="AB119" s="60">
        <v>0</v>
      </c>
      <c r="AC119" s="60">
        <v>0</v>
      </c>
      <c r="AD119" s="60">
        <v>0</v>
      </c>
      <c r="AE119" s="60">
        <v>0</v>
      </c>
      <c r="AF119" s="33">
        <v>0</v>
      </c>
      <c r="AG119" s="33">
        <v>0</v>
      </c>
      <c r="AH119" s="33">
        <v>0</v>
      </c>
      <c r="AI119" s="33">
        <v>0</v>
      </c>
      <c r="AJ119" s="33">
        <v>0</v>
      </c>
      <c r="AK119" s="33">
        <v>0</v>
      </c>
      <c r="AL119" s="33">
        <v>0</v>
      </c>
      <c r="AM119" s="33">
        <v>0</v>
      </c>
      <c r="AN119" s="33">
        <v>0</v>
      </c>
      <c r="AO119" s="33">
        <v>0</v>
      </c>
      <c r="AP119" s="33">
        <v>0</v>
      </c>
    </row>
    <row r="120" spans="1:42" ht="63.75">
      <c r="A120" s="18"/>
      <c r="B120" s="18"/>
      <c r="C120" s="18" t="s">
        <v>2264</v>
      </c>
      <c r="D120" s="14" t="s">
        <v>61</v>
      </c>
      <c r="E120" s="111" t="str">
        <f>VLOOKUP(C120,KELAS!$A$2:$D$643,4,0)</f>
        <v>6 MADINAH</v>
      </c>
      <c r="F120" s="18"/>
      <c r="G120" s="18"/>
      <c r="H120" s="19" t="s">
        <v>91</v>
      </c>
      <c r="I120" s="37">
        <v>1400000</v>
      </c>
      <c r="J120" s="87">
        <v>45965</v>
      </c>
      <c r="K120" s="88">
        <v>0.43109953703703702</v>
      </c>
      <c r="L120" s="39">
        <f t="shared" si="5"/>
        <v>0</v>
      </c>
      <c r="M120" s="20">
        <f t="shared" si="4"/>
        <v>-1400000</v>
      </c>
      <c r="N120" s="33">
        <v>0</v>
      </c>
      <c r="O120" s="60">
        <v>0</v>
      </c>
      <c r="P120" s="33">
        <v>0</v>
      </c>
      <c r="Q120" s="33">
        <v>0</v>
      </c>
      <c r="R120" s="33">
        <v>0</v>
      </c>
      <c r="S120" s="33">
        <v>0</v>
      </c>
      <c r="T120" s="33">
        <v>0</v>
      </c>
      <c r="U120" s="33">
        <v>0</v>
      </c>
      <c r="V120" s="60">
        <v>0</v>
      </c>
      <c r="W120" s="33">
        <v>0</v>
      </c>
      <c r="X120" s="60">
        <v>0</v>
      </c>
      <c r="Y120" s="60">
        <v>0</v>
      </c>
      <c r="Z120" s="33"/>
      <c r="AA120" s="60">
        <v>0</v>
      </c>
      <c r="AB120" s="60">
        <v>0</v>
      </c>
      <c r="AC120" s="60">
        <v>0</v>
      </c>
      <c r="AD120" s="60">
        <v>0</v>
      </c>
      <c r="AE120" s="60">
        <v>0</v>
      </c>
      <c r="AF120" s="33">
        <v>0</v>
      </c>
      <c r="AG120" s="33">
        <v>0</v>
      </c>
      <c r="AH120" s="33">
        <v>0</v>
      </c>
      <c r="AI120" s="33">
        <v>0</v>
      </c>
      <c r="AJ120" s="33">
        <v>0</v>
      </c>
      <c r="AK120" s="33">
        <v>0</v>
      </c>
      <c r="AL120" s="33">
        <v>0</v>
      </c>
      <c r="AM120" s="33">
        <v>0</v>
      </c>
      <c r="AN120" s="33">
        <v>0</v>
      </c>
      <c r="AO120" s="33">
        <v>0</v>
      </c>
      <c r="AP120" s="33">
        <v>0</v>
      </c>
    </row>
    <row r="121" spans="1:42" ht="102">
      <c r="A121" s="18"/>
      <c r="B121" s="18"/>
      <c r="C121" s="18" t="s">
        <v>2142</v>
      </c>
      <c r="D121" s="14" t="s">
        <v>61</v>
      </c>
      <c r="E121" s="111" t="str">
        <f>VLOOKUP(C121,KELAS!$A$2:$D$643,4,0)</f>
        <v>5 MINA</v>
      </c>
      <c r="F121" s="18"/>
      <c r="G121" s="18"/>
      <c r="H121" s="19" t="s">
        <v>385</v>
      </c>
      <c r="I121" s="37">
        <v>1400000</v>
      </c>
      <c r="J121" s="87">
        <v>45965</v>
      </c>
      <c r="K121" s="88">
        <v>0.43443287037037037</v>
      </c>
      <c r="L121" s="39">
        <f t="shared" si="5"/>
        <v>0</v>
      </c>
      <c r="M121" s="20">
        <f t="shared" si="4"/>
        <v>-1400000</v>
      </c>
      <c r="N121" s="33">
        <v>0</v>
      </c>
      <c r="O121" s="60">
        <v>0</v>
      </c>
      <c r="P121" s="33">
        <v>0</v>
      </c>
      <c r="Q121" s="33">
        <v>0</v>
      </c>
      <c r="R121" s="33">
        <v>0</v>
      </c>
      <c r="S121" s="33">
        <v>0</v>
      </c>
      <c r="T121" s="33">
        <v>0</v>
      </c>
      <c r="U121" s="33">
        <v>0</v>
      </c>
      <c r="V121" s="60">
        <v>0</v>
      </c>
      <c r="W121" s="33">
        <v>0</v>
      </c>
      <c r="X121" s="60">
        <v>0</v>
      </c>
      <c r="Y121" s="60">
        <v>0</v>
      </c>
      <c r="Z121" s="33"/>
      <c r="AA121" s="60">
        <v>0</v>
      </c>
      <c r="AB121" s="60">
        <v>0</v>
      </c>
      <c r="AC121" s="60">
        <v>0</v>
      </c>
      <c r="AD121" s="60">
        <v>0</v>
      </c>
      <c r="AE121" s="60">
        <v>0</v>
      </c>
      <c r="AF121" s="33">
        <v>0</v>
      </c>
      <c r="AG121" s="33">
        <v>0</v>
      </c>
      <c r="AH121" s="33">
        <v>0</v>
      </c>
      <c r="AI121" s="33">
        <v>0</v>
      </c>
      <c r="AJ121" s="33">
        <v>0</v>
      </c>
      <c r="AK121" s="33">
        <v>0</v>
      </c>
      <c r="AL121" s="33">
        <v>0</v>
      </c>
      <c r="AM121" s="33">
        <v>0</v>
      </c>
      <c r="AN121" s="33">
        <v>0</v>
      </c>
      <c r="AO121" s="33">
        <v>0</v>
      </c>
      <c r="AP121" s="33">
        <v>0</v>
      </c>
    </row>
    <row r="122" spans="1:42" ht="102">
      <c r="A122" s="18"/>
      <c r="B122" s="18"/>
      <c r="C122" s="18" t="s">
        <v>2331</v>
      </c>
      <c r="D122" s="14" t="s">
        <v>61</v>
      </c>
      <c r="E122" s="111" t="e">
        <f>VLOOKUP(C122,KELAS!$A$2:$D$643,4,0)</f>
        <v>#N/A</v>
      </c>
      <c r="F122" s="18"/>
      <c r="G122" s="18"/>
      <c r="H122" s="19" t="s">
        <v>387</v>
      </c>
      <c r="I122" s="37">
        <v>1400000</v>
      </c>
      <c r="J122" s="87">
        <v>45965</v>
      </c>
      <c r="K122" s="88">
        <v>0.45664351851851853</v>
      </c>
      <c r="L122" s="39">
        <f t="shared" si="5"/>
        <v>0</v>
      </c>
      <c r="M122" s="20">
        <f t="shared" si="4"/>
        <v>-1400000</v>
      </c>
      <c r="N122" s="33">
        <v>0</v>
      </c>
      <c r="O122" s="60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60">
        <v>0</v>
      </c>
      <c r="W122" s="33">
        <v>0</v>
      </c>
      <c r="X122" s="60">
        <v>0</v>
      </c>
      <c r="Y122" s="60">
        <v>0</v>
      </c>
      <c r="Z122" s="33"/>
      <c r="AA122" s="60">
        <v>0</v>
      </c>
      <c r="AB122" s="60">
        <v>0</v>
      </c>
      <c r="AC122" s="60">
        <v>0</v>
      </c>
      <c r="AD122" s="60">
        <v>0</v>
      </c>
      <c r="AE122" s="60">
        <v>0</v>
      </c>
      <c r="AF122" s="33">
        <v>0</v>
      </c>
      <c r="AG122" s="33">
        <v>0</v>
      </c>
      <c r="AH122" s="33">
        <v>0</v>
      </c>
      <c r="AI122" s="33">
        <v>0</v>
      </c>
      <c r="AJ122" s="33">
        <v>0</v>
      </c>
      <c r="AK122" s="33">
        <v>0</v>
      </c>
      <c r="AL122" s="33">
        <v>0</v>
      </c>
      <c r="AM122" s="33">
        <v>0</v>
      </c>
      <c r="AN122" s="33">
        <v>0</v>
      </c>
      <c r="AO122" s="33">
        <v>0</v>
      </c>
      <c r="AP122" s="33">
        <v>0</v>
      </c>
    </row>
    <row r="123" spans="1:42" ht="76.5">
      <c r="A123" s="18"/>
      <c r="B123" s="18"/>
      <c r="C123" s="18" t="s">
        <v>2064</v>
      </c>
      <c r="D123" s="14" t="s">
        <v>61</v>
      </c>
      <c r="E123" s="111" t="str">
        <f>VLOOKUP(C123,KELAS!$A$2:$D$643,4,0)</f>
        <v>5 MADINAH</v>
      </c>
      <c r="F123" s="18"/>
      <c r="G123" s="18"/>
      <c r="H123" s="19" t="s">
        <v>389</v>
      </c>
      <c r="I123" s="37">
        <v>1400000</v>
      </c>
      <c r="J123" s="87">
        <v>45965</v>
      </c>
      <c r="K123" s="88">
        <v>0.46940972222222221</v>
      </c>
      <c r="L123" s="39">
        <f t="shared" si="5"/>
        <v>0</v>
      </c>
      <c r="M123" s="20">
        <f t="shared" si="4"/>
        <v>-1400000</v>
      </c>
      <c r="N123" s="33">
        <v>0</v>
      </c>
      <c r="O123" s="60">
        <v>0</v>
      </c>
      <c r="P123" s="33">
        <v>0</v>
      </c>
      <c r="Q123" s="33">
        <v>0</v>
      </c>
      <c r="R123" s="33">
        <v>0</v>
      </c>
      <c r="S123" s="33">
        <v>0</v>
      </c>
      <c r="T123" s="33">
        <v>0</v>
      </c>
      <c r="U123" s="33">
        <v>0</v>
      </c>
      <c r="V123" s="60">
        <v>0</v>
      </c>
      <c r="W123" s="33">
        <v>0</v>
      </c>
      <c r="X123" s="60">
        <v>0</v>
      </c>
      <c r="Y123" s="60">
        <v>0</v>
      </c>
      <c r="Z123" s="33"/>
      <c r="AA123" s="60">
        <v>0</v>
      </c>
      <c r="AB123" s="60">
        <v>0</v>
      </c>
      <c r="AC123" s="60">
        <v>0</v>
      </c>
      <c r="AD123" s="60">
        <v>0</v>
      </c>
      <c r="AE123" s="60">
        <v>0</v>
      </c>
      <c r="AF123" s="33">
        <v>0</v>
      </c>
      <c r="AG123" s="33">
        <v>0</v>
      </c>
      <c r="AH123" s="33">
        <v>0</v>
      </c>
      <c r="AI123" s="33">
        <v>0</v>
      </c>
      <c r="AJ123" s="33">
        <v>0</v>
      </c>
      <c r="AK123" s="33">
        <v>0</v>
      </c>
      <c r="AL123" s="33">
        <v>0</v>
      </c>
      <c r="AM123" s="33">
        <v>0</v>
      </c>
      <c r="AN123" s="33">
        <v>0</v>
      </c>
      <c r="AO123" s="33">
        <v>0</v>
      </c>
      <c r="AP123" s="33">
        <v>0</v>
      </c>
    </row>
    <row r="124" spans="1:42" ht="76.5">
      <c r="A124" s="18"/>
      <c r="B124" s="18"/>
      <c r="C124" s="18" t="s">
        <v>1364</v>
      </c>
      <c r="D124" s="14" t="s">
        <v>61</v>
      </c>
      <c r="E124" s="111" t="str">
        <f>VLOOKUP(C124,KELAS!$A$2:$D$643,4,0)</f>
        <v>2 MEKKAH</v>
      </c>
      <c r="F124" s="18"/>
      <c r="G124" s="18"/>
      <c r="H124" s="19" t="s">
        <v>391</v>
      </c>
      <c r="I124" s="37">
        <v>1540000</v>
      </c>
      <c r="J124" s="87">
        <v>45965</v>
      </c>
      <c r="K124" s="88">
        <v>0.47782407407407407</v>
      </c>
      <c r="L124" s="39">
        <f t="shared" si="5"/>
        <v>0</v>
      </c>
      <c r="M124" s="20">
        <f t="shared" si="4"/>
        <v>-1540000</v>
      </c>
      <c r="N124" s="33">
        <v>0</v>
      </c>
      <c r="O124" s="60">
        <v>0</v>
      </c>
      <c r="P124" s="33">
        <v>0</v>
      </c>
      <c r="Q124" s="33">
        <v>0</v>
      </c>
      <c r="R124" s="33">
        <v>0</v>
      </c>
      <c r="S124" s="33">
        <v>0</v>
      </c>
      <c r="T124" s="33">
        <v>0</v>
      </c>
      <c r="U124" s="33">
        <v>0</v>
      </c>
      <c r="V124" s="60">
        <v>0</v>
      </c>
      <c r="W124" s="33">
        <v>0</v>
      </c>
      <c r="X124" s="60">
        <v>0</v>
      </c>
      <c r="Y124" s="60">
        <v>0</v>
      </c>
      <c r="Z124" s="33"/>
      <c r="AA124" s="60">
        <v>0</v>
      </c>
      <c r="AB124" s="60">
        <v>0</v>
      </c>
      <c r="AC124" s="60">
        <v>0</v>
      </c>
      <c r="AD124" s="60">
        <v>0</v>
      </c>
      <c r="AE124" s="60">
        <v>0</v>
      </c>
      <c r="AF124" s="33">
        <v>0</v>
      </c>
      <c r="AG124" s="33">
        <v>0</v>
      </c>
      <c r="AH124" s="33">
        <v>0</v>
      </c>
      <c r="AI124" s="33">
        <v>0</v>
      </c>
      <c r="AJ124" s="33">
        <v>0</v>
      </c>
      <c r="AK124" s="33">
        <v>0</v>
      </c>
      <c r="AL124" s="33">
        <v>0</v>
      </c>
      <c r="AM124" s="33">
        <v>0</v>
      </c>
      <c r="AN124" s="33">
        <v>0</v>
      </c>
      <c r="AO124" s="33">
        <v>0</v>
      </c>
      <c r="AP124" s="33">
        <v>0</v>
      </c>
    </row>
    <row r="125" spans="1:42" ht="89.25">
      <c r="A125" s="18"/>
      <c r="B125" s="18"/>
      <c r="C125" s="18" t="s">
        <v>1949</v>
      </c>
      <c r="D125" s="14" t="s">
        <v>61</v>
      </c>
      <c r="E125" s="111" t="str">
        <f>VLOOKUP(C125,KELAS!$A$2:$D$643,4,0)</f>
        <v>4 MINA</v>
      </c>
      <c r="F125" s="18"/>
      <c r="G125" s="18"/>
      <c r="H125" s="19" t="s">
        <v>126</v>
      </c>
      <c r="I125" s="37">
        <v>1450000</v>
      </c>
      <c r="J125" s="87">
        <v>45965</v>
      </c>
      <c r="K125" s="88">
        <v>0.50186342592592592</v>
      </c>
      <c r="L125" s="39">
        <f t="shared" si="5"/>
        <v>0</v>
      </c>
      <c r="M125" s="20">
        <f t="shared" si="4"/>
        <v>-1450000</v>
      </c>
      <c r="N125" s="33">
        <v>0</v>
      </c>
      <c r="O125" s="60">
        <v>0</v>
      </c>
      <c r="P125" s="33">
        <v>0</v>
      </c>
      <c r="Q125" s="33">
        <v>0</v>
      </c>
      <c r="R125" s="33">
        <v>0</v>
      </c>
      <c r="S125" s="33">
        <v>0</v>
      </c>
      <c r="T125" s="33">
        <v>0</v>
      </c>
      <c r="U125" s="33">
        <v>0</v>
      </c>
      <c r="V125" s="60">
        <v>0</v>
      </c>
      <c r="W125" s="33">
        <v>0</v>
      </c>
      <c r="X125" s="60">
        <v>0</v>
      </c>
      <c r="Y125" s="60">
        <v>0</v>
      </c>
      <c r="Z125" s="33"/>
      <c r="AA125" s="60">
        <v>0</v>
      </c>
      <c r="AB125" s="60">
        <v>0</v>
      </c>
      <c r="AC125" s="60">
        <v>0</v>
      </c>
      <c r="AD125" s="60">
        <v>0</v>
      </c>
      <c r="AE125" s="60">
        <v>0</v>
      </c>
      <c r="AF125" s="33">
        <v>0</v>
      </c>
      <c r="AG125" s="33">
        <v>0</v>
      </c>
      <c r="AH125" s="33">
        <v>0</v>
      </c>
      <c r="AI125" s="33">
        <v>0</v>
      </c>
      <c r="AJ125" s="33">
        <v>0</v>
      </c>
      <c r="AK125" s="33">
        <v>0</v>
      </c>
      <c r="AL125" s="33">
        <v>0</v>
      </c>
      <c r="AM125" s="33">
        <v>0</v>
      </c>
      <c r="AN125" s="33">
        <v>0</v>
      </c>
      <c r="AO125" s="33">
        <v>0</v>
      </c>
      <c r="AP125" s="33">
        <v>0</v>
      </c>
    </row>
    <row r="126" spans="1:42" ht="102">
      <c r="A126" s="18"/>
      <c r="B126" s="18"/>
      <c r="C126" s="18" t="s">
        <v>1830</v>
      </c>
      <c r="D126" s="14" t="s">
        <v>61</v>
      </c>
      <c r="E126" s="111" t="str">
        <f>VLOOKUP(C126,KELAS!$A$2:$D$643,4,0)</f>
        <v>4 MEKKAH</v>
      </c>
      <c r="F126" s="18"/>
      <c r="G126" s="18"/>
      <c r="H126" s="19" t="s">
        <v>394</v>
      </c>
      <c r="I126" s="37">
        <v>1400000</v>
      </c>
      <c r="J126" s="87">
        <v>45965</v>
      </c>
      <c r="K126" s="88">
        <v>0.50245370370370368</v>
      </c>
      <c r="L126" s="39">
        <f t="shared" si="5"/>
        <v>0</v>
      </c>
      <c r="M126" s="20">
        <f t="shared" si="4"/>
        <v>-1400000</v>
      </c>
      <c r="N126" s="33">
        <v>0</v>
      </c>
      <c r="O126" s="60">
        <v>0</v>
      </c>
      <c r="P126" s="33">
        <v>0</v>
      </c>
      <c r="Q126" s="33">
        <v>0</v>
      </c>
      <c r="R126" s="33">
        <v>0</v>
      </c>
      <c r="S126" s="33">
        <v>0</v>
      </c>
      <c r="T126" s="33">
        <v>0</v>
      </c>
      <c r="U126" s="33">
        <v>0</v>
      </c>
      <c r="V126" s="60">
        <v>0</v>
      </c>
      <c r="W126" s="33">
        <v>0</v>
      </c>
      <c r="X126" s="60">
        <v>0</v>
      </c>
      <c r="Y126" s="60">
        <v>0</v>
      </c>
      <c r="Z126" s="33"/>
      <c r="AA126" s="60">
        <v>0</v>
      </c>
      <c r="AB126" s="60">
        <v>0</v>
      </c>
      <c r="AC126" s="60">
        <v>0</v>
      </c>
      <c r="AD126" s="60">
        <v>0</v>
      </c>
      <c r="AE126" s="60">
        <v>0</v>
      </c>
      <c r="AF126" s="33">
        <v>0</v>
      </c>
      <c r="AG126" s="33">
        <v>0</v>
      </c>
      <c r="AH126" s="33">
        <v>0</v>
      </c>
      <c r="AI126" s="33">
        <v>0</v>
      </c>
      <c r="AJ126" s="33">
        <v>0</v>
      </c>
      <c r="AK126" s="33">
        <v>0</v>
      </c>
      <c r="AL126" s="33">
        <v>0</v>
      </c>
      <c r="AM126" s="33">
        <v>0</v>
      </c>
      <c r="AN126" s="33">
        <v>0</v>
      </c>
      <c r="AO126" s="33">
        <v>0</v>
      </c>
      <c r="AP126" s="33">
        <v>0</v>
      </c>
    </row>
    <row r="127" spans="1:42" ht="76.5">
      <c r="A127" s="18"/>
      <c r="B127" s="18"/>
      <c r="C127" s="18" t="s">
        <v>1393</v>
      </c>
      <c r="D127" s="14" t="s">
        <v>61</v>
      </c>
      <c r="E127" s="111" t="str">
        <f>VLOOKUP(C127,KELAS!$A$2:$D$643,4,0)</f>
        <v>2 MEKKAH</v>
      </c>
      <c r="F127" s="18"/>
      <c r="G127" s="18"/>
      <c r="H127" s="19" t="s">
        <v>125</v>
      </c>
      <c r="I127" s="37">
        <v>1540000</v>
      </c>
      <c r="J127" s="87">
        <v>45965</v>
      </c>
      <c r="K127" s="88">
        <v>0.50271990740740746</v>
      </c>
      <c r="L127" s="39">
        <f t="shared" si="5"/>
        <v>0</v>
      </c>
      <c r="M127" s="20">
        <f t="shared" si="4"/>
        <v>-1540000</v>
      </c>
      <c r="N127" s="33">
        <v>0</v>
      </c>
      <c r="O127" s="60">
        <v>0</v>
      </c>
      <c r="P127" s="33">
        <v>0</v>
      </c>
      <c r="Q127" s="33">
        <v>0</v>
      </c>
      <c r="R127" s="33">
        <v>0</v>
      </c>
      <c r="S127" s="33">
        <v>0</v>
      </c>
      <c r="T127" s="33">
        <v>0</v>
      </c>
      <c r="U127" s="33">
        <v>0</v>
      </c>
      <c r="V127" s="60">
        <v>0</v>
      </c>
      <c r="W127" s="33">
        <v>0</v>
      </c>
      <c r="X127" s="60">
        <v>0</v>
      </c>
      <c r="Y127" s="60">
        <v>0</v>
      </c>
      <c r="Z127" s="33"/>
      <c r="AA127" s="60">
        <v>0</v>
      </c>
      <c r="AB127" s="60">
        <v>0</v>
      </c>
      <c r="AC127" s="60">
        <v>0</v>
      </c>
      <c r="AD127" s="60">
        <v>0</v>
      </c>
      <c r="AE127" s="60">
        <v>0</v>
      </c>
      <c r="AF127" s="33">
        <v>0</v>
      </c>
      <c r="AG127" s="33">
        <v>0</v>
      </c>
      <c r="AH127" s="33">
        <v>0</v>
      </c>
      <c r="AI127" s="33">
        <v>0</v>
      </c>
      <c r="AJ127" s="33">
        <v>0</v>
      </c>
      <c r="AK127" s="33">
        <v>0</v>
      </c>
      <c r="AL127" s="33">
        <v>0</v>
      </c>
      <c r="AM127" s="33">
        <v>0</v>
      </c>
      <c r="AN127" s="33">
        <v>0</v>
      </c>
      <c r="AO127" s="33">
        <v>0</v>
      </c>
      <c r="AP127" s="33">
        <v>0</v>
      </c>
    </row>
    <row r="128" spans="1:42" ht="76.5">
      <c r="A128" s="18"/>
      <c r="B128" s="18"/>
      <c r="C128" s="18" t="s">
        <v>2171</v>
      </c>
      <c r="D128" s="14" t="s">
        <v>61</v>
      </c>
      <c r="E128" s="111" t="str">
        <f>VLOOKUP(C128,KELAS!$A$2:$D$643,4,0)</f>
        <v>6 MEKKAH</v>
      </c>
      <c r="F128" s="18"/>
      <c r="G128" s="18"/>
      <c r="H128" s="19" t="s">
        <v>397</v>
      </c>
      <c r="I128" s="37">
        <v>1400000</v>
      </c>
      <c r="J128" s="87">
        <v>45965</v>
      </c>
      <c r="K128" s="88">
        <v>0.52164351851851853</v>
      </c>
      <c r="L128" s="39">
        <f t="shared" si="5"/>
        <v>0</v>
      </c>
      <c r="M128" s="20">
        <f t="shared" si="4"/>
        <v>-1400000</v>
      </c>
      <c r="N128" s="33">
        <v>0</v>
      </c>
      <c r="O128" s="60">
        <v>0</v>
      </c>
      <c r="P128" s="33">
        <v>0</v>
      </c>
      <c r="Q128" s="33">
        <v>0</v>
      </c>
      <c r="R128" s="33">
        <v>0</v>
      </c>
      <c r="S128" s="33">
        <v>0</v>
      </c>
      <c r="T128" s="33">
        <v>0</v>
      </c>
      <c r="U128" s="33">
        <v>0</v>
      </c>
      <c r="V128" s="60">
        <v>0</v>
      </c>
      <c r="W128" s="33">
        <v>0</v>
      </c>
      <c r="X128" s="60">
        <v>0</v>
      </c>
      <c r="Y128" s="60">
        <v>0</v>
      </c>
      <c r="Z128" s="33"/>
      <c r="AA128" s="60">
        <v>0</v>
      </c>
      <c r="AB128" s="60">
        <v>0</v>
      </c>
      <c r="AC128" s="60">
        <v>0</v>
      </c>
      <c r="AD128" s="60">
        <v>0</v>
      </c>
      <c r="AE128" s="60">
        <v>0</v>
      </c>
      <c r="AF128" s="33">
        <v>0</v>
      </c>
      <c r="AG128" s="33">
        <v>0</v>
      </c>
      <c r="AH128" s="33">
        <v>0</v>
      </c>
      <c r="AI128" s="33">
        <v>0</v>
      </c>
      <c r="AJ128" s="33">
        <v>0</v>
      </c>
      <c r="AK128" s="33">
        <v>0</v>
      </c>
      <c r="AL128" s="33">
        <v>0</v>
      </c>
      <c r="AM128" s="33">
        <v>0</v>
      </c>
      <c r="AN128" s="33">
        <v>0</v>
      </c>
      <c r="AO128" s="33">
        <v>0</v>
      </c>
      <c r="AP128" s="33">
        <v>0</v>
      </c>
    </row>
    <row r="129" spans="1:42" ht="102">
      <c r="A129" s="18"/>
      <c r="B129" s="18"/>
      <c r="C129" s="18" t="s">
        <v>2332</v>
      </c>
      <c r="D129" s="14" t="s">
        <v>61</v>
      </c>
      <c r="E129" s="111" t="e">
        <f>VLOOKUP(C129,KELAS!$A$2:$D$643,4,0)</f>
        <v>#N/A</v>
      </c>
      <c r="F129" s="18"/>
      <c r="G129" s="18"/>
      <c r="H129" s="19" t="s">
        <v>399</v>
      </c>
      <c r="I129" s="37">
        <v>1540000</v>
      </c>
      <c r="J129" s="87">
        <v>45965</v>
      </c>
      <c r="K129" s="88">
        <v>0.53625</v>
      </c>
      <c r="L129" s="39">
        <f t="shared" si="5"/>
        <v>0</v>
      </c>
      <c r="M129" s="20">
        <f t="shared" si="4"/>
        <v>-1540000</v>
      </c>
      <c r="N129" s="33">
        <v>0</v>
      </c>
      <c r="O129" s="60">
        <v>0</v>
      </c>
      <c r="P129" s="33">
        <v>0</v>
      </c>
      <c r="Q129" s="33">
        <v>0</v>
      </c>
      <c r="R129" s="33">
        <v>0</v>
      </c>
      <c r="S129" s="33">
        <v>0</v>
      </c>
      <c r="T129" s="33">
        <v>0</v>
      </c>
      <c r="U129" s="33">
        <v>0</v>
      </c>
      <c r="V129" s="60">
        <v>0</v>
      </c>
      <c r="W129" s="33">
        <v>0</v>
      </c>
      <c r="X129" s="60">
        <v>0</v>
      </c>
      <c r="Y129" s="60">
        <v>0</v>
      </c>
      <c r="Z129" s="33"/>
      <c r="AA129" s="60">
        <v>0</v>
      </c>
      <c r="AB129" s="60">
        <v>0</v>
      </c>
      <c r="AC129" s="60">
        <v>0</v>
      </c>
      <c r="AD129" s="60">
        <v>0</v>
      </c>
      <c r="AE129" s="60">
        <v>0</v>
      </c>
      <c r="AF129" s="33">
        <v>0</v>
      </c>
      <c r="AG129" s="33">
        <v>0</v>
      </c>
      <c r="AH129" s="33">
        <v>0</v>
      </c>
      <c r="AI129" s="33">
        <v>0</v>
      </c>
      <c r="AJ129" s="33">
        <v>0</v>
      </c>
      <c r="AK129" s="33">
        <v>0</v>
      </c>
      <c r="AL129" s="33">
        <v>0</v>
      </c>
      <c r="AM129" s="33">
        <v>0</v>
      </c>
      <c r="AN129" s="33">
        <v>0</v>
      </c>
      <c r="AO129" s="33">
        <v>0</v>
      </c>
      <c r="AP129" s="33">
        <v>0</v>
      </c>
    </row>
    <row r="130" spans="1:42" ht="89.25">
      <c r="A130" s="18"/>
      <c r="B130" s="18"/>
      <c r="C130" s="18" t="s">
        <v>1387</v>
      </c>
      <c r="D130" s="14" t="s">
        <v>61</v>
      </c>
      <c r="E130" s="111" t="str">
        <f>VLOOKUP(C130,KELAS!$A$2:$D$643,4,0)</f>
        <v>2 MEKKAH</v>
      </c>
      <c r="F130" s="18"/>
      <c r="G130" s="18"/>
      <c r="H130" s="19" t="s">
        <v>401</v>
      </c>
      <c r="I130" s="37">
        <v>1540000</v>
      </c>
      <c r="J130" s="87">
        <v>45965</v>
      </c>
      <c r="K130" s="88">
        <v>0.53984953703703709</v>
      </c>
      <c r="L130" s="39">
        <f t="shared" si="5"/>
        <v>0</v>
      </c>
      <c r="M130" s="20">
        <f t="shared" si="4"/>
        <v>-1540000</v>
      </c>
      <c r="N130" s="33">
        <v>0</v>
      </c>
      <c r="O130" s="60">
        <v>0</v>
      </c>
      <c r="P130" s="33">
        <v>0</v>
      </c>
      <c r="Q130" s="33">
        <v>0</v>
      </c>
      <c r="R130" s="33">
        <v>0</v>
      </c>
      <c r="S130" s="33">
        <v>0</v>
      </c>
      <c r="T130" s="33">
        <v>0</v>
      </c>
      <c r="U130" s="33">
        <v>0</v>
      </c>
      <c r="V130" s="60">
        <v>0</v>
      </c>
      <c r="W130" s="33">
        <v>0</v>
      </c>
      <c r="X130" s="60">
        <v>0</v>
      </c>
      <c r="Y130" s="60">
        <v>0</v>
      </c>
      <c r="Z130" s="33"/>
      <c r="AA130" s="60">
        <v>0</v>
      </c>
      <c r="AB130" s="60">
        <v>0</v>
      </c>
      <c r="AC130" s="60">
        <v>0</v>
      </c>
      <c r="AD130" s="60">
        <v>0</v>
      </c>
      <c r="AE130" s="60">
        <v>0</v>
      </c>
      <c r="AF130" s="33">
        <v>0</v>
      </c>
      <c r="AG130" s="33">
        <v>0</v>
      </c>
      <c r="AH130" s="33">
        <v>0</v>
      </c>
      <c r="AI130" s="33">
        <v>0</v>
      </c>
      <c r="AJ130" s="33">
        <v>0</v>
      </c>
      <c r="AK130" s="33">
        <v>0</v>
      </c>
      <c r="AL130" s="33">
        <v>0</v>
      </c>
      <c r="AM130" s="33">
        <v>0</v>
      </c>
      <c r="AN130" s="33">
        <v>0</v>
      </c>
      <c r="AO130" s="33">
        <v>0</v>
      </c>
      <c r="AP130" s="33">
        <v>0</v>
      </c>
    </row>
    <row r="131" spans="1:42" ht="89.25">
      <c r="A131" s="18"/>
      <c r="B131" s="18"/>
      <c r="C131" s="18" t="s">
        <v>2333</v>
      </c>
      <c r="D131" s="14" t="s">
        <v>61</v>
      </c>
      <c r="E131" s="111" t="e">
        <f>VLOOKUP(C131,KELAS!$A$2:$D$643,4,0)</f>
        <v>#N/A</v>
      </c>
      <c r="F131" s="18"/>
      <c r="G131" s="18"/>
      <c r="H131" s="19" t="s">
        <v>403</v>
      </c>
      <c r="I131" s="37">
        <v>1400000</v>
      </c>
      <c r="J131" s="87">
        <v>45965</v>
      </c>
      <c r="K131" s="88">
        <v>0.54016203703703702</v>
      </c>
      <c r="L131" s="39">
        <f t="shared" si="5"/>
        <v>0</v>
      </c>
      <c r="M131" s="20">
        <f t="shared" si="4"/>
        <v>-1400000</v>
      </c>
      <c r="N131" s="33">
        <v>0</v>
      </c>
      <c r="O131" s="60">
        <v>0</v>
      </c>
      <c r="P131" s="33">
        <v>0</v>
      </c>
      <c r="Q131" s="33">
        <v>0</v>
      </c>
      <c r="R131" s="33">
        <v>0</v>
      </c>
      <c r="S131" s="33">
        <v>0</v>
      </c>
      <c r="T131" s="33">
        <v>0</v>
      </c>
      <c r="U131" s="33">
        <v>0</v>
      </c>
      <c r="V131" s="60">
        <v>0</v>
      </c>
      <c r="W131" s="33">
        <v>0</v>
      </c>
      <c r="X131" s="60">
        <v>0</v>
      </c>
      <c r="Y131" s="60">
        <v>0</v>
      </c>
      <c r="Z131" s="33"/>
      <c r="AA131" s="60">
        <v>0</v>
      </c>
      <c r="AB131" s="60">
        <v>0</v>
      </c>
      <c r="AC131" s="60">
        <v>0</v>
      </c>
      <c r="AD131" s="60">
        <v>0</v>
      </c>
      <c r="AE131" s="60">
        <v>0</v>
      </c>
      <c r="AF131" s="33">
        <v>0</v>
      </c>
      <c r="AG131" s="33">
        <v>0</v>
      </c>
      <c r="AH131" s="33">
        <v>0</v>
      </c>
      <c r="AI131" s="33">
        <v>0</v>
      </c>
      <c r="AJ131" s="33">
        <v>0</v>
      </c>
      <c r="AK131" s="33">
        <v>0</v>
      </c>
      <c r="AL131" s="33">
        <v>0</v>
      </c>
      <c r="AM131" s="33">
        <v>0</v>
      </c>
      <c r="AN131" s="33">
        <v>0</v>
      </c>
      <c r="AO131" s="33">
        <v>0</v>
      </c>
      <c r="AP131" s="33">
        <v>0</v>
      </c>
    </row>
    <row r="132" spans="1:42" ht="89.25">
      <c r="A132" s="18"/>
      <c r="B132" s="18"/>
      <c r="C132" s="18" t="s">
        <v>1644</v>
      </c>
      <c r="D132" s="14" t="s">
        <v>61</v>
      </c>
      <c r="E132" s="111" t="str">
        <f>VLOOKUP(C132,KELAS!$A$2:$D$643,4,0)</f>
        <v>3 MEKKAH</v>
      </c>
      <c r="F132" s="18"/>
      <c r="G132" s="18"/>
      <c r="H132" s="19" t="s">
        <v>405</v>
      </c>
      <c r="I132" s="37">
        <v>1450000</v>
      </c>
      <c r="J132" s="87">
        <v>45965</v>
      </c>
      <c r="K132" s="88">
        <v>0.54096064814814815</v>
      </c>
      <c r="L132" s="39">
        <f t="shared" si="5"/>
        <v>0</v>
      </c>
      <c r="M132" s="20">
        <f t="shared" si="4"/>
        <v>-1450000</v>
      </c>
      <c r="N132" s="33">
        <v>0</v>
      </c>
      <c r="O132" s="60">
        <v>0</v>
      </c>
      <c r="P132" s="33">
        <v>0</v>
      </c>
      <c r="Q132" s="33">
        <v>0</v>
      </c>
      <c r="R132" s="33">
        <v>0</v>
      </c>
      <c r="S132" s="33">
        <v>0</v>
      </c>
      <c r="T132" s="33">
        <v>0</v>
      </c>
      <c r="U132" s="33">
        <v>0</v>
      </c>
      <c r="V132" s="60">
        <v>0</v>
      </c>
      <c r="W132" s="33">
        <v>0</v>
      </c>
      <c r="X132" s="60">
        <v>0</v>
      </c>
      <c r="Y132" s="60">
        <v>0</v>
      </c>
      <c r="Z132" s="33"/>
      <c r="AA132" s="60">
        <v>0</v>
      </c>
      <c r="AB132" s="60">
        <v>0</v>
      </c>
      <c r="AC132" s="60">
        <v>0</v>
      </c>
      <c r="AD132" s="60">
        <v>0</v>
      </c>
      <c r="AE132" s="60">
        <v>0</v>
      </c>
      <c r="AF132" s="33">
        <v>0</v>
      </c>
      <c r="AG132" s="33">
        <v>0</v>
      </c>
      <c r="AH132" s="33">
        <v>0</v>
      </c>
      <c r="AI132" s="33">
        <v>0</v>
      </c>
      <c r="AJ132" s="33">
        <v>0</v>
      </c>
      <c r="AK132" s="33">
        <v>0</v>
      </c>
      <c r="AL132" s="33">
        <v>0</v>
      </c>
      <c r="AM132" s="33">
        <v>0</v>
      </c>
      <c r="AN132" s="33">
        <v>0</v>
      </c>
      <c r="AO132" s="33">
        <v>0</v>
      </c>
      <c r="AP132" s="33">
        <v>0</v>
      </c>
    </row>
    <row r="133" spans="1:42" ht="89.25">
      <c r="A133" s="18"/>
      <c r="B133" s="18"/>
      <c r="C133" s="18" t="s">
        <v>1232</v>
      </c>
      <c r="D133" s="14" t="s">
        <v>61</v>
      </c>
      <c r="E133" s="111" t="str">
        <f>VLOOKUP(C133,KELAS!$A$2:$D$643,4,0)</f>
        <v>1 MADINAH</v>
      </c>
      <c r="F133" s="18"/>
      <c r="G133" s="18"/>
      <c r="H133" s="19" t="s">
        <v>407</v>
      </c>
      <c r="I133" s="37">
        <v>808500</v>
      </c>
      <c r="J133" s="87">
        <v>45965</v>
      </c>
      <c r="K133" s="88">
        <v>0.54105324074074079</v>
      </c>
      <c r="L133" s="39">
        <f t="shared" si="5"/>
        <v>0</v>
      </c>
      <c r="M133" s="20">
        <f t="shared" si="4"/>
        <v>-808500</v>
      </c>
      <c r="N133" s="33">
        <v>0</v>
      </c>
      <c r="O133" s="60">
        <v>0</v>
      </c>
      <c r="P133" s="33">
        <v>0</v>
      </c>
      <c r="Q133" s="33">
        <v>0</v>
      </c>
      <c r="R133" s="33">
        <v>0</v>
      </c>
      <c r="S133" s="33">
        <v>0</v>
      </c>
      <c r="T133" s="33">
        <v>0</v>
      </c>
      <c r="U133" s="33">
        <v>0</v>
      </c>
      <c r="V133" s="60">
        <v>0</v>
      </c>
      <c r="W133" s="33">
        <v>0</v>
      </c>
      <c r="X133" s="60">
        <v>0</v>
      </c>
      <c r="Y133" s="60">
        <v>0</v>
      </c>
      <c r="Z133" s="33"/>
      <c r="AA133" s="60">
        <v>0</v>
      </c>
      <c r="AB133" s="60">
        <v>0</v>
      </c>
      <c r="AC133" s="60">
        <v>0</v>
      </c>
      <c r="AD133" s="60">
        <v>0</v>
      </c>
      <c r="AE133" s="60">
        <v>0</v>
      </c>
      <c r="AF133" s="33">
        <v>0</v>
      </c>
      <c r="AG133" s="33">
        <v>0</v>
      </c>
      <c r="AH133" s="33">
        <v>0</v>
      </c>
      <c r="AI133" s="33">
        <v>0</v>
      </c>
      <c r="AJ133" s="33">
        <v>0</v>
      </c>
      <c r="AK133" s="33">
        <v>0</v>
      </c>
      <c r="AL133" s="33">
        <v>0</v>
      </c>
      <c r="AM133" s="33">
        <v>0</v>
      </c>
      <c r="AN133" s="33">
        <v>0</v>
      </c>
      <c r="AO133" s="33">
        <v>0</v>
      </c>
      <c r="AP133" s="33">
        <v>0</v>
      </c>
    </row>
    <row r="134" spans="1:42" ht="89.25">
      <c r="A134" s="18"/>
      <c r="B134" s="18"/>
      <c r="C134" s="18" t="s">
        <v>1232</v>
      </c>
      <c r="D134" s="14" t="s">
        <v>61</v>
      </c>
      <c r="E134" s="111" t="str">
        <f>VLOOKUP(C134,KELAS!$A$2:$D$643,4,0)</f>
        <v>1 MADINAH</v>
      </c>
      <c r="F134" s="18"/>
      <c r="G134" s="18"/>
      <c r="H134" s="19" t="s">
        <v>409</v>
      </c>
      <c r="I134" s="37">
        <v>808500</v>
      </c>
      <c r="J134" s="87">
        <v>45965</v>
      </c>
      <c r="K134" s="88">
        <v>0.54920138888888892</v>
      </c>
      <c r="L134" s="39">
        <f t="shared" ref="L134:L159" si="6">SUM(N134:AP134)</f>
        <v>0</v>
      </c>
      <c r="M134" s="20">
        <f t="shared" si="4"/>
        <v>-808500</v>
      </c>
      <c r="N134" s="33">
        <v>0</v>
      </c>
      <c r="O134" s="60">
        <v>0</v>
      </c>
      <c r="P134" s="33">
        <v>0</v>
      </c>
      <c r="Q134" s="33">
        <v>0</v>
      </c>
      <c r="R134" s="33">
        <v>0</v>
      </c>
      <c r="S134" s="33">
        <v>0</v>
      </c>
      <c r="T134" s="33">
        <v>0</v>
      </c>
      <c r="U134" s="33">
        <v>0</v>
      </c>
      <c r="V134" s="60">
        <v>0</v>
      </c>
      <c r="W134" s="33">
        <v>0</v>
      </c>
      <c r="X134" s="60">
        <v>0</v>
      </c>
      <c r="Y134" s="60">
        <v>0</v>
      </c>
      <c r="Z134" s="33"/>
      <c r="AA134" s="60">
        <v>0</v>
      </c>
      <c r="AB134" s="60">
        <v>0</v>
      </c>
      <c r="AC134" s="60">
        <v>0</v>
      </c>
      <c r="AD134" s="60">
        <v>0</v>
      </c>
      <c r="AE134" s="60">
        <v>0</v>
      </c>
      <c r="AF134" s="33">
        <v>0</v>
      </c>
      <c r="AG134" s="33">
        <v>0</v>
      </c>
      <c r="AH134" s="33">
        <v>0</v>
      </c>
      <c r="AI134" s="33">
        <v>0</v>
      </c>
      <c r="AJ134" s="33">
        <v>0</v>
      </c>
      <c r="AK134" s="33">
        <v>0</v>
      </c>
      <c r="AL134" s="33">
        <v>0</v>
      </c>
      <c r="AM134" s="33">
        <v>0</v>
      </c>
      <c r="AN134" s="33">
        <v>0</v>
      </c>
      <c r="AO134" s="33">
        <v>0</v>
      </c>
      <c r="AP134" s="33">
        <v>0</v>
      </c>
    </row>
    <row r="135" spans="1:42" ht="63.75">
      <c r="A135" s="18"/>
      <c r="B135" s="18"/>
      <c r="C135" s="18" t="s">
        <v>1245</v>
      </c>
      <c r="D135" s="14" t="s">
        <v>61</v>
      </c>
      <c r="E135" s="111" t="str">
        <f>VLOOKUP(C135,KELAS!$A$2:$D$643,4,0)</f>
        <v>1 MINA</v>
      </c>
      <c r="F135" s="18"/>
      <c r="G135" s="18"/>
      <c r="H135" s="19" t="s">
        <v>411</v>
      </c>
      <c r="I135" s="37">
        <v>1617000</v>
      </c>
      <c r="J135" s="87">
        <v>45965</v>
      </c>
      <c r="K135" s="88">
        <v>0.58240740740740737</v>
      </c>
      <c r="L135" s="39">
        <f t="shared" si="6"/>
        <v>0</v>
      </c>
      <c r="M135" s="20">
        <f t="shared" ref="M135:M159" si="7">L135-I135</f>
        <v>-1617000</v>
      </c>
      <c r="N135" s="33">
        <v>0</v>
      </c>
      <c r="O135" s="60">
        <v>0</v>
      </c>
      <c r="P135" s="33">
        <v>0</v>
      </c>
      <c r="Q135" s="33">
        <v>0</v>
      </c>
      <c r="R135" s="33">
        <v>0</v>
      </c>
      <c r="S135" s="33">
        <v>0</v>
      </c>
      <c r="T135" s="33">
        <v>0</v>
      </c>
      <c r="U135" s="33">
        <v>0</v>
      </c>
      <c r="V135" s="60">
        <v>0</v>
      </c>
      <c r="W135" s="33">
        <v>0</v>
      </c>
      <c r="X135" s="60">
        <v>0</v>
      </c>
      <c r="Y135" s="60">
        <v>0</v>
      </c>
      <c r="Z135" s="33"/>
      <c r="AA135" s="60">
        <v>0</v>
      </c>
      <c r="AB135" s="60">
        <v>0</v>
      </c>
      <c r="AC135" s="60">
        <v>0</v>
      </c>
      <c r="AD135" s="60">
        <v>0</v>
      </c>
      <c r="AE135" s="60">
        <v>0</v>
      </c>
      <c r="AF135" s="33">
        <v>0</v>
      </c>
      <c r="AG135" s="33">
        <v>0</v>
      </c>
      <c r="AH135" s="33">
        <v>0</v>
      </c>
      <c r="AI135" s="33">
        <v>0</v>
      </c>
      <c r="AJ135" s="33">
        <v>0</v>
      </c>
      <c r="AK135" s="33">
        <v>0</v>
      </c>
      <c r="AL135" s="33">
        <v>0</v>
      </c>
      <c r="AM135" s="33">
        <v>0</v>
      </c>
      <c r="AN135" s="33">
        <v>0</v>
      </c>
      <c r="AO135" s="33">
        <v>0</v>
      </c>
      <c r="AP135" s="33">
        <v>0</v>
      </c>
    </row>
    <row r="136" spans="1:42" ht="63.75">
      <c r="A136" s="18"/>
      <c r="B136" s="18"/>
      <c r="C136" s="18" t="s">
        <v>1893</v>
      </c>
      <c r="D136" s="14" t="s">
        <v>61</v>
      </c>
      <c r="E136" s="111" t="str">
        <f>VLOOKUP(C136,KELAS!$A$2:$D$643,4,0)</f>
        <v>4 MADINAH</v>
      </c>
      <c r="F136" s="18"/>
      <c r="G136" s="18"/>
      <c r="H136" s="19" t="s">
        <v>413</v>
      </c>
      <c r="I136" s="37">
        <v>1450000</v>
      </c>
      <c r="J136" s="87">
        <v>45965</v>
      </c>
      <c r="K136" s="88">
        <v>0.58322916666666669</v>
      </c>
      <c r="L136" s="39">
        <f t="shared" si="6"/>
        <v>0</v>
      </c>
      <c r="M136" s="20">
        <f t="shared" si="7"/>
        <v>-1450000</v>
      </c>
      <c r="N136" s="33">
        <v>0</v>
      </c>
      <c r="O136" s="60">
        <v>0</v>
      </c>
      <c r="P136" s="33">
        <v>0</v>
      </c>
      <c r="Q136" s="33">
        <v>0</v>
      </c>
      <c r="R136" s="33">
        <v>0</v>
      </c>
      <c r="S136" s="33">
        <v>0</v>
      </c>
      <c r="T136" s="33">
        <v>0</v>
      </c>
      <c r="U136" s="33">
        <v>0</v>
      </c>
      <c r="V136" s="60">
        <v>0</v>
      </c>
      <c r="W136" s="33">
        <v>0</v>
      </c>
      <c r="X136" s="60">
        <v>0</v>
      </c>
      <c r="Y136" s="60">
        <v>0</v>
      </c>
      <c r="Z136" s="33"/>
      <c r="AA136" s="60">
        <v>0</v>
      </c>
      <c r="AB136" s="60">
        <v>0</v>
      </c>
      <c r="AC136" s="60">
        <v>0</v>
      </c>
      <c r="AD136" s="60">
        <v>0</v>
      </c>
      <c r="AE136" s="60">
        <v>0</v>
      </c>
      <c r="AF136" s="33">
        <v>0</v>
      </c>
      <c r="AG136" s="33">
        <v>0</v>
      </c>
      <c r="AH136" s="33">
        <v>0</v>
      </c>
      <c r="AI136" s="33">
        <v>0</v>
      </c>
      <c r="AJ136" s="33">
        <v>0</v>
      </c>
      <c r="AK136" s="33">
        <v>0</v>
      </c>
      <c r="AL136" s="33">
        <v>0</v>
      </c>
      <c r="AM136" s="33">
        <v>0</v>
      </c>
      <c r="AN136" s="33">
        <v>0</v>
      </c>
      <c r="AO136" s="33">
        <v>0</v>
      </c>
      <c r="AP136" s="33">
        <v>0</v>
      </c>
    </row>
    <row r="137" spans="1:42" ht="89.25">
      <c r="A137" s="18"/>
      <c r="B137" s="18"/>
      <c r="C137" s="18" t="s">
        <v>1287</v>
      </c>
      <c r="D137" s="14" t="s">
        <v>61</v>
      </c>
      <c r="E137" s="111" t="str">
        <f>VLOOKUP(C137,KELAS!$A$2:$D$643,4,0)</f>
        <v>1 MINA</v>
      </c>
      <c r="F137" s="18"/>
      <c r="G137" s="18"/>
      <c r="H137" s="19" t="s">
        <v>415</v>
      </c>
      <c r="I137" s="37">
        <v>1617000</v>
      </c>
      <c r="J137" s="87">
        <v>45965</v>
      </c>
      <c r="K137" s="88">
        <v>0.58689814814814811</v>
      </c>
      <c r="L137" s="39">
        <f t="shared" si="6"/>
        <v>0</v>
      </c>
      <c r="M137" s="20">
        <f t="shared" si="7"/>
        <v>-1617000</v>
      </c>
      <c r="N137" s="33">
        <v>0</v>
      </c>
      <c r="O137" s="60">
        <v>0</v>
      </c>
      <c r="P137" s="33">
        <v>0</v>
      </c>
      <c r="Q137" s="33">
        <v>0</v>
      </c>
      <c r="R137" s="33">
        <v>0</v>
      </c>
      <c r="S137" s="33">
        <v>0</v>
      </c>
      <c r="T137" s="33">
        <v>0</v>
      </c>
      <c r="U137" s="33">
        <v>0</v>
      </c>
      <c r="V137" s="60">
        <v>0</v>
      </c>
      <c r="W137" s="33">
        <v>0</v>
      </c>
      <c r="X137" s="60">
        <v>0</v>
      </c>
      <c r="Y137" s="60">
        <v>0</v>
      </c>
      <c r="Z137" s="33"/>
      <c r="AA137" s="60">
        <v>0</v>
      </c>
      <c r="AB137" s="60">
        <v>0</v>
      </c>
      <c r="AC137" s="60">
        <v>0</v>
      </c>
      <c r="AD137" s="60">
        <v>0</v>
      </c>
      <c r="AE137" s="60">
        <v>0</v>
      </c>
      <c r="AF137" s="33">
        <v>0</v>
      </c>
      <c r="AG137" s="33">
        <v>0</v>
      </c>
      <c r="AH137" s="33">
        <v>0</v>
      </c>
      <c r="AI137" s="33">
        <v>0</v>
      </c>
      <c r="AJ137" s="33">
        <v>0</v>
      </c>
      <c r="AK137" s="33">
        <v>0</v>
      </c>
      <c r="AL137" s="33">
        <v>0</v>
      </c>
      <c r="AM137" s="33">
        <v>0</v>
      </c>
      <c r="AN137" s="33">
        <v>0</v>
      </c>
      <c r="AO137" s="33">
        <v>0</v>
      </c>
      <c r="AP137" s="33">
        <v>0</v>
      </c>
    </row>
    <row r="138" spans="1:42" ht="76.5">
      <c r="A138" s="18"/>
      <c r="B138" s="18"/>
      <c r="C138" s="18" t="s">
        <v>2162</v>
      </c>
      <c r="D138" s="14" t="s">
        <v>61</v>
      </c>
      <c r="E138" s="111" t="str">
        <f>VLOOKUP(C138,KELAS!$A$2:$D$643,4,0)</f>
        <v>5 MINA</v>
      </c>
      <c r="F138" s="18"/>
      <c r="G138" s="18"/>
      <c r="H138" s="19" t="s">
        <v>417</v>
      </c>
      <c r="I138" s="37">
        <v>1400000</v>
      </c>
      <c r="J138" s="87">
        <v>45965</v>
      </c>
      <c r="K138" s="88">
        <v>0.61917824074074079</v>
      </c>
      <c r="L138" s="39">
        <f t="shared" si="6"/>
        <v>0</v>
      </c>
      <c r="M138" s="20">
        <f t="shared" si="7"/>
        <v>-1400000</v>
      </c>
      <c r="N138" s="33">
        <v>0</v>
      </c>
      <c r="O138" s="60">
        <v>0</v>
      </c>
      <c r="P138" s="33">
        <v>0</v>
      </c>
      <c r="Q138" s="33">
        <v>0</v>
      </c>
      <c r="R138" s="33">
        <v>0</v>
      </c>
      <c r="S138" s="33">
        <v>0</v>
      </c>
      <c r="T138" s="33">
        <v>0</v>
      </c>
      <c r="U138" s="33">
        <v>0</v>
      </c>
      <c r="V138" s="60">
        <v>0</v>
      </c>
      <c r="W138" s="33">
        <v>0</v>
      </c>
      <c r="X138" s="60">
        <v>0</v>
      </c>
      <c r="Y138" s="60">
        <v>0</v>
      </c>
      <c r="Z138" s="33"/>
      <c r="AA138" s="60">
        <v>0</v>
      </c>
      <c r="AB138" s="60">
        <v>0</v>
      </c>
      <c r="AC138" s="60">
        <v>0</v>
      </c>
      <c r="AD138" s="60">
        <v>0</v>
      </c>
      <c r="AE138" s="60">
        <v>0</v>
      </c>
      <c r="AF138" s="33">
        <v>0</v>
      </c>
      <c r="AG138" s="33">
        <v>0</v>
      </c>
      <c r="AH138" s="33">
        <v>0</v>
      </c>
      <c r="AI138" s="33">
        <v>0</v>
      </c>
      <c r="AJ138" s="33">
        <v>0</v>
      </c>
      <c r="AK138" s="33">
        <v>0</v>
      </c>
      <c r="AL138" s="33">
        <v>0</v>
      </c>
      <c r="AM138" s="33">
        <v>0</v>
      </c>
      <c r="AN138" s="33">
        <v>0</v>
      </c>
      <c r="AO138" s="33">
        <v>0</v>
      </c>
      <c r="AP138" s="33">
        <v>0</v>
      </c>
    </row>
    <row r="139" spans="1:42" ht="102">
      <c r="A139" s="18"/>
      <c r="B139" s="18"/>
      <c r="C139" s="18" t="s">
        <v>1669</v>
      </c>
      <c r="D139" s="14" t="s">
        <v>61</v>
      </c>
      <c r="E139" s="111" t="str">
        <f>VLOOKUP(C139,KELAS!$A$2:$D$643,4,0)</f>
        <v>3 MADINAH</v>
      </c>
      <c r="F139" s="18"/>
      <c r="G139" s="18"/>
      <c r="H139" s="19" t="s">
        <v>419</v>
      </c>
      <c r="I139" s="37">
        <v>1400000</v>
      </c>
      <c r="J139" s="87">
        <v>45965</v>
      </c>
      <c r="K139" s="88">
        <v>0.63618055555555553</v>
      </c>
      <c r="L139" s="39">
        <f t="shared" si="6"/>
        <v>0</v>
      </c>
      <c r="M139" s="20">
        <f t="shared" si="7"/>
        <v>-1400000</v>
      </c>
      <c r="N139" s="33">
        <v>0</v>
      </c>
      <c r="O139" s="60">
        <v>0</v>
      </c>
      <c r="P139" s="33">
        <v>0</v>
      </c>
      <c r="Q139" s="33">
        <v>0</v>
      </c>
      <c r="R139" s="33">
        <v>0</v>
      </c>
      <c r="S139" s="33">
        <v>0</v>
      </c>
      <c r="T139" s="33">
        <v>0</v>
      </c>
      <c r="U139" s="33">
        <v>0</v>
      </c>
      <c r="V139" s="60">
        <v>0</v>
      </c>
      <c r="W139" s="33">
        <v>0</v>
      </c>
      <c r="X139" s="60">
        <v>0</v>
      </c>
      <c r="Y139" s="60">
        <v>0</v>
      </c>
      <c r="Z139" s="33"/>
      <c r="AA139" s="60">
        <v>0</v>
      </c>
      <c r="AB139" s="60">
        <v>0</v>
      </c>
      <c r="AC139" s="60">
        <v>0</v>
      </c>
      <c r="AD139" s="60">
        <v>0</v>
      </c>
      <c r="AE139" s="60">
        <v>0</v>
      </c>
      <c r="AF139" s="33">
        <v>0</v>
      </c>
      <c r="AG139" s="33">
        <v>0</v>
      </c>
      <c r="AH139" s="33">
        <v>0</v>
      </c>
      <c r="AI139" s="33">
        <v>0</v>
      </c>
      <c r="AJ139" s="33">
        <v>0</v>
      </c>
      <c r="AK139" s="33">
        <v>0</v>
      </c>
      <c r="AL139" s="33">
        <v>0</v>
      </c>
      <c r="AM139" s="33">
        <v>0</v>
      </c>
      <c r="AN139" s="33">
        <v>0</v>
      </c>
      <c r="AO139" s="33">
        <v>0</v>
      </c>
      <c r="AP139" s="33">
        <v>0</v>
      </c>
    </row>
    <row r="140" spans="1:42" ht="89.25">
      <c r="A140" s="18"/>
      <c r="B140" s="18"/>
      <c r="C140" s="18" t="s">
        <v>2334</v>
      </c>
      <c r="D140" s="14" t="s">
        <v>61</v>
      </c>
      <c r="E140" s="111" t="e">
        <f>VLOOKUP(C140,KELAS!$A$2:$D$643,4,0)</f>
        <v>#N/A</v>
      </c>
      <c r="F140" s="18"/>
      <c r="G140" s="18"/>
      <c r="H140" s="19" t="s">
        <v>421</v>
      </c>
      <c r="I140" s="37">
        <v>1617000</v>
      </c>
      <c r="J140" s="87">
        <v>45965</v>
      </c>
      <c r="K140" s="88">
        <v>0.64872685185185186</v>
      </c>
      <c r="L140" s="39">
        <f t="shared" si="6"/>
        <v>0</v>
      </c>
      <c r="M140" s="20">
        <f t="shared" si="7"/>
        <v>-1617000</v>
      </c>
      <c r="N140" s="33">
        <v>0</v>
      </c>
      <c r="O140" s="60">
        <v>0</v>
      </c>
      <c r="P140" s="33">
        <v>0</v>
      </c>
      <c r="Q140" s="33">
        <v>0</v>
      </c>
      <c r="R140" s="33">
        <v>0</v>
      </c>
      <c r="S140" s="33">
        <v>0</v>
      </c>
      <c r="T140" s="33">
        <v>0</v>
      </c>
      <c r="U140" s="33">
        <v>0</v>
      </c>
      <c r="V140" s="60">
        <v>0</v>
      </c>
      <c r="W140" s="33">
        <v>0</v>
      </c>
      <c r="X140" s="60">
        <v>0</v>
      </c>
      <c r="Y140" s="60">
        <v>0</v>
      </c>
      <c r="Z140" s="33"/>
      <c r="AA140" s="60">
        <v>0</v>
      </c>
      <c r="AB140" s="60">
        <v>0</v>
      </c>
      <c r="AC140" s="60">
        <v>0</v>
      </c>
      <c r="AD140" s="60">
        <v>0</v>
      </c>
      <c r="AE140" s="60">
        <v>0</v>
      </c>
      <c r="AF140" s="33">
        <v>0</v>
      </c>
      <c r="AG140" s="33">
        <v>0</v>
      </c>
      <c r="AH140" s="33">
        <v>0</v>
      </c>
      <c r="AI140" s="33">
        <v>0</v>
      </c>
      <c r="AJ140" s="33">
        <v>0</v>
      </c>
      <c r="AK140" s="33">
        <v>0</v>
      </c>
      <c r="AL140" s="33">
        <v>0</v>
      </c>
      <c r="AM140" s="33">
        <v>0</v>
      </c>
      <c r="AN140" s="33">
        <v>0</v>
      </c>
      <c r="AO140" s="33">
        <v>0</v>
      </c>
      <c r="AP140" s="33">
        <v>0</v>
      </c>
    </row>
    <row r="141" spans="1:42" ht="89.25">
      <c r="A141" s="18"/>
      <c r="B141" s="18"/>
      <c r="C141" s="18" t="s">
        <v>2334</v>
      </c>
      <c r="D141" s="14" t="s">
        <v>61</v>
      </c>
      <c r="E141" s="111" t="e">
        <f>VLOOKUP(C141,KELAS!$A$2:$D$643,4,0)</f>
        <v>#N/A</v>
      </c>
      <c r="F141" s="18"/>
      <c r="G141" s="18"/>
      <c r="H141" s="19" t="s">
        <v>421</v>
      </c>
      <c r="I141" s="37">
        <v>1617000</v>
      </c>
      <c r="J141" s="87">
        <v>45965</v>
      </c>
      <c r="K141" s="88">
        <v>0.64938657407407407</v>
      </c>
      <c r="L141" s="39">
        <f t="shared" si="6"/>
        <v>0</v>
      </c>
      <c r="M141" s="20">
        <f t="shared" si="7"/>
        <v>-1617000</v>
      </c>
      <c r="N141" s="33">
        <v>0</v>
      </c>
      <c r="O141" s="60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60">
        <v>0</v>
      </c>
      <c r="W141" s="33">
        <v>0</v>
      </c>
      <c r="X141" s="60">
        <v>0</v>
      </c>
      <c r="Y141" s="60">
        <v>0</v>
      </c>
      <c r="Z141" s="33"/>
      <c r="AA141" s="60">
        <v>0</v>
      </c>
      <c r="AB141" s="60">
        <v>0</v>
      </c>
      <c r="AC141" s="60">
        <v>0</v>
      </c>
      <c r="AD141" s="60">
        <v>0</v>
      </c>
      <c r="AE141" s="60">
        <v>0</v>
      </c>
      <c r="AF141" s="33">
        <v>0</v>
      </c>
      <c r="AG141" s="33">
        <v>0</v>
      </c>
      <c r="AH141" s="33">
        <v>0</v>
      </c>
      <c r="AI141" s="33">
        <v>0</v>
      </c>
      <c r="AJ141" s="33">
        <v>0</v>
      </c>
      <c r="AK141" s="33">
        <v>0</v>
      </c>
      <c r="AL141" s="33">
        <v>0</v>
      </c>
      <c r="AM141" s="33">
        <v>0</v>
      </c>
      <c r="AN141" s="33">
        <v>0</v>
      </c>
      <c r="AO141" s="33">
        <v>0</v>
      </c>
      <c r="AP141" s="33">
        <v>0</v>
      </c>
    </row>
    <row r="142" spans="1:42" ht="89.25">
      <c r="A142" s="18"/>
      <c r="B142" s="18"/>
      <c r="C142" s="18" t="s">
        <v>1959</v>
      </c>
      <c r="D142" s="14" t="s">
        <v>61</v>
      </c>
      <c r="E142" s="111" t="str">
        <f>VLOOKUP(C142,KELAS!$A$2:$D$643,4,0)</f>
        <v>4 MINA</v>
      </c>
      <c r="F142" s="18"/>
      <c r="G142" s="18"/>
      <c r="H142" s="19" t="s">
        <v>424</v>
      </c>
      <c r="I142" s="37">
        <v>1400000</v>
      </c>
      <c r="J142" s="87">
        <v>45965</v>
      </c>
      <c r="K142" s="88">
        <v>0.66431712962962963</v>
      </c>
      <c r="L142" s="39">
        <f t="shared" si="6"/>
        <v>0</v>
      </c>
      <c r="M142" s="20">
        <f t="shared" si="7"/>
        <v>-1400000</v>
      </c>
      <c r="N142" s="33">
        <v>0</v>
      </c>
      <c r="O142" s="60">
        <v>0</v>
      </c>
      <c r="P142" s="33">
        <v>0</v>
      </c>
      <c r="Q142" s="33">
        <v>0</v>
      </c>
      <c r="R142" s="33">
        <v>0</v>
      </c>
      <c r="S142" s="33">
        <v>0</v>
      </c>
      <c r="T142" s="33">
        <v>0</v>
      </c>
      <c r="U142" s="33">
        <v>0</v>
      </c>
      <c r="V142" s="60">
        <v>0</v>
      </c>
      <c r="W142" s="33">
        <v>0</v>
      </c>
      <c r="X142" s="60">
        <v>0</v>
      </c>
      <c r="Y142" s="60">
        <v>0</v>
      </c>
      <c r="Z142" s="33"/>
      <c r="AA142" s="60">
        <v>0</v>
      </c>
      <c r="AB142" s="60">
        <v>0</v>
      </c>
      <c r="AC142" s="60">
        <v>0</v>
      </c>
      <c r="AD142" s="60">
        <v>0</v>
      </c>
      <c r="AE142" s="60">
        <v>0</v>
      </c>
      <c r="AF142" s="33">
        <v>0</v>
      </c>
      <c r="AG142" s="33">
        <v>0</v>
      </c>
      <c r="AH142" s="33">
        <v>0</v>
      </c>
      <c r="AI142" s="33">
        <v>0</v>
      </c>
      <c r="AJ142" s="33">
        <v>0</v>
      </c>
      <c r="AK142" s="33">
        <v>0</v>
      </c>
      <c r="AL142" s="33">
        <v>0</v>
      </c>
      <c r="AM142" s="33">
        <v>0</v>
      </c>
      <c r="AN142" s="33">
        <v>0</v>
      </c>
      <c r="AO142" s="33">
        <v>0</v>
      </c>
      <c r="AP142" s="33">
        <v>0</v>
      </c>
    </row>
    <row r="143" spans="1:42" ht="89.25">
      <c r="A143" s="18"/>
      <c r="B143" s="18"/>
      <c r="C143" s="18" t="s">
        <v>2335</v>
      </c>
      <c r="D143" s="14" t="s">
        <v>61</v>
      </c>
      <c r="E143" s="111" t="e">
        <f>VLOOKUP(C143,KELAS!$A$2:$D$643,4,0)</f>
        <v>#N/A</v>
      </c>
      <c r="F143" s="18"/>
      <c r="G143" s="18"/>
      <c r="H143" s="19" t="s">
        <v>426</v>
      </c>
      <c r="I143" s="37">
        <v>1400000</v>
      </c>
      <c r="J143" s="87">
        <v>45965</v>
      </c>
      <c r="K143" s="88">
        <v>0.68181712962962959</v>
      </c>
      <c r="L143" s="39">
        <f t="shared" si="6"/>
        <v>0</v>
      </c>
      <c r="M143" s="20">
        <f t="shared" si="7"/>
        <v>-1400000</v>
      </c>
      <c r="N143" s="33">
        <v>0</v>
      </c>
      <c r="O143" s="60">
        <v>0</v>
      </c>
      <c r="P143" s="33">
        <v>0</v>
      </c>
      <c r="Q143" s="33">
        <v>0</v>
      </c>
      <c r="R143" s="33">
        <v>0</v>
      </c>
      <c r="S143" s="33">
        <v>0</v>
      </c>
      <c r="T143" s="33">
        <v>0</v>
      </c>
      <c r="U143" s="33">
        <v>0</v>
      </c>
      <c r="V143" s="60">
        <v>0</v>
      </c>
      <c r="W143" s="33">
        <v>0</v>
      </c>
      <c r="X143" s="60">
        <v>0</v>
      </c>
      <c r="Y143" s="60">
        <v>0</v>
      </c>
      <c r="Z143" s="33"/>
      <c r="AA143" s="60">
        <v>0</v>
      </c>
      <c r="AB143" s="60">
        <v>0</v>
      </c>
      <c r="AC143" s="60">
        <v>0</v>
      </c>
      <c r="AD143" s="60">
        <v>0</v>
      </c>
      <c r="AE143" s="60">
        <v>0</v>
      </c>
      <c r="AF143" s="33">
        <v>0</v>
      </c>
      <c r="AG143" s="33">
        <v>0</v>
      </c>
      <c r="AH143" s="33">
        <v>0</v>
      </c>
      <c r="AI143" s="33">
        <v>0</v>
      </c>
      <c r="AJ143" s="33">
        <v>0</v>
      </c>
      <c r="AK143" s="33">
        <v>0</v>
      </c>
      <c r="AL143" s="33">
        <v>0</v>
      </c>
      <c r="AM143" s="33">
        <v>0</v>
      </c>
      <c r="AN143" s="33">
        <v>0</v>
      </c>
      <c r="AO143" s="33">
        <v>0</v>
      </c>
      <c r="AP143" s="33">
        <v>0</v>
      </c>
    </row>
    <row r="144" spans="1:42" ht="76.5">
      <c r="A144" s="18"/>
      <c r="B144" s="18"/>
      <c r="C144" s="18" t="s">
        <v>1865</v>
      </c>
      <c r="D144" s="14" t="s">
        <v>61</v>
      </c>
      <c r="E144" s="111" t="str">
        <f>VLOOKUP(C144,KELAS!$A$2:$D$643,4,0)</f>
        <v>4 MEKKAH</v>
      </c>
      <c r="F144" s="18"/>
      <c r="G144" s="18"/>
      <c r="H144" s="19" t="s">
        <v>428</v>
      </c>
      <c r="I144" s="37">
        <v>1450000</v>
      </c>
      <c r="J144" s="87">
        <v>45965</v>
      </c>
      <c r="K144" s="88">
        <v>0.70578703703703705</v>
      </c>
      <c r="L144" s="39">
        <f t="shared" si="6"/>
        <v>0</v>
      </c>
      <c r="M144" s="20">
        <f t="shared" si="7"/>
        <v>-1450000</v>
      </c>
      <c r="N144" s="33">
        <v>0</v>
      </c>
      <c r="O144" s="60">
        <v>0</v>
      </c>
      <c r="P144" s="33">
        <v>0</v>
      </c>
      <c r="Q144" s="33">
        <v>0</v>
      </c>
      <c r="R144" s="33">
        <v>0</v>
      </c>
      <c r="S144" s="33">
        <v>0</v>
      </c>
      <c r="T144" s="33">
        <v>0</v>
      </c>
      <c r="U144" s="33">
        <v>0</v>
      </c>
      <c r="V144" s="60">
        <v>0</v>
      </c>
      <c r="W144" s="33">
        <v>0</v>
      </c>
      <c r="X144" s="60">
        <v>0</v>
      </c>
      <c r="Y144" s="60">
        <v>0</v>
      </c>
      <c r="Z144" s="33"/>
      <c r="AA144" s="60">
        <v>0</v>
      </c>
      <c r="AB144" s="60">
        <v>0</v>
      </c>
      <c r="AC144" s="60">
        <v>0</v>
      </c>
      <c r="AD144" s="60">
        <v>0</v>
      </c>
      <c r="AE144" s="60">
        <v>0</v>
      </c>
      <c r="AF144" s="33">
        <v>0</v>
      </c>
      <c r="AG144" s="33">
        <v>0</v>
      </c>
      <c r="AH144" s="33">
        <v>0</v>
      </c>
      <c r="AI144" s="33">
        <v>0</v>
      </c>
      <c r="AJ144" s="33">
        <v>0</v>
      </c>
      <c r="AK144" s="33">
        <v>0</v>
      </c>
      <c r="AL144" s="33">
        <v>0</v>
      </c>
      <c r="AM144" s="33">
        <v>0</v>
      </c>
      <c r="AN144" s="33">
        <v>0</v>
      </c>
      <c r="AO144" s="33">
        <v>0</v>
      </c>
      <c r="AP144" s="33">
        <v>0</v>
      </c>
    </row>
    <row r="145" spans="1:42" ht="76.5">
      <c r="A145" s="18"/>
      <c r="B145" s="18"/>
      <c r="C145" s="18" t="s">
        <v>1416</v>
      </c>
      <c r="D145" s="14" t="s">
        <v>61</v>
      </c>
      <c r="E145" s="111" t="str">
        <f>VLOOKUP(C145,KELAS!$A$2:$D$643,4,0)</f>
        <v>2 MADINAH</v>
      </c>
      <c r="F145" s="18"/>
      <c r="G145" s="18"/>
      <c r="H145" s="19" t="s">
        <v>430</v>
      </c>
      <c r="I145" s="37">
        <v>1540000</v>
      </c>
      <c r="J145" s="87">
        <v>45965</v>
      </c>
      <c r="K145" s="88">
        <v>0.7221643518518519</v>
      </c>
      <c r="L145" s="39">
        <f t="shared" si="6"/>
        <v>0</v>
      </c>
      <c r="M145" s="20">
        <f t="shared" si="7"/>
        <v>-1540000</v>
      </c>
      <c r="N145" s="33">
        <v>0</v>
      </c>
      <c r="O145" s="60">
        <v>0</v>
      </c>
      <c r="P145" s="33">
        <v>0</v>
      </c>
      <c r="Q145" s="33">
        <v>0</v>
      </c>
      <c r="R145" s="33">
        <v>0</v>
      </c>
      <c r="S145" s="33">
        <v>0</v>
      </c>
      <c r="T145" s="33">
        <v>0</v>
      </c>
      <c r="U145" s="33">
        <v>0</v>
      </c>
      <c r="V145" s="60">
        <v>0</v>
      </c>
      <c r="W145" s="33">
        <v>0</v>
      </c>
      <c r="X145" s="60">
        <v>0</v>
      </c>
      <c r="Y145" s="60">
        <v>0</v>
      </c>
      <c r="Z145" s="33"/>
      <c r="AA145" s="60">
        <v>0</v>
      </c>
      <c r="AB145" s="60">
        <v>0</v>
      </c>
      <c r="AC145" s="60">
        <v>0</v>
      </c>
      <c r="AD145" s="60">
        <v>0</v>
      </c>
      <c r="AE145" s="60">
        <v>0</v>
      </c>
      <c r="AF145" s="33">
        <v>0</v>
      </c>
      <c r="AG145" s="33">
        <v>0</v>
      </c>
      <c r="AH145" s="33">
        <v>0</v>
      </c>
      <c r="AI145" s="33">
        <v>0</v>
      </c>
      <c r="AJ145" s="33">
        <v>0</v>
      </c>
      <c r="AK145" s="33">
        <v>0</v>
      </c>
      <c r="AL145" s="33">
        <v>0</v>
      </c>
      <c r="AM145" s="33">
        <v>0</v>
      </c>
      <c r="AN145" s="33">
        <v>0</v>
      </c>
      <c r="AO145" s="33">
        <v>0</v>
      </c>
      <c r="AP145" s="33">
        <v>0</v>
      </c>
    </row>
    <row r="146" spans="1:42" ht="102">
      <c r="A146" s="18"/>
      <c r="B146" s="18"/>
      <c r="C146" s="18" t="s">
        <v>1839</v>
      </c>
      <c r="D146" s="14" t="s">
        <v>61</v>
      </c>
      <c r="E146" s="111" t="str">
        <f>VLOOKUP(C146,KELAS!$A$2:$D$643,4,0)</f>
        <v>4 MEKKAH</v>
      </c>
      <c r="F146" s="18"/>
      <c r="G146" s="18"/>
      <c r="H146" s="19" t="s">
        <v>432</v>
      </c>
      <c r="I146" s="37">
        <v>1400000</v>
      </c>
      <c r="J146" s="87">
        <v>45965</v>
      </c>
      <c r="K146" s="88">
        <v>0.81311342592592595</v>
      </c>
      <c r="L146" s="39">
        <f t="shared" si="6"/>
        <v>0</v>
      </c>
      <c r="M146" s="20">
        <f t="shared" si="7"/>
        <v>-1400000</v>
      </c>
      <c r="N146" s="33">
        <v>0</v>
      </c>
      <c r="O146" s="60">
        <v>0</v>
      </c>
      <c r="P146" s="33">
        <v>0</v>
      </c>
      <c r="Q146" s="33">
        <v>0</v>
      </c>
      <c r="R146" s="33">
        <v>0</v>
      </c>
      <c r="S146" s="33">
        <v>0</v>
      </c>
      <c r="T146" s="33">
        <v>0</v>
      </c>
      <c r="U146" s="33">
        <v>0</v>
      </c>
      <c r="V146" s="60">
        <v>0</v>
      </c>
      <c r="W146" s="33">
        <v>0</v>
      </c>
      <c r="X146" s="60">
        <v>0</v>
      </c>
      <c r="Y146" s="60">
        <v>0</v>
      </c>
      <c r="Z146" s="33"/>
      <c r="AA146" s="60">
        <v>0</v>
      </c>
      <c r="AB146" s="60">
        <v>0</v>
      </c>
      <c r="AC146" s="60">
        <v>0</v>
      </c>
      <c r="AD146" s="60">
        <v>0</v>
      </c>
      <c r="AE146" s="60">
        <v>0</v>
      </c>
      <c r="AF146" s="33">
        <v>0</v>
      </c>
      <c r="AG146" s="33">
        <v>0</v>
      </c>
      <c r="AH146" s="33">
        <v>0</v>
      </c>
      <c r="AI146" s="33">
        <v>0</v>
      </c>
      <c r="AJ146" s="33">
        <v>0</v>
      </c>
      <c r="AK146" s="33">
        <v>0</v>
      </c>
      <c r="AL146" s="33">
        <v>0</v>
      </c>
      <c r="AM146" s="33">
        <v>0</v>
      </c>
      <c r="AN146" s="33">
        <v>0</v>
      </c>
      <c r="AO146" s="33">
        <v>0</v>
      </c>
      <c r="AP146" s="33">
        <v>0</v>
      </c>
    </row>
    <row r="147" spans="1:42" ht="89.25">
      <c r="A147" s="18"/>
      <c r="B147" s="18"/>
      <c r="C147" s="18" t="s">
        <v>2037</v>
      </c>
      <c r="D147" s="14" t="s">
        <v>61</v>
      </c>
      <c r="E147" s="111" t="str">
        <f>VLOOKUP(C147,KELAS!$A$2:$D$643,4,0)</f>
        <v>5 MEKKAH</v>
      </c>
      <c r="F147" s="18"/>
      <c r="G147" s="18"/>
      <c r="H147" s="19" t="s">
        <v>89</v>
      </c>
      <c r="I147" s="37">
        <v>1400000</v>
      </c>
      <c r="J147" s="87">
        <v>45965</v>
      </c>
      <c r="K147" s="88">
        <v>0.83277777777777773</v>
      </c>
      <c r="L147" s="39">
        <f t="shared" si="6"/>
        <v>0</v>
      </c>
      <c r="M147" s="20">
        <f t="shared" si="7"/>
        <v>-1400000</v>
      </c>
      <c r="N147" s="33">
        <v>0</v>
      </c>
      <c r="O147" s="60">
        <v>0</v>
      </c>
      <c r="P147" s="33">
        <v>0</v>
      </c>
      <c r="Q147" s="33">
        <v>0</v>
      </c>
      <c r="R147" s="33">
        <v>0</v>
      </c>
      <c r="S147" s="33">
        <v>0</v>
      </c>
      <c r="T147" s="33">
        <v>0</v>
      </c>
      <c r="U147" s="33">
        <v>0</v>
      </c>
      <c r="V147" s="60">
        <v>0</v>
      </c>
      <c r="W147" s="33">
        <v>0</v>
      </c>
      <c r="X147" s="60">
        <v>0</v>
      </c>
      <c r="Y147" s="60">
        <v>0</v>
      </c>
      <c r="Z147" s="33"/>
      <c r="AA147" s="60">
        <v>0</v>
      </c>
      <c r="AB147" s="60">
        <v>0</v>
      </c>
      <c r="AC147" s="60">
        <v>0</v>
      </c>
      <c r="AD147" s="60">
        <v>0</v>
      </c>
      <c r="AE147" s="60">
        <v>0</v>
      </c>
      <c r="AF147" s="33">
        <v>0</v>
      </c>
      <c r="AG147" s="33">
        <v>0</v>
      </c>
      <c r="AH147" s="33">
        <v>0</v>
      </c>
      <c r="AI147" s="33">
        <v>0</v>
      </c>
      <c r="AJ147" s="33">
        <v>0</v>
      </c>
      <c r="AK147" s="33">
        <v>0</v>
      </c>
      <c r="AL147" s="33">
        <v>0</v>
      </c>
      <c r="AM147" s="33">
        <v>0</v>
      </c>
      <c r="AN147" s="33">
        <v>0</v>
      </c>
      <c r="AO147" s="33">
        <v>0</v>
      </c>
      <c r="AP147" s="33">
        <v>0</v>
      </c>
    </row>
    <row r="148" spans="1:42" ht="102">
      <c r="A148" s="18"/>
      <c r="B148" s="18"/>
      <c r="C148" s="18" t="s">
        <v>2221</v>
      </c>
      <c r="D148" s="14" t="s">
        <v>61</v>
      </c>
      <c r="E148" s="111" t="str">
        <f>VLOOKUP(C148,KELAS!$A$2:$D$643,4,0)</f>
        <v>6 MADINAH</v>
      </c>
      <c r="F148" s="18"/>
      <c r="G148" s="18"/>
      <c r="H148" s="19" t="s">
        <v>435</v>
      </c>
      <c r="I148" s="37">
        <v>1400000</v>
      </c>
      <c r="J148" s="87">
        <v>45965</v>
      </c>
      <c r="K148" s="88">
        <v>0.96199074074074076</v>
      </c>
      <c r="L148" s="39">
        <f t="shared" si="6"/>
        <v>0</v>
      </c>
      <c r="M148" s="20">
        <f t="shared" si="7"/>
        <v>-1400000</v>
      </c>
      <c r="N148" s="33">
        <v>0</v>
      </c>
      <c r="O148" s="60">
        <v>0</v>
      </c>
      <c r="P148" s="33">
        <v>0</v>
      </c>
      <c r="Q148" s="33">
        <v>0</v>
      </c>
      <c r="R148" s="33">
        <v>0</v>
      </c>
      <c r="S148" s="33">
        <v>0</v>
      </c>
      <c r="T148" s="33">
        <v>0</v>
      </c>
      <c r="U148" s="33">
        <v>0</v>
      </c>
      <c r="V148" s="60">
        <v>0</v>
      </c>
      <c r="W148" s="33">
        <v>0</v>
      </c>
      <c r="X148" s="60">
        <v>0</v>
      </c>
      <c r="Y148" s="60">
        <v>0</v>
      </c>
      <c r="Z148" s="33"/>
      <c r="AA148" s="60">
        <v>0</v>
      </c>
      <c r="AB148" s="60">
        <v>0</v>
      </c>
      <c r="AC148" s="60">
        <v>0</v>
      </c>
      <c r="AD148" s="60">
        <v>0</v>
      </c>
      <c r="AE148" s="60">
        <v>0</v>
      </c>
      <c r="AF148" s="33">
        <v>0</v>
      </c>
      <c r="AG148" s="33">
        <v>0</v>
      </c>
      <c r="AH148" s="33">
        <v>0</v>
      </c>
      <c r="AI148" s="33">
        <v>0</v>
      </c>
      <c r="AJ148" s="33">
        <v>0</v>
      </c>
      <c r="AK148" s="33">
        <v>0</v>
      </c>
      <c r="AL148" s="33">
        <v>0</v>
      </c>
      <c r="AM148" s="33">
        <v>0</v>
      </c>
      <c r="AN148" s="33">
        <v>0</v>
      </c>
      <c r="AO148" s="33">
        <v>0</v>
      </c>
      <c r="AP148" s="33">
        <v>0</v>
      </c>
    </row>
    <row r="149" spans="1:42" ht="102">
      <c r="A149" s="18"/>
      <c r="B149" s="18"/>
      <c r="C149" s="18" t="s">
        <v>1694</v>
      </c>
      <c r="D149" s="14" t="s">
        <v>61</v>
      </c>
      <c r="E149" s="111" t="str">
        <f>VLOOKUP(C149,KELAS!$A$2:$D$643,4,0)</f>
        <v>3 MADINAH</v>
      </c>
      <c r="F149" s="18"/>
      <c r="G149" s="18"/>
      <c r="H149" s="19" t="s">
        <v>437</v>
      </c>
      <c r="I149" s="37">
        <v>1400000</v>
      </c>
      <c r="J149" s="87">
        <v>45965</v>
      </c>
      <c r="K149" s="88">
        <v>0.96258101851851852</v>
      </c>
      <c r="L149" s="39">
        <f t="shared" si="6"/>
        <v>0</v>
      </c>
      <c r="M149" s="20">
        <f t="shared" si="7"/>
        <v>-1400000</v>
      </c>
      <c r="N149" s="33">
        <v>0</v>
      </c>
      <c r="O149" s="60">
        <v>0</v>
      </c>
      <c r="P149" s="33">
        <v>0</v>
      </c>
      <c r="Q149" s="33">
        <v>0</v>
      </c>
      <c r="R149" s="33">
        <v>0</v>
      </c>
      <c r="S149" s="33">
        <v>0</v>
      </c>
      <c r="T149" s="33">
        <v>0</v>
      </c>
      <c r="U149" s="33">
        <v>0</v>
      </c>
      <c r="V149" s="60">
        <v>0</v>
      </c>
      <c r="W149" s="33">
        <v>0</v>
      </c>
      <c r="X149" s="60">
        <v>0</v>
      </c>
      <c r="Y149" s="60">
        <v>0</v>
      </c>
      <c r="Z149" s="33"/>
      <c r="AA149" s="60">
        <v>0</v>
      </c>
      <c r="AB149" s="60">
        <v>0</v>
      </c>
      <c r="AC149" s="60">
        <v>0</v>
      </c>
      <c r="AD149" s="60">
        <v>0</v>
      </c>
      <c r="AE149" s="60">
        <v>0</v>
      </c>
      <c r="AF149" s="33">
        <v>0</v>
      </c>
      <c r="AG149" s="33">
        <v>0</v>
      </c>
      <c r="AH149" s="33">
        <v>0</v>
      </c>
      <c r="AI149" s="33">
        <v>0</v>
      </c>
      <c r="AJ149" s="33">
        <v>0</v>
      </c>
      <c r="AK149" s="33">
        <v>0</v>
      </c>
      <c r="AL149" s="33">
        <v>0</v>
      </c>
      <c r="AM149" s="33">
        <v>0</v>
      </c>
      <c r="AN149" s="33">
        <v>0</v>
      </c>
      <c r="AO149" s="33">
        <v>0</v>
      </c>
      <c r="AP149" s="33">
        <v>0</v>
      </c>
    </row>
    <row r="150" spans="1:42" ht="76.5">
      <c r="A150" s="18"/>
      <c r="B150" s="18"/>
      <c r="C150" s="18" t="s">
        <v>2149</v>
      </c>
      <c r="D150" s="14" t="s">
        <v>61</v>
      </c>
      <c r="E150" s="111" t="str">
        <f>VLOOKUP(C150,KELAS!$A$2:$D$643,4,0)</f>
        <v>5 MINA</v>
      </c>
      <c r="F150" s="18"/>
      <c r="G150" s="18"/>
      <c r="H150" s="19" t="s">
        <v>85</v>
      </c>
      <c r="I150" s="37">
        <v>1400000</v>
      </c>
      <c r="J150" s="87">
        <v>45966</v>
      </c>
      <c r="K150" s="88">
        <v>0.25307870370370372</v>
      </c>
      <c r="L150" s="39">
        <f t="shared" si="6"/>
        <v>0</v>
      </c>
      <c r="M150" s="20">
        <f t="shared" si="7"/>
        <v>-1400000</v>
      </c>
      <c r="N150" s="33">
        <v>0</v>
      </c>
      <c r="O150" s="60">
        <v>0</v>
      </c>
      <c r="P150" s="33">
        <v>0</v>
      </c>
      <c r="Q150" s="33">
        <v>0</v>
      </c>
      <c r="R150" s="33">
        <v>0</v>
      </c>
      <c r="S150" s="33">
        <v>0</v>
      </c>
      <c r="T150" s="33">
        <v>0</v>
      </c>
      <c r="U150" s="33">
        <v>0</v>
      </c>
      <c r="V150" s="60">
        <v>0</v>
      </c>
      <c r="W150" s="33">
        <v>0</v>
      </c>
      <c r="X150" s="60">
        <v>0</v>
      </c>
      <c r="Y150" s="60">
        <v>0</v>
      </c>
      <c r="Z150" s="33"/>
      <c r="AA150" s="60">
        <v>0</v>
      </c>
      <c r="AB150" s="60">
        <v>0</v>
      </c>
      <c r="AC150" s="60">
        <v>0</v>
      </c>
      <c r="AD150" s="60">
        <v>0</v>
      </c>
      <c r="AE150" s="60">
        <v>0</v>
      </c>
      <c r="AF150" s="33">
        <v>0</v>
      </c>
      <c r="AG150" s="33">
        <v>0</v>
      </c>
      <c r="AH150" s="33">
        <v>0</v>
      </c>
      <c r="AI150" s="33">
        <v>0</v>
      </c>
      <c r="AJ150" s="33">
        <v>0</v>
      </c>
      <c r="AK150" s="33">
        <v>0</v>
      </c>
      <c r="AL150" s="33">
        <v>0</v>
      </c>
      <c r="AM150" s="33">
        <v>0</v>
      </c>
      <c r="AN150" s="33">
        <v>0</v>
      </c>
      <c r="AO150" s="33">
        <v>0</v>
      </c>
      <c r="AP150" s="33">
        <v>0</v>
      </c>
    </row>
    <row r="151" spans="1:42" ht="76.5">
      <c r="A151" s="18"/>
      <c r="B151" s="18"/>
      <c r="C151" s="18" t="s">
        <v>2153</v>
      </c>
      <c r="D151" s="14" t="s">
        <v>61</v>
      </c>
      <c r="E151" s="111" t="str">
        <f>VLOOKUP(C151,KELAS!$A$2:$D$643,4,0)</f>
        <v>5 MINA</v>
      </c>
      <c r="F151" s="18"/>
      <c r="G151" s="18"/>
      <c r="H151" s="19" t="s">
        <v>440</v>
      </c>
      <c r="I151" s="37">
        <v>1400000</v>
      </c>
      <c r="J151" s="87">
        <v>45966</v>
      </c>
      <c r="K151" s="88">
        <v>0.28113425925925928</v>
      </c>
      <c r="L151" s="39">
        <f t="shared" si="6"/>
        <v>0</v>
      </c>
      <c r="M151" s="20">
        <f t="shared" si="7"/>
        <v>-1400000</v>
      </c>
      <c r="N151" s="33">
        <v>0</v>
      </c>
      <c r="O151" s="60">
        <v>0</v>
      </c>
      <c r="P151" s="33">
        <v>0</v>
      </c>
      <c r="Q151" s="33">
        <v>0</v>
      </c>
      <c r="R151" s="33">
        <v>0</v>
      </c>
      <c r="S151" s="33">
        <v>0</v>
      </c>
      <c r="T151" s="33">
        <v>0</v>
      </c>
      <c r="U151" s="33">
        <v>0</v>
      </c>
      <c r="V151" s="60">
        <v>0</v>
      </c>
      <c r="W151" s="33">
        <v>0</v>
      </c>
      <c r="X151" s="60">
        <v>0</v>
      </c>
      <c r="Y151" s="60">
        <v>0</v>
      </c>
      <c r="Z151" s="33"/>
      <c r="AA151" s="60">
        <v>0</v>
      </c>
      <c r="AB151" s="60">
        <v>0</v>
      </c>
      <c r="AC151" s="60">
        <v>0</v>
      </c>
      <c r="AD151" s="60">
        <v>0</v>
      </c>
      <c r="AE151" s="60">
        <v>0</v>
      </c>
      <c r="AF151" s="33">
        <v>0</v>
      </c>
      <c r="AG151" s="33">
        <v>0</v>
      </c>
      <c r="AH151" s="33">
        <v>0</v>
      </c>
      <c r="AI151" s="33">
        <v>0</v>
      </c>
      <c r="AJ151" s="33">
        <v>0</v>
      </c>
      <c r="AK151" s="33">
        <v>0</v>
      </c>
      <c r="AL151" s="33">
        <v>0</v>
      </c>
      <c r="AM151" s="33">
        <v>0</v>
      </c>
      <c r="AN151" s="33">
        <v>0</v>
      </c>
      <c r="AO151" s="33">
        <v>0</v>
      </c>
      <c r="AP151" s="33">
        <v>0</v>
      </c>
    </row>
    <row r="152" spans="1:42" ht="89.25">
      <c r="A152" s="18"/>
      <c r="B152" s="18"/>
      <c r="C152" s="18" t="s">
        <v>1809</v>
      </c>
      <c r="D152" s="14" t="s">
        <v>61</v>
      </c>
      <c r="E152" s="111" t="str">
        <f>VLOOKUP(C152,KELAS!$A$2:$D$643,4,0)</f>
        <v>3 MARWAH</v>
      </c>
      <c r="F152" s="18"/>
      <c r="G152" s="18"/>
      <c r="H152" s="19" t="s">
        <v>442</v>
      </c>
      <c r="I152" s="37">
        <v>1450000</v>
      </c>
      <c r="J152" s="87">
        <v>45966</v>
      </c>
      <c r="K152" s="88">
        <v>0.32543981481481482</v>
      </c>
      <c r="L152" s="39">
        <f t="shared" si="6"/>
        <v>0</v>
      </c>
      <c r="M152" s="20">
        <f t="shared" si="7"/>
        <v>-1450000</v>
      </c>
      <c r="N152" s="33">
        <v>0</v>
      </c>
      <c r="O152" s="60">
        <v>0</v>
      </c>
      <c r="P152" s="33">
        <v>0</v>
      </c>
      <c r="Q152" s="33">
        <v>0</v>
      </c>
      <c r="R152" s="33">
        <v>0</v>
      </c>
      <c r="S152" s="33">
        <v>0</v>
      </c>
      <c r="T152" s="33">
        <v>0</v>
      </c>
      <c r="U152" s="33">
        <v>0</v>
      </c>
      <c r="V152" s="60">
        <v>0</v>
      </c>
      <c r="W152" s="33">
        <v>0</v>
      </c>
      <c r="X152" s="60">
        <v>0</v>
      </c>
      <c r="Y152" s="60">
        <v>0</v>
      </c>
      <c r="Z152" s="33"/>
      <c r="AA152" s="60">
        <v>0</v>
      </c>
      <c r="AB152" s="60">
        <v>0</v>
      </c>
      <c r="AC152" s="60">
        <v>0</v>
      </c>
      <c r="AD152" s="60">
        <v>0</v>
      </c>
      <c r="AE152" s="60">
        <v>0</v>
      </c>
      <c r="AF152" s="33">
        <v>0</v>
      </c>
      <c r="AG152" s="33">
        <v>0</v>
      </c>
      <c r="AH152" s="33">
        <v>0</v>
      </c>
      <c r="AI152" s="33">
        <v>0</v>
      </c>
      <c r="AJ152" s="33">
        <v>0</v>
      </c>
      <c r="AK152" s="33">
        <v>0</v>
      </c>
      <c r="AL152" s="33">
        <v>0</v>
      </c>
      <c r="AM152" s="33">
        <v>0</v>
      </c>
      <c r="AN152" s="33">
        <v>0</v>
      </c>
      <c r="AO152" s="33">
        <v>0</v>
      </c>
      <c r="AP152" s="33">
        <v>0</v>
      </c>
    </row>
    <row r="153" spans="1:42" ht="76.5">
      <c r="A153" s="18"/>
      <c r="B153" s="18"/>
      <c r="C153" s="18" t="s">
        <v>2336</v>
      </c>
      <c r="D153" s="14" t="s">
        <v>61</v>
      </c>
      <c r="E153" s="111" t="e">
        <f>VLOOKUP(C153,KELAS!$A$2:$D$643,4,0)</f>
        <v>#N/A</v>
      </c>
      <c r="F153" s="18"/>
      <c r="G153" s="18"/>
      <c r="H153" s="19" t="s">
        <v>122</v>
      </c>
      <c r="I153" s="37">
        <v>1400000</v>
      </c>
      <c r="J153" s="87">
        <v>45966</v>
      </c>
      <c r="K153" s="88">
        <v>0.35071759259259261</v>
      </c>
      <c r="L153" s="39">
        <f t="shared" si="6"/>
        <v>0</v>
      </c>
      <c r="M153" s="20">
        <f t="shared" si="7"/>
        <v>-1400000</v>
      </c>
      <c r="N153" s="33">
        <v>0</v>
      </c>
      <c r="O153" s="60">
        <v>0</v>
      </c>
      <c r="P153" s="33">
        <v>0</v>
      </c>
      <c r="Q153" s="33">
        <v>0</v>
      </c>
      <c r="R153" s="33">
        <v>0</v>
      </c>
      <c r="S153" s="33">
        <v>0</v>
      </c>
      <c r="T153" s="33">
        <v>0</v>
      </c>
      <c r="U153" s="33">
        <v>0</v>
      </c>
      <c r="V153" s="60">
        <v>0</v>
      </c>
      <c r="W153" s="33">
        <v>0</v>
      </c>
      <c r="X153" s="60">
        <v>0</v>
      </c>
      <c r="Y153" s="60">
        <v>0</v>
      </c>
      <c r="Z153" s="33"/>
      <c r="AA153" s="60">
        <v>0</v>
      </c>
      <c r="AB153" s="60">
        <v>0</v>
      </c>
      <c r="AC153" s="60">
        <v>0</v>
      </c>
      <c r="AD153" s="60">
        <v>0</v>
      </c>
      <c r="AE153" s="60">
        <v>0</v>
      </c>
      <c r="AF153" s="33">
        <v>0</v>
      </c>
      <c r="AG153" s="33">
        <v>0</v>
      </c>
      <c r="AH153" s="33">
        <v>0</v>
      </c>
      <c r="AI153" s="33">
        <v>0</v>
      </c>
      <c r="AJ153" s="33">
        <v>0</v>
      </c>
      <c r="AK153" s="33">
        <v>0</v>
      </c>
      <c r="AL153" s="33">
        <v>0</v>
      </c>
      <c r="AM153" s="33">
        <v>0</v>
      </c>
      <c r="AN153" s="33">
        <v>0</v>
      </c>
      <c r="AO153" s="33">
        <v>0</v>
      </c>
      <c r="AP153" s="33">
        <v>0</v>
      </c>
    </row>
    <row r="154" spans="1:42" ht="102">
      <c r="A154" s="18"/>
      <c r="B154" s="18"/>
      <c r="C154" s="18" t="s">
        <v>1711</v>
      </c>
      <c r="D154" s="14" t="s">
        <v>61</v>
      </c>
      <c r="E154" s="111" t="str">
        <f>VLOOKUP(C154,KELAS!$A$2:$D$643,4,0)</f>
        <v>3 MADINAH</v>
      </c>
      <c r="F154" s="18"/>
      <c r="G154" s="18"/>
      <c r="H154" s="19" t="s">
        <v>445</v>
      </c>
      <c r="I154" s="37">
        <v>1450000</v>
      </c>
      <c r="J154" s="87">
        <v>45966</v>
      </c>
      <c r="K154" s="88">
        <v>0.35280092592592593</v>
      </c>
      <c r="L154" s="39">
        <f t="shared" si="6"/>
        <v>0</v>
      </c>
      <c r="M154" s="20">
        <f t="shared" si="7"/>
        <v>-1450000</v>
      </c>
      <c r="N154" s="33">
        <v>0</v>
      </c>
      <c r="O154" s="60">
        <v>0</v>
      </c>
      <c r="P154" s="33">
        <v>0</v>
      </c>
      <c r="Q154" s="33">
        <v>0</v>
      </c>
      <c r="R154" s="33">
        <v>0</v>
      </c>
      <c r="S154" s="33">
        <v>0</v>
      </c>
      <c r="T154" s="33">
        <v>0</v>
      </c>
      <c r="U154" s="33">
        <v>0</v>
      </c>
      <c r="V154" s="60">
        <v>0</v>
      </c>
      <c r="W154" s="33">
        <v>0</v>
      </c>
      <c r="X154" s="60">
        <v>0</v>
      </c>
      <c r="Y154" s="60">
        <v>0</v>
      </c>
      <c r="Z154" s="33"/>
      <c r="AA154" s="60">
        <v>0</v>
      </c>
      <c r="AB154" s="60">
        <v>0</v>
      </c>
      <c r="AC154" s="60">
        <v>0</v>
      </c>
      <c r="AD154" s="60">
        <v>0</v>
      </c>
      <c r="AE154" s="60">
        <v>0</v>
      </c>
      <c r="AF154" s="33">
        <v>0</v>
      </c>
      <c r="AG154" s="33">
        <v>0</v>
      </c>
      <c r="AH154" s="33">
        <v>0</v>
      </c>
      <c r="AI154" s="33">
        <v>0</v>
      </c>
      <c r="AJ154" s="33">
        <v>0</v>
      </c>
      <c r="AK154" s="33">
        <v>0</v>
      </c>
      <c r="AL154" s="33">
        <v>0</v>
      </c>
      <c r="AM154" s="33">
        <v>0</v>
      </c>
      <c r="AN154" s="33">
        <v>0</v>
      </c>
      <c r="AO154" s="33">
        <v>0</v>
      </c>
      <c r="AP154" s="33">
        <v>0</v>
      </c>
    </row>
    <row r="155" spans="1:42" ht="63.75">
      <c r="A155" s="18"/>
      <c r="B155" s="18"/>
      <c r="C155" s="18" t="s">
        <v>2050</v>
      </c>
      <c r="D155" s="14" t="s">
        <v>61</v>
      </c>
      <c r="E155" s="111" t="str">
        <f>VLOOKUP(C155,KELAS!$A$2:$D$643,4,0)</f>
        <v>5 MEKKAH</v>
      </c>
      <c r="F155" s="18"/>
      <c r="G155" s="18"/>
      <c r="H155" s="19" t="s">
        <v>447</v>
      </c>
      <c r="I155" s="37">
        <v>1400000</v>
      </c>
      <c r="J155" s="87">
        <v>45966</v>
      </c>
      <c r="K155" s="88">
        <v>0.4092824074074074</v>
      </c>
      <c r="L155" s="39">
        <f t="shared" si="6"/>
        <v>0</v>
      </c>
      <c r="M155" s="20">
        <f t="shared" si="7"/>
        <v>-1400000</v>
      </c>
      <c r="N155" s="33">
        <v>0</v>
      </c>
      <c r="O155" s="60">
        <v>0</v>
      </c>
      <c r="P155" s="33">
        <v>0</v>
      </c>
      <c r="Q155" s="33">
        <v>0</v>
      </c>
      <c r="R155" s="33">
        <v>0</v>
      </c>
      <c r="S155" s="33">
        <v>0</v>
      </c>
      <c r="T155" s="33">
        <v>0</v>
      </c>
      <c r="U155" s="33">
        <v>0</v>
      </c>
      <c r="V155" s="60">
        <v>0</v>
      </c>
      <c r="W155" s="33">
        <v>0</v>
      </c>
      <c r="X155" s="60">
        <v>0</v>
      </c>
      <c r="Y155" s="60">
        <v>0</v>
      </c>
      <c r="Z155" s="33"/>
      <c r="AA155" s="60">
        <v>0</v>
      </c>
      <c r="AB155" s="60">
        <v>0</v>
      </c>
      <c r="AC155" s="60">
        <v>0</v>
      </c>
      <c r="AD155" s="60">
        <v>0</v>
      </c>
      <c r="AE155" s="60">
        <v>0</v>
      </c>
      <c r="AF155" s="33">
        <v>0</v>
      </c>
      <c r="AG155" s="33">
        <v>0</v>
      </c>
      <c r="AH155" s="33">
        <v>0</v>
      </c>
      <c r="AI155" s="33">
        <v>0</v>
      </c>
      <c r="AJ155" s="33">
        <v>0</v>
      </c>
      <c r="AK155" s="33">
        <v>0</v>
      </c>
      <c r="AL155" s="33">
        <v>0</v>
      </c>
      <c r="AM155" s="33">
        <v>0</v>
      </c>
      <c r="AN155" s="33">
        <v>0</v>
      </c>
      <c r="AO155" s="33">
        <v>0</v>
      </c>
      <c r="AP155" s="33">
        <v>0</v>
      </c>
    </row>
    <row r="156" spans="1:42" ht="76.5">
      <c r="A156" s="18"/>
      <c r="B156" s="18"/>
      <c r="C156" s="18" t="s">
        <v>2132</v>
      </c>
      <c r="D156" s="14" t="s">
        <v>61</v>
      </c>
      <c r="E156" s="111" t="str">
        <f>VLOOKUP(C156,KELAS!$A$2:$D$643,4,0)</f>
        <v>5 MINA</v>
      </c>
      <c r="F156" s="18"/>
      <c r="G156" s="18"/>
      <c r="H156" s="19" t="s">
        <v>449</v>
      </c>
      <c r="I156" s="37">
        <v>1400000</v>
      </c>
      <c r="J156" s="87">
        <v>45966</v>
      </c>
      <c r="K156" s="88">
        <v>0.41065972222222225</v>
      </c>
      <c r="L156" s="39">
        <f t="shared" si="6"/>
        <v>0</v>
      </c>
      <c r="M156" s="20">
        <f t="shared" si="7"/>
        <v>-1400000</v>
      </c>
      <c r="N156" s="33">
        <v>0</v>
      </c>
      <c r="O156" s="60">
        <v>0</v>
      </c>
      <c r="P156" s="33">
        <v>0</v>
      </c>
      <c r="Q156" s="33">
        <v>0</v>
      </c>
      <c r="R156" s="33">
        <v>0</v>
      </c>
      <c r="S156" s="33">
        <v>0</v>
      </c>
      <c r="T156" s="33">
        <v>0</v>
      </c>
      <c r="U156" s="33">
        <v>0</v>
      </c>
      <c r="V156" s="60">
        <v>0</v>
      </c>
      <c r="W156" s="33">
        <v>0</v>
      </c>
      <c r="X156" s="60">
        <v>0</v>
      </c>
      <c r="Y156" s="60">
        <v>0</v>
      </c>
      <c r="Z156" s="33"/>
      <c r="AA156" s="60">
        <v>0</v>
      </c>
      <c r="AB156" s="60">
        <v>0</v>
      </c>
      <c r="AC156" s="60">
        <v>0</v>
      </c>
      <c r="AD156" s="60">
        <v>0</v>
      </c>
      <c r="AE156" s="60">
        <v>0</v>
      </c>
      <c r="AF156" s="33">
        <v>0</v>
      </c>
      <c r="AG156" s="33">
        <v>0</v>
      </c>
      <c r="AH156" s="33">
        <v>0</v>
      </c>
      <c r="AI156" s="33">
        <v>0</v>
      </c>
      <c r="AJ156" s="33">
        <v>0</v>
      </c>
      <c r="AK156" s="33">
        <v>0</v>
      </c>
      <c r="AL156" s="33">
        <v>0</v>
      </c>
      <c r="AM156" s="33">
        <v>0</v>
      </c>
      <c r="AN156" s="33">
        <v>0</v>
      </c>
      <c r="AO156" s="33">
        <v>0</v>
      </c>
      <c r="AP156" s="33">
        <v>0</v>
      </c>
    </row>
    <row r="157" spans="1:42" ht="76.5">
      <c r="A157" s="18"/>
      <c r="B157" s="18"/>
      <c r="C157" s="18" t="s">
        <v>1735</v>
      </c>
      <c r="D157" s="14" t="s">
        <v>61</v>
      </c>
      <c r="E157" s="111" t="str">
        <f>VLOOKUP(C157,KELAS!$A$2:$D$643,4,0)</f>
        <v>3 MINA</v>
      </c>
      <c r="F157" s="18"/>
      <c r="G157" s="18"/>
      <c r="H157" s="19" t="s">
        <v>78</v>
      </c>
      <c r="I157" s="37">
        <v>1450000</v>
      </c>
      <c r="J157" s="87">
        <v>45966</v>
      </c>
      <c r="K157" s="88">
        <v>0.42505787037037035</v>
      </c>
      <c r="L157" s="39">
        <f t="shared" si="6"/>
        <v>0</v>
      </c>
      <c r="M157" s="20">
        <f t="shared" si="7"/>
        <v>-1450000</v>
      </c>
      <c r="N157" s="33">
        <v>0</v>
      </c>
      <c r="O157" s="60">
        <v>0</v>
      </c>
      <c r="P157" s="33">
        <v>0</v>
      </c>
      <c r="Q157" s="33">
        <v>0</v>
      </c>
      <c r="R157" s="33">
        <v>0</v>
      </c>
      <c r="S157" s="33">
        <v>0</v>
      </c>
      <c r="T157" s="33">
        <v>0</v>
      </c>
      <c r="U157" s="33">
        <v>0</v>
      </c>
      <c r="V157" s="60">
        <v>0</v>
      </c>
      <c r="W157" s="33">
        <v>0</v>
      </c>
      <c r="X157" s="60">
        <v>0</v>
      </c>
      <c r="Y157" s="60">
        <v>0</v>
      </c>
      <c r="Z157" s="33"/>
      <c r="AA157" s="60">
        <v>0</v>
      </c>
      <c r="AB157" s="60">
        <v>0</v>
      </c>
      <c r="AC157" s="60">
        <v>0</v>
      </c>
      <c r="AD157" s="60">
        <v>0</v>
      </c>
      <c r="AE157" s="60">
        <v>0</v>
      </c>
      <c r="AF157" s="33">
        <v>0</v>
      </c>
      <c r="AG157" s="33">
        <v>0</v>
      </c>
      <c r="AH157" s="33">
        <v>0</v>
      </c>
      <c r="AI157" s="33">
        <v>0</v>
      </c>
      <c r="AJ157" s="33">
        <v>0</v>
      </c>
      <c r="AK157" s="33">
        <v>0</v>
      </c>
      <c r="AL157" s="33">
        <v>0</v>
      </c>
      <c r="AM157" s="33">
        <v>0</v>
      </c>
      <c r="AN157" s="33">
        <v>0</v>
      </c>
      <c r="AO157" s="33">
        <v>0</v>
      </c>
      <c r="AP157" s="33">
        <v>0</v>
      </c>
    </row>
    <row r="158" spans="1:42" ht="89.25">
      <c r="A158" s="18"/>
      <c r="B158" s="18"/>
      <c r="C158" s="18" t="s">
        <v>1220</v>
      </c>
      <c r="D158" s="14" t="s">
        <v>61</v>
      </c>
      <c r="E158" s="111" t="str">
        <f>VLOOKUP(C158,KELAS!$A$2:$D$643,4,0)</f>
        <v>1 MADINAH</v>
      </c>
      <c r="F158" s="18"/>
      <c r="G158" s="18"/>
      <c r="H158" s="19" t="s">
        <v>127</v>
      </c>
      <c r="I158" s="37">
        <v>1617000</v>
      </c>
      <c r="J158" s="87">
        <v>45966</v>
      </c>
      <c r="K158" s="88">
        <v>0.46560185185185188</v>
      </c>
      <c r="L158" s="39">
        <f t="shared" si="6"/>
        <v>0</v>
      </c>
      <c r="M158" s="20">
        <f t="shared" si="7"/>
        <v>-1617000</v>
      </c>
      <c r="N158" s="33">
        <v>0</v>
      </c>
      <c r="O158" s="60">
        <v>0</v>
      </c>
      <c r="P158" s="33">
        <v>0</v>
      </c>
      <c r="Q158" s="33">
        <v>0</v>
      </c>
      <c r="R158" s="33">
        <v>0</v>
      </c>
      <c r="S158" s="33">
        <v>0</v>
      </c>
      <c r="T158" s="33">
        <v>0</v>
      </c>
      <c r="U158" s="33">
        <v>0</v>
      </c>
      <c r="V158" s="60">
        <v>0</v>
      </c>
      <c r="W158" s="33">
        <v>0</v>
      </c>
      <c r="X158" s="60">
        <v>0</v>
      </c>
      <c r="Y158" s="60">
        <v>0</v>
      </c>
      <c r="Z158" s="33"/>
      <c r="AA158" s="60">
        <v>0</v>
      </c>
      <c r="AB158" s="60">
        <v>0</v>
      </c>
      <c r="AC158" s="60">
        <v>0</v>
      </c>
      <c r="AD158" s="60">
        <v>0</v>
      </c>
      <c r="AE158" s="60">
        <v>0</v>
      </c>
      <c r="AF158" s="33">
        <v>0</v>
      </c>
      <c r="AG158" s="33">
        <v>0</v>
      </c>
      <c r="AH158" s="33">
        <v>0</v>
      </c>
      <c r="AI158" s="33">
        <v>0</v>
      </c>
      <c r="AJ158" s="33">
        <v>0</v>
      </c>
      <c r="AK158" s="33">
        <v>0</v>
      </c>
      <c r="AL158" s="33">
        <v>0</v>
      </c>
      <c r="AM158" s="33">
        <v>0</v>
      </c>
      <c r="AN158" s="33">
        <v>0</v>
      </c>
      <c r="AO158" s="33">
        <v>0</v>
      </c>
      <c r="AP158" s="33">
        <v>0</v>
      </c>
    </row>
    <row r="159" spans="1:42" ht="89.25">
      <c r="A159" s="18"/>
      <c r="B159" s="18"/>
      <c r="C159" s="18" t="s">
        <v>1304</v>
      </c>
      <c r="D159" s="18" t="s">
        <v>61</v>
      </c>
      <c r="E159" s="111" t="str">
        <f>VLOOKUP(C159,KELAS!$A$2:$D$643,4,0)</f>
        <v>1 MARWAH/TAHFIDZ</v>
      </c>
      <c r="F159" s="18"/>
      <c r="G159" s="18"/>
      <c r="H159" s="19" t="s">
        <v>130</v>
      </c>
      <c r="I159" s="37">
        <v>1617000</v>
      </c>
      <c r="J159" s="87">
        <v>45966</v>
      </c>
      <c r="K159" s="88">
        <v>0.47413194444444445</v>
      </c>
      <c r="L159" s="39">
        <f t="shared" si="6"/>
        <v>0</v>
      </c>
      <c r="M159" s="20">
        <f t="shared" si="7"/>
        <v>-1617000</v>
      </c>
      <c r="N159" s="40">
        <v>0</v>
      </c>
      <c r="O159" s="61">
        <v>0</v>
      </c>
      <c r="P159" s="40">
        <v>0</v>
      </c>
      <c r="Q159" s="40">
        <v>0</v>
      </c>
      <c r="R159" s="40">
        <v>0</v>
      </c>
      <c r="S159" s="40">
        <v>0</v>
      </c>
      <c r="T159" s="40">
        <v>0</v>
      </c>
      <c r="U159" s="40">
        <v>0</v>
      </c>
      <c r="V159" s="61">
        <v>0</v>
      </c>
      <c r="W159" s="40">
        <v>0</v>
      </c>
      <c r="X159" s="61">
        <v>0</v>
      </c>
      <c r="Y159" s="61">
        <v>0</v>
      </c>
      <c r="Z159" s="40"/>
      <c r="AA159" s="61">
        <v>0</v>
      </c>
      <c r="AB159" s="61">
        <v>0</v>
      </c>
      <c r="AC159" s="61">
        <v>0</v>
      </c>
      <c r="AD159" s="61">
        <v>0</v>
      </c>
      <c r="AE159" s="61">
        <v>0</v>
      </c>
      <c r="AF159" s="40">
        <v>0</v>
      </c>
      <c r="AG159" s="40">
        <v>0</v>
      </c>
      <c r="AH159" s="40">
        <v>0</v>
      </c>
      <c r="AI159" s="40">
        <v>0</v>
      </c>
      <c r="AJ159" s="40">
        <v>0</v>
      </c>
      <c r="AK159" s="40">
        <v>0</v>
      </c>
      <c r="AL159" s="40">
        <v>0</v>
      </c>
      <c r="AM159" s="40">
        <v>0</v>
      </c>
      <c r="AN159" s="40">
        <v>0</v>
      </c>
      <c r="AO159" s="40">
        <v>0</v>
      </c>
      <c r="AP159" s="33">
        <v>0</v>
      </c>
    </row>
    <row r="160" spans="1:42" ht="105">
      <c r="A160" s="14"/>
      <c r="B160" s="14"/>
      <c r="C160" s="14" t="s">
        <v>1696</v>
      </c>
      <c r="D160" s="14" t="s">
        <v>61</v>
      </c>
      <c r="E160" s="111" t="str">
        <f>VLOOKUP(C160,KELAS!$A$2:$D$643,4,0)</f>
        <v>3 MADINAH</v>
      </c>
      <c r="F160" s="14"/>
      <c r="G160" s="14"/>
      <c r="H160" s="43" t="s">
        <v>80</v>
      </c>
      <c r="I160" s="42">
        <v>1400000</v>
      </c>
      <c r="J160" s="87">
        <v>45966</v>
      </c>
      <c r="K160" s="88">
        <v>0.47447916666666667</v>
      </c>
      <c r="L160" s="39">
        <f t="shared" ref="L160:L223" si="8">SUM(N160:AP160)</f>
        <v>0</v>
      </c>
      <c r="M160" s="20">
        <f t="shared" ref="M160:M223" si="9">L160-I160</f>
        <v>-1400000</v>
      </c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  <c r="AL160" s="33"/>
      <c r="AM160" s="33"/>
      <c r="AN160" s="33"/>
      <c r="AO160" s="33"/>
    </row>
    <row r="161" spans="1:41" ht="90">
      <c r="A161" s="14"/>
      <c r="B161" s="14"/>
      <c r="C161" s="14" t="s">
        <v>1206</v>
      </c>
      <c r="D161" s="14" t="s">
        <v>61</v>
      </c>
      <c r="E161" s="111" t="str">
        <f>VLOOKUP(C161,KELAS!$A$2:$D$643,4,0)</f>
        <v>1 MADINAH</v>
      </c>
      <c r="F161" s="14"/>
      <c r="G161" s="14"/>
      <c r="H161" s="43" t="s">
        <v>148</v>
      </c>
      <c r="I161" s="42">
        <v>1540000</v>
      </c>
      <c r="J161" s="87">
        <v>45966</v>
      </c>
      <c r="K161" s="88">
        <v>0.50150462962962961</v>
      </c>
      <c r="L161" s="39">
        <f t="shared" si="8"/>
        <v>0</v>
      </c>
      <c r="M161" s="20">
        <f t="shared" si="9"/>
        <v>-1540000</v>
      </c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  <c r="AM161" s="33"/>
      <c r="AN161" s="33"/>
      <c r="AO161" s="33"/>
    </row>
    <row r="162" spans="1:41" ht="105">
      <c r="A162" s="14"/>
      <c r="B162" s="14"/>
      <c r="C162" s="14" t="s">
        <v>1802</v>
      </c>
      <c r="D162" s="14" t="s">
        <v>61</v>
      </c>
      <c r="E162" s="111" t="str">
        <f>VLOOKUP(C162,KELAS!$A$2:$D$643,4,0)</f>
        <v>3 MARWAH</v>
      </c>
      <c r="F162" s="14"/>
      <c r="G162" s="14"/>
      <c r="H162" s="43" t="s">
        <v>129</v>
      </c>
      <c r="I162" s="42">
        <v>1400000</v>
      </c>
      <c r="J162" s="87">
        <v>45966</v>
      </c>
      <c r="K162" s="88">
        <v>0.54280092592592588</v>
      </c>
      <c r="L162" s="39">
        <f t="shared" si="8"/>
        <v>0</v>
      </c>
      <c r="M162" s="20">
        <f t="shared" si="9"/>
        <v>-1400000</v>
      </c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  <c r="AL162" s="33"/>
      <c r="AM162" s="33"/>
      <c r="AN162" s="33"/>
      <c r="AO162" s="33"/>
    </row>
    <row r="163" spans="1:41" ht="105">
      <c r="A163" s="14"/>
      <c r="B163" s="14"/>
      <c r="C163" s="14" t="s">
        <v>1881</v>
      </c>
      <c r="D163" s="14" t="s">
        <v>61</v>
      </c>
      <c r="E163" s="111" t="str">
        <f>VLOOKUP(C163,KELAS!$A$2:$D$643,4,0)</f>
        <v>4 MEKKAH</v>
      </c>
      <c r="F163" s="14"/>
      <c r="G163" s="14"/>
      <c r="H163" s="43" t="s">
        <v>79</v>
      </c>
      <c r="I163" s="42">
        <v>1400000</v>
      </c>
      <c r="J163" s="87">
        <v>45966</v>
      </c>
      <c r="K163" s="88">
        <v>0.55751157407407403</v>
      </c>
      <c r="L163" s="39">
        <f t="shared" si="8"/>
        <v>0</v>
      </c>
      <c r="M163" s="20">
        <f t="shared" si="9"/>
        <v>-1400000</v>
      </c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33"/>
      <c r="AM163" s="33"/>
      <c r="AN163" s="33"/>
      <c r="AO163" s="33"/>
    </row>
    <row r="164" spans="1:41" ht="90">
      <c r="A164" s="14"/>
      <c r="B164" s="14"/>
      <c r="C164" s="14" t="s">
        <v>1378</v>
      </c>
      <c r="D164" s="14" t="s">
        <v>61</v>
      </c>
      <c r="E164" s="111" t="str">
        <f>VLOOKUP(C164,KELAS!$A$2:$D$643,4,0)</f>
        <v>2 MEKKAH</v>
      </c>
      <c r="F164" s="14"/>
      <c r="G164" s="14"/>
      <c r="H164" s="43" t="s">
        <v>458</v>
      </c>
      <c r="I164" s="42">
        <v>1540000</v>
      </c>
      <c r="J164" s="87">
        <v>45966</v>
      </c>
      <c r="K164" s="88">
        <v>0.57373842592592594</v>
      </c>
      <c r="L164" s="39">
        <f t="shared" si="8"/>
        <v>0</v>
      </c>
      <c r="M164" s="20">
        <f t="shared" si="9"/>
        <v>-1540000</v>
      </c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  <c r="AL164" s="33"/>
      <c r="AM164" s="33"/>
      <c r="AN164" s="33"/>
      <c r="AO164" s="33"/>
    </row>
    <row r="165" spans="1:41" ht="105">
      <c r="A165" s="14"/>
      <c r="B165" s="14"/>
      <c r="C165" s="14" t="s">
        <v>1690</v>
      </c>
      <c r="D165" s="14" t="s">
        <v>61</v>
      </c>
      <c r="E165" s="111" t="str">
        <f>VLOOKUP(C165,KELAS!$A$2:$D$643,4,0)</f>
        <v>3 MADINAH</v>
      </c>
      <c r="F165" s="14"/>
      <c r="G165" s="14"/>
      <c r="H165" s="43" t="s">
        <v>460</v>
      </c>
      <c r="I165" s="42">
        <v>2800000</v>
      </c>
      <c r="J165" s="87">
        <v>45966</v>
      </c>
      <c r="K165" s="88">
        <v>0.62717592592592597</v>
      </c>
      <c r="L165" s="39">
        <f t="shared" si="8"/>
        <v>0</v>
      </c>
      <c r="M165" s="20">
        <f t="shared" si="9"/>
        <v>-2800000</v>
      </c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  <c r="AK165" s="33"/>
      <c r="AL165" s="33"/>
      <c r="AM165" s="33"/>
      <c r="AN165" s="33"/>
      <c r="AO165" s="33"/>
    </row>
    <row r="166" spans="1:41" ht="120">
      <c r="A166" s="14"/>
      <c r="B166" s="14"/>
      <c r="C166" s="14" t="s">
        <v>2337</v>
      </c>
      <c r="D166" s="14" t="s">
        <v>61</v>
      </c>
      <c r="E166" s="111" t="str">
        <f>VLOOKUP(C166,KELAS!$A$2:$D$643,4,0)</f>
        <v>6 MINA</v>
      </c>
      <c r="F166" s="14"/>
      <c r="G166" s="14"/>
      <c r="H166" s="43" t="s">
        <v>462</v>
      </c>
      <c r="I166" s="42">
        <v>2800000</v>
      </c>
      <c r="J166" s="87">
        <v>45966</v>
      </c>
      <c r="K166" s="88">
        <v>0.62870370370370365</v>
      </c>
      <c r="L166" s="39">
        <f t="shared" si="8"/>
        <v>0</v>
      </c>
      <c r="M166" s="20">
        <f t="shared" si="9"/>
        <v>-2800000</v>
      </c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  <c r="AK166" s="33"/>
      <c r="AL166" s="33"/>
      <c r="AM166" s="33"/>
      <c r="AN166" s="33"/>
      <c r="AO166" s="33"/>
    </row>
    <row r="167" spans="1:41" ht="90">
      <c r="A167" s="14"/>
      <c r="B167" s="14"/>
      <c r="C167" s="14" t="s">
        <v>2227</v>
      </c>
      <c r="D167" s="14" t="s">
        <v>61</v>
      </c>
      <c r="E167" s="111" t="str">
        <f>VLOOKUP(C167,KELAS!$A$2:$D$643,4,0)</f>
        <v>6 MADINAH</v>
      </c>
      <c r="F167" s="14"/>
      <c r="G167" s="14"/>
      <c r="H167" s="43" t="s">
        <v>464</v>
      </c>
      <c r="I167" s="42">
        <v>1400000</v>
      </c>
      <c r="J167" s="87">
        <v>45966</v>
      </c>
      <c r="K167" s="88">
        <v>0.65810185185185188</v>
      </c>
      <c r="L167" s="39">
        <f t="shared" si="8"/>
        <v>0</v>
      </c>
      <c r="M167" s="20">
        <f t="shared" si="9"/>
        <v>-1400000</v>
      </c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  <c r="AL167" s="33"/>
      <c r="AM167" s="33"/>
      <c r="AN167" s="33"/>
      <c r="AO167" s="33"/>
    </row>
    <row r="168" spans="1:41" ht="120">
      <c r="A168" s="14"/>
      <c r="B168" s="14"/>
      <c r="C168" s="14" t="s">
        <v>1841</v>
      </c>
      <c r="D168" s="14" t="s">
        <v>61</v>
      </c>
      <c r="E168" s="111" t="str">
        <f>VLOOKUP(C168,KELAS!$A$2:$D$643,4,0)</f>
        <v>4 MEKKAH</v>
      </c>
      <c r="F168" s="14"/>
      <c r="G168" s="14"/>
      <c r="H168" s="43" t="s">
        <v>466</v>
      </c>
      <c r="I168" s="42">
        <v>1450000</v>
      </c>
      <c r="J168" s="87">
        <v>45966</v>
      </c>
      <c r="K168" s="88">
        <v>0.68918981481481478</v>
      </c>
      <c r="L168" s="39">
        <f t="shared" si="8"/>
        <v>0</v>
      </c>
      <c r="M168" s="20">
        <f t="shared" si="9"/>
        <v>-1450000</v>
      </c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3"/>
      <c r="AL168" s="33"/>
      <c r="AM168" s="33"/>
      <c r="AN168" s="33"/>
      <c r="AO168" s="33"/>
    </row>
    <row r="169" spans="1:41" ht="75">
      <c r="A169" s="14"/>
      <c r="B169" s="14"/>
      <c r="C169" s="14" t="s">
        <v>1957</v>
      </c>
      <c r="D169" s="14" t="s">
        <v>61</v>
      </c>
      <c r="E169" s="111" t="str">
        <f>VLOOKUP(C169,KELAS!$A$2:$D$643,4,0)</f>
        <v>4 MINA</v>
      </c>
      <c r="F169" s="14"/>
      <c r="G169" s="14"/>
      <c r="H169" s="43" t="s">
        <v>77</v>
      </c>
      <c r="I169" s="42">
        <v>1400000</v>
      </c>
      <c r="J169" s="87">
        <v>45966</v>
      </c>
      <c r="K169" s="88">
        <v>0.71728009259259262</v>
      </c>
      <c r="L169" s="39">
        <f t="shared" si="8"/>
        <v>0</v>
      </c>
      <c r="M169" s="20">
        <f t="shared" si="9"/>
        <v>-1400000</v>
      </c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33"/>
      <c r="AL169" s="33"/>
      <c r="AM169" s="33"/>
      <c r="AN169" s="33"/>
      <c r="AO169" s="33"/>
    </row>
    <row r="170" spans="1:41" ht="120">
      <c r="A170" s="14"/>
      <c r="B170" s="14"/>
      <c r="C170" s="14" t="s">
        <v>1492</v>
      </c>
      <c r="D170" s="14" t="s">
        <v>61</v>
      </c>
      <c r="E170" s="111" t="str">
        <f>VLOOKUP(C170,KELAS!$A$2:$D$643,4,0)</f>
        <v>2 MINA</v>
      </c>
      <c r="F170" s="14"/>
      <c r="G170" s="14"/>
      <c r="H170" s="43" t="s">
        <v>469</v>
      </c>
      <c r="I170" s="42">
        <v>1540000</v>
      </c>
      <c r="J170" s="87">
        <v>45966</v>
      </c>
      <c r="K170" s="88">
        <v>0.76386574074074076</v>
      </c>
      <c r="L170" s="39">
        <f t="shared" si="8"/>
        <v>0</v>
      </c>
      <c r="M170" s="20">
        <f t="shared" si="9"/>
        <v>-1540000</v>
      </c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  <c r="AL170" s="33"/>
      <c r="AM170" s="33"/>
      <c r="AN170" s="33"/>
      <c r="AO170" s="33"/>
    </row>
    <row r="171" spans="1:41" ht="105">
      <c r="A171" s="14"/>
      <c r="B171" s="14"/>
      <c r="C171" s="14" t="s">
        <v>1473</v>
      </c>
      <c r="D171" s="14" t="s">
        <v>61</v>
      </c>
      <c r="E171" s="111" t="str">
        <f>VLOOKUP(C171,KELAS!$A$2:$D$643,4,0)</f>
        <v>2 MINA</v>
      </c>
      <c r="F171" s="14"/>
      <c r="G171" s="14"/>
      <c r="H171" s="43" t="s">
        <v>471</v>
      </c>
      <c r="I171" s="42">
        <v>1550000</v>
      </c>
      <c r="J171" s="87">
        <v>45966</v>
      </c>
      <c r="K171" s="88">
        <v>0.78200231481481486</v>
      </c>
      <c r="L171" s="39">
        <f t="shared" si="8"/>
        <v>0</v>
      </c>
      <c r="M171" s="20">
        <f t="shared" si="9"/>
        <v>-1550000</v>
      </c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3"/>
      <c r="AL171" s="33"/>
      <c r="AM171" s="33"/>
      <c r="AN171" s="33"/>
      <c r="AO171" s="33"/>
    </row>
    <row r="172" spans="1:41" ht="105">
      <c r="A172" s="14"/>
      <c r="B172" s="14"/>
      <c r="C172" s="14" t="s">
        <v>2136</v>
      </c>
      <c r="D172" s="14" t="s">
        <v>61</v>
      </c>
      <c r="E172" s="111" t="str">
        <f>VLOOKUP(C172,KELAS!$A$2:$D$643,4,0)</f>
        <v>5 MINA</v>
      </c>
      <c r="F172" s="14"/>
      <c r="G172" s="14"/>
      <c r="H172" s="43" t="s">
        <v>163</v>
      </c>
      <c r="I172" s="42">
        <v>1400000</v>
      </c>
      <c r="J172" s="87">
        <v>45966</v>
      </c>
      <c r="K172" s="88">
        <v>0.80141203703703701</v>
      </c>
      <c r="L172" s="39">
        <f t="shared" si="8"/>
        <v>0</v>
      </c>
      <c r="M172" s="20">
        <f t="shared" si="9"/>
        <v>-1400000</v>
      </c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K172" s="33"/>
      <c r="AL172" s="33"/>
      <c r="AM172" s="33"/>
      <c r="AN172" s="33"/>
      <c r="AO172" s="33"/>
    </row>
    <row r="173" spans="1:41" ht="90">
      <c r="A173" s="14"/>
      <c r="B173" s="14"/>
      <c r="C173" s="14" t="s">
        <v>2243</v>
      </c>
      <c r="D173" s="14" t="s">
        <v>61</v>
      </c>
      <c r="E173" s="111" t="str">
        <f>VLOOKUP(C173,KELAS!$A$2:$D$643,4,0)</f>
        <v>6 MADINAH</v>
      </c>
      <c r="F173" s="14"/>
      <c r="G173" s="14"/>
      <c r="H173" s="43" t="s">
        <v>474</v>
      </c>
      <c r="I173" s="42">
        <v>1400000</v>
      </c>
      <c r="J173" s="87">
        <v>45966</v>
      </c>
      <c r="K173" s="88">
        <v>0.86447916666666669</v>
      </c>
      <c r="L173" s="39">
        <f t="shared" si="8"/>
        <v>0</v>
      </c>
      <c r="M173" s="20">
        <f t="shared" si="9"/>
        <v>-1400000</v>
      </c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  <c r="AK173" s="33"/>
      <c r="AL173" s="33"/>
      <c r="AM173" s="33"/>
      <c r="AN173" s="33"/>
      <c r="AO173" s="33"/>
    </row>
    <row r="174" spans="1:41" ht="90">
      <c r="A174" s="14"/>
      <c r="B174" s="14"/>
      <c r="C174" s="14" t="s">
        <v>1640</v>
      </c>
      <c r="D174" s="14" t="s">
        <v>61</v>
      </c>
      <c r="E174" s="111" t="str">
        <f>VLOOKUP(C174,KELAS!$A$2:$D$643,4,0)</f>
        <v>3 MEKKAH</v>
      </c>
      <c r="F174" s="14"/>
      <c r="G174" s="14"/>
      <c r="H174" s="43" t="s">
        <v>476</v>
      </c>
      <c r="I174" s="42">
        <v>1450000</v>
      </c>
      <c r="J174" s="87">
        <v>45966</v>
      </c>
      <c r="K174" s="88">
        <v>0.92886574074074069</v>
      </c>
      <c r="L174" s="39">
        <f t="shared" si="8"/>
        <v>0</v>
      </c>
      <c r="M174" s="20">
        <f t="shared" si="9"/>
        <v>-1450000</v>
      </c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  <c r="AK174" s="33"/>
      <c r="AL174" s="33"/>
      <c r="AM174" s="33"/>
      <c r="AN174" s="33"/>
      <c r="AO174" s="33"/>
    </row>
    <row r="175" spans="1:41" ht="105">
      <c r="A175" s="14"/>
      <c r="B175" s="14"/>
      <c r="C175" s="14" t="s">
        <v>2338</v>
      </c>
      <c r="D175" s="14" t="s">
        <v>61</v>
      </c>
      <c r="E175" s="111" t="str">
        <f>VLOOKUP(C175,KELAS!$A$2:$D$643,4,0)</f>
        <v>6 MINA</v>
      </c>
      <c r="F175" s="14"/>
      <c r="G175" s="14"/>
      <c r="H175" s="43" t="s">
        <v>478</v>
      </c>
      <c r="I175" s="42">
        <v>1400000</v>
      </c>
      <c r="J175" s="87">
        <v>45967</v>
      </c>
      <c r="K175" s="88">
        <v>0.24674768518518519</v>
      </c>
      <c r="L175" s="39">
        <f t="shared" si="8"/>
        <v>0</v>
      </c>
      <c r="M175" s="20">
        <f t="shared" si="9"/>
        <v>-1400000</v>
      </c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33"/>
      <c r="AL175" s="33"/>
      <c r="AM175" s="33"/>
      <c r="AN175" s="33"/>
      <c r="AO175" s="33"/>
    </row>
    <row r="176" spans="1:41" ht="105">
      <c r="A176" s="14"/>
      <c r="B176" s="14"/>
      <c r="C176" s="14" t="s">
        <v>2003</v>
      </c>
      <c r="D176" s="14" t="s">
        <v>61</v>
      </c>
      <c r="E176" s="111" t="str">
        <f>VLOOKUP(C176,KELAS!$A$2:$D$643,4,0)</f>
        <v>5 MEKKAH</v>
      </c>
      <c r="F176" s="14"/>
      <c r="G176" s="14"/>
      <c r="H176" s="43" t="s">
        <v>82</v>
      </c>
      <c r="I176" s="42">
        <v>1400000</v>
      </c>
      <c r="J176" s="87">
        <v>45967</v>
      </c>
      <c r="K176" s="88">
        <v>0.27637731481481481</v>
      </c>
      <c r="L176" s="39">
        <f t="shared" si="8"/>
        <v>0</v>
      </c>
      <c r="M176" s="20">
        <f t="shared" si="9"/>
        <v>-1400000</v>
      </c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  <c r="AM176" s="33"/>
      <c r="AN176" s="33"/>
      <c r="AO176" s="33"/>
    </row>
    <row r="177" spans="1:41" ht="90">
      <c r="A177" s="14"/>
      <c r="B177" s="14"/>
      <c r="C177" s="14" t="s">
        <v>2339</v>
      </c>
      <c r="D177" s="14" t="s">
        <v>61</v>
      </c>
      <c r="E177" s="111" t="e">
        <f>VLOOKUP(C177,KELAS!$A$2:$D$643,4,0)</f>
        <v>#N/A</v>
      </c>
      <c r="F177" s="14"/>
      <c r="G177" s="14"/>
      <c r="H177" s="43" t="s">
        <v>83</v>
      </c>
      <c r="I177" s="42">
        <v>1540000</v>
      </c>
      <c r="J177" s="87">
        <v>45967</v>
      </c>
      <c r="K177" s="88">
        <v>0.27687499999999998</v>
      </c>
      <c r="L177" s="39">
        <f t="shared" si="8"/>
        <v>0</v>
      </c>
      <c r="M177" s="20">
        <f t="shared" si="9"/>
        <v>-1540000</v>
      </c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  <c r="AM177" s="33"/>
      <c r="AN177" s="33"/>
      <c r="AO177" s="33"/>
    </row>
    <row r="178" spans="1:41" ht="105">
      <c r="A178" s="14"/>
      <c r="B178" s="14"/>
      <c r="C178" s="14" t="s">
        <v>1490</v>
      </c>
      <c r="D178" s="14" t="s">
        <v>61</v>
      </c>
      <c r="E178" s="111" t="str">
        <f>VLOOKUP(C178,KELAS!$A$2:$D$643,4,0)</f>
        <v>2 MINA</v>
      </c>
      <c r="F178" s="14"/>
      <c r="G178" s="14"/>
      <c r="H178" s="43" t="s">
        <v>482</v>
      </c>
      <c r="I178" s="42">
        <v>1540000</v>
      </c>
      <c r="J178" s="87">
        <v>45967</v>
      </c>
      <c r="K178" s="88">
        <v>0.52306712962962965</v>
      </c>
      <c r="L178" s="39">
        <f t="shared" si="8"/>
        <v>0</v>
      </c>
      <c r="M178" s="20">
        <f t="shared" si="9"/>
        <v>-1540000</v>
      </c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33"/>
      <c r="AL178" s="33"/>
      <c r="AM178" s="33"/>
      <c r="AN178" s="33"/>
      <c r="AO178" s="33"/>
    </row>
    <row r="179" spans="1:41" ht="105">
      <c r="A179" s="14"/>
      <c r="B179" s="14"/>
      <c r="C179" s="14" t="s">
        <v>1981</v>
      </c>
      <c r="D179" s="14" t="s">
        <v>61</v>
      </c>
      <c r="E179" s="111" t="str">
        <f>VLOOKUP(C179,KELAS!$A$2:$D$643,4,0)</f>
        <v>4 MINA</v>
      </c>
      <c r="F179" s="14"/>
      <c r="G179" s="14"/>
      <c r="H179" s="43" t="s">
        <v>484</v>
      </c>
      <c r="I179" s="42">
        <v>1450000</v>
      </c>
      <c r="J179" s="87">
        <v>45967</v>
      </c>
      <c r="K179" s="88">
        <v>0.53017361111111116</v>
      </c>
      <c r="L179" s="39">
        <f t="shared" si="8"/>
        <v>0</v>
      </c>
      <c r="M179" s="20">
        <f t="shared" si="9"/>
        <v>-1450000</v>
      </c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/>
      <c r="AN179" s="33"/>
      <c r="AO179" s="33"/>
    </row>
    <row r="180" spans="1:41" ht="105">
      <c r="A180" s="14"/>
      <c r="B180" s="14"/>
      <c r="C180" s="14" t="s">
        <v>2120</v>
      </c>
      <c r="D180" s="14" t="s">
        <v>61</v>
      </c>
      <c r="E180" s="111" t="str">
        <f>VLOOKUP(C180,KELAS!$A$2:$D$643,4,0)</f>
        <v>5 MINA</v>
      </c>
      <c r="F180" s="14"/>
      <c r="G180" s="14"/>
      <c r="H180" s="43" t="s">
        <v>486</v>
      </c>
      <c r="I180" s="42">
        <v>1400000</v>
      </c>
      <c r="J180" s="87">
        <v>45967</v>
      </c>
      <c r="K180" s="88">
        <v>0.55768518518518517</v>
      </c>
      <c r="L180" s="39">
        <f t="shared" si="8"/>
        <v>0</v>
      </c>
      <c r="M180" s="20">
        <f t="shared" si="9"/>
        <v>-1400000</v>
      </c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K180" s="33"/>
      <c r="AL180" s="33"/>
      <c r="AM180" s="33"/>
      <c r="AN180" s="33"/>
      <c r="AO180" s="33"/>
    </row>
    <row r="181" spans="1:41" ht="105">
      <c r="A181" s="14"/>
      <c r="B181" s="14"/>
      <c r="C181" s="14" t="s">
        <v>1374</v>
      </c>
      <c r="D181" s="14" t="s">
        <v>61</v>
      </c>
      <c r="E181" s="111" t="str">
        <f>VLOOKUP(C181,KELAS!$A$2:$D$643,4,0)</f>
        <v>2 MEKKAH</v>
      </c>
      <c r="F181" s="14"/>
      <c r="G181" s="14"/>
      <c r="H181" s="43" t="s">
        <v>488</v>
      </c>
      <c r="I181" s="42">
        <v>1540000</v>
      </c>
      <c r="J181" s="87">
        <v>45967</v>
      </c>
      <c r="K181" s="88">
        <v>0.55892361111111111</v>
      </c>
      <c r="L181" s="39">
        <f t="shared" si="8"/>
        <v>0</v>
      </c>
      <c r="M181" s="20">
        <f t="shared" si="9"/>
        <v>-1540000</v>
      </c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K181" s="33"/>
      <c r="AL181" s="33"/>
      <c r="AM181" s="33"/>
      <c r="AN181" s="33"/>
      <c r="AO181" s="33"/>
    </row>
    <row r="182" spans="1:41" ht="90">
      <c r="A182" s="14"/>
      <c r="B182" s="14"/>
      <c r="C182" s="14" t="s">
        <v>1904</v>
      </c>
      <c r="D182" s="14" t="s">
        <v>61</v>
      </c>
      <c r="E182" s="111" t="str">
        <f>VLOOKUP(C182,KELAS!$A$2:$D$643,4,0)</f>
        <v>4 MADINAH</v>
      </c>
      <c r="F182" s="14"/>
      <c r="G182" s="14"/>
      <c r="H182" s="43" t="s">
        <v>490</v>
      </c>
      <c r="I182" s="42">
        <v>1450000</v>
      </c>
      <c r="J182" s="87">
        <v>45967</v>
      </c>
      <c r="K182" s="88">
        <v>0.57059027777777782</v>
      </c>
      <c r="L182" s="39">
        <f t="shared" si="8"/>
        <v>0</v>
      </c>
      <c r="M182" s="20">
        <f t="shared" si="9"/>
        <v>-1450000</v>
      </c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K182" s="33"/>
      <c r="AL182" s="33"/>
      <c r="AM182" s="33"/>
      <c r="AN182" s="33"/>
      <c r="AO182" s="33"/>
    </row>
    <row r="183" spans="1:41" ht="90">
      <c r="A183" s="14"/>
      <c r="B183" s="14"/>
      <c r="C183" s="14" t="s">
        <v>2340</v>
      </c>
      <c r="D183" s="14" t="s">
        <v>61</v>
      </c>
      <c r="E183" s="111" t="e">
        <f>VLOOKUP(C183,KELAS!$A$2:$D$643,4,0)</f>
        <v>#N/A</v>
      </c>
      <c r="F183" s="14"/>
      <c r="G183" s="14"/>
      <c r="H183" s="43" t="s">
        <v>492</v>
      </c>
      <c r="I183" s="42">
        <v>1400000</v>
      </c>
      <c r="J183" s="87">
        <v>45967</v>
      </c>
      <c r="K183" s="88">
        <v>0.6758912037037037</v>
      </c>
      <c r="L183" s="39">
        <f t="shared" si="8"/>
        <v>0</v>
      </c>
      <c r="M183" s="20">
        <f t="shared" si="9"/>
        <v>-1400000</v>
      </c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  <c r="AK183" s="33"/>
      <c r="AL183" s="33"/>
      <c r="AM183" s="33"/>
      <c r="AN183" s="33"/>
      <c r="AO183" s="33"/>
    </row>
    <row r="184" spans="1:41" ht="105">
      <c r="A184" s="14"/>
      <c r="B184" s="14"/>
      <c r="C184" s="14" t="s">
        <v>1313</v>
      </c>
      <c r="D184" s="14" t="s">
        <v>61</v>
      </c>
      <c r="E184" s="111" t="str">
        <f>VLOOKUP(C184,KELAS!$A$2:$D$643,4,0)</f>
        <v>1 MARWAH/TAHFIDZ</v>
      </c>
      <c r="F184" s="14"/>
      <c r="G184" s="14"/>
      <c r="H184" s="43" t="s">
        <v>494</v>
      </c>
      <c r="I184" s="42">
        <v>1617000</v>
      </c>
      <c r="J184" s="87">
        <v>45967</v>
      </c>
      <c r="K184" s="88">
        <v>0.69355324074074076</v>
      </c>
      <c r="L184" s="39">
        <f t="shared" si="8"/>
        <v>0</v>
      </c>
      <c r="M184" s="20">
        <f t="shared" si="9"/>
        <v>-1617000</v>
      </c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  <c r="AK184" s="33"/>
      <c r="AL184" s="33"/>
      <c r="AM184" s="33"/>
      <c r="AN184" s="33"/>
      <c r="AO184" s="33"/>
    </row>
    <row r="185" spans="1:41" ht="120">
      <c r="A185" s="14"/>
      <c r="B185" s="14"/>
      <c r="C185" s="14" t="s">
        <v>1348</v>
      </c>
      <c r="D185" s="14" t="s">
        <v>61</v>
      </c>
      <c r="E185" s="111" t="str">
        <f>VLOOKUP(C185,KELAS!$A$2:$D$643,4,0)</f>
        <v>2 MEKKAH</v>
      </c>
      <c r="F185" s="14"/>
      <c r="G185" s="14"/>
      <c r="H185" s="43" t="s">
        <v>496</v>
      </c>
      <c r="I185" s="42">
        <v>1540000</v>
      </c>
      <c r="J185" s="87">
        <v>45967</v>
      </c>
      <c r="K185" s="88">
        <v>0.72424768518518523</v>
      </c>
      <c r="L185" s="39">
        <f t="shared" si="8"/>
        <v>0</v>
      </c>
      <c r="M185" s="20">
        <f t="shared" si="9"/>
        <v>-1540000</v>
      </c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  <c r="AK185" s="33"/>
      <c r="AL185" s="33"/>
      <c r="AM185" s="33"/>
      <c r="AN185" s="33"/>
      <c r="AO185" s="33"/>
    </row>
    <row r="186" spans="1:41" ht="105">
      <c r="A186" s="14"/>
      <c r="B186" s="14"/>
      <c r="C186" s="14" t="s">
        <v>2341</v>
      </c>
      <c r="D186" s="14" t="s">
        <v>61</v>
      </c>
      <c r="E186" s="111" t="str">
        <f>VLOOKUP(C186,KELAS!$A$2:$D$643,4,0)</f>
        <v>5 MEKKAH</v>
      </c>
      <c r="F186" s="14"/>
      <c r="G186" s="14"/>
      <c r="H186" s="43" t="s">
        <v>498</v>
      </c>
      <c r="I186" s="42">
        <v>1540000</v>
      </c>
      <c r="J186" s="87">
        <v>45967</v>
      </c>
      <c r="K186" s="88">
        <v>0.78355324074074073</v>
      </c>
      <c r="L186" s="39">
        <f t="shared" si="8"/>
        <v>0</v>
      </c>
      <c r="M186" s="20">
        <f t="shared" si="9"/>
        <v>-1540000</v>
      </c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  <c r="AK186" s="33"/>
      <c r="AL186" s="33"/>
      <c r="AM186" s="33"/>
      <c r="AN186" s="33"/>
      <c r="AO186" s="33"/>
    </row>
    <row r="187" spans="1:41" ht="120">
      <c r="A187" s="14"/>
      <c r="B187" s="14"/>
      <c r="C187" s="14" t="s">
        <v>1196</v>
      </c>
      <c r="D187" s="14" t="s">
        <v>61</v>
      </c>
      <c r="E187" s="111" t="str">
        <f>VLOOKUP(C187,KELAS!$A$2:$D$643,4,0)</f>
        <v>1 MADINAH</v>
      </c>
      <c r="F187" s="14"/>
      <c r="G187" s="14"/>
      <c r="H187" s="43" t="s">
        <v>500</v>
      </c>
      <c r="I187" s="42">
        <v>1617000</v>
      </c>
      <c r="J187" s="87">
        <v>45967</v>
      </c>
      <c r="K187" s="88">
        <v>0.89376157407407408</v>
      </c>
      <c r="L187" s="39">
        <f t="shared" si="8"/>
        <v>0</v>
      </c>
      <c r="M187" s="20">
        <f t="shared" si="9"/>
        <v>-1617000</v>
      </c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  <c r="AK187" s="33"/>
      <c r="AL187" s="33"/>
      <c r="AM187" s="33"/>
      <c r="AN187" s="33"/>
      <c r="AO187" s="33"/>
    </row>
    <row r="188" spans="1:41" ht="90">
      <c r="A188" s="14"/>
      <c r="B188" s="14"/>
      <c r="C188" s="14" t="s">
        <v>1362</v>
      </c>
      <c r="D188" s="14" t="s">
        <v>61</v>
      </c>
      <c r="E188" s="111" t="str">
        <f>VLOOKUP(C188,KELAS!$A$2:$D$643,4,0)</f>
        <v>2 MEKKAH</v>
      </c>
      <c r="F188" s="14"/>
      <c r="G188" s="14"/>
      <c r="H188" s="43" t="s">
        <v>502</v>
      </c>
      <c r="I188" s="42">
        <v>1540000</v>
      </c>
      <c r="J188" s="87">
        <v>45967</v>
      </c>
      <c r="K188" s="88">
        <v>0.9167939814814815</v>
      </c>
      <c r="L188" s="39">
        <f t="shared" si="8"/>
        <v>0</v>
      </c>
      <c r="M188" s="20">
        <f t="shared" si="9"/>
        <v>-1540000</v>
      </c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  <c r="AK188" s="33"/>
      <c r="AL188" s="33"/>
      <c r="AM188" s="33"/>
      <c r="AN188" s="33"/>
      <c r="AO188" s="33"/>
    </row>
    <row r="189" spans="1:41" ht="105">
      <c r="A189" s="14"/>
      <c r="B189" s="14"/>
      <c r="C189" s="14" t="s">
        <v>2005</v>
      </c>
      <c r="D189" s="14" t="s">
        <v>61</v>
      </c>
      <c r="E189" s="111" t="str">
        <f>VLOOKUP(C189,KELAS!$A$2:$D$643,4,0)</f>
        <v>5 MEKKAH</v>
      </c>
      <c r="F189" s="14"/>
      <c r="G189" s="14"/>
      <c r="H189" s="43" t="s">
        <v>504</v>
      </c>
      <c r="I189" s="42">
        <v>1400000</v>
      </c>
      <c r="J189" s="87">
        <v>45967</v>
      </c>
      <c r="K189" s="88">
        <v>0.92575231481481479</v>
      </c>
      <c r="L189" s="39">
        <f t="shared" si="8"/>
        <v>0</v>
      </c>
      <c r="M189" s="20">
        <f t="shared" si="9"/>
        <v>-1400000</v>
      </c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  <c r="AI189" s="33"/>
      <c r="AJ189" s="33"/>
      <c r="AK189" s="33"/>
      <c r="AL189" s="33"/>
      <c r="AM189" s="33"/>
      <c r="AN189" s="33"/>
      <c r="AO189" s="33"/>
    </row>
    <row r="190" spans="1:41" ht="105">
      <c r="A190" s="14"/>
      <c r="B190" s="14"/>
      <c r="C190" s="14" t="s">
        <v>2317</v>
      </c>
      <c r="D190" s="14" t="s">
        <v>61</v>
      </c>
      <c r="E190" s="111" t="str">
        <f>VLOOKUP(C190,KELAS!$A$2:$D$643,4,0)</f>
        <v>6 MINA</v>
      </c>
      <c r="F190" s="14"/>
      <c r="G190" s="14"/>
      <c r="H190" s="43" t="s">
        <v>506</v>
      </c>
      <c r="I190" s="42">
        <v>1400000</v>
      </c>
      <c r="J190" s="87">
        <v>45968</v>
      </c>
      <c r="K190" s="88">
        <v>5.486111111111111E-2</v>
      </c>
      <c r="L190" s="39">
        <f t="shared" si="8"/>
        <v>0</v>
      </c>
      <c r="M190" s="20">
        <f t="shared" si="9"/>
        <v>-1400000</v>
      </c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  <c r="AI190" s="33"/>
      <c r="AJ190" s="33"/>
      <c r="AK190" s="33"/>
      <c r="AL190" s="33"/>
      <c r="AM190" s="33"/>
      <c r="AN190" s="33"/>
      <c r="AO190" s="33"/>
    </row>
    <row r="191" spans="1:41" ht="75">
      <c r="A191" s="14"/>
      <c r="B191" s="14"/>
      <c r="C191" s="14" t="s">
        <v>2043</v>
      </c>
      <c r="D191" s="14" t="s">
        <v>61</v>
      </c>
      <c r="E191" s="111" t="str">
        <f>VLOOKUP(C191,KELAS!$A$2:$D$643,4,0)</f>
        <v>5 MEKKAH</v>
      </c>
      <c r="F191" s="14"/>
      <c r="G191" s="14"/>
      <c r="H191" s="43" t="s">
        <v>508</v>
      </c>
      <c r="I191" s="42">
        <v>1400000</v>
      </c>
      <c r="J191" s="87">
        <v>45968</v>
      </c>
      <c r="K191" s="88">
        <v>0.22768518518518518</v>
      </c>
      <c r="L191" s="39">
        <f t="shared" si="8"/>
        <v>0</v>
      </c>
      <c r="M191" s="20">
        <f t="shared" si="9"/>
        <v>-1400000</v>
      </c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  <c r="AK191" s="33"/>
      <c r="AL191" s="33"/>
      <c r="AM191" s="33"/>
      <c r="AN191" s="33"/>
      <c r="AO191" s="33"/>
    </row>
    <row r="192" spans="1:41" ht="105">
      <c r="A192" s="14"/>
      <c r="B192" s="14"/>
      <c r="C192" s="14" t="s">
        <v>2027</v>
      </c>
      <c r="D192" s="14" t="s">
        <v>61</v>
      </c>
      <c r="E192" s="111" t="str">
        <f>VLOOKUP(C192,KELAS!$A$2:$D$643,4,0)</f>
        <v>5 MEKKAH</v>
      </c>
      <c r="F192" s="14"/>
      <c r="G192" s="14"/>
      <c r="H192" s="43" t="s">
        <v>510</v>
      </c>
      <c r="I192" s="42">
        <v>1400000</v>
      </c>
      <c r="J192" s="87">
        <v>45968</v>
      </c>
      <c r="K192" s="88">
        <v>0.26115740740740739</v>
      </c>
      <c r="L192" s="39">
        <f t="shared" si="8"/>
        <v>0</v>
      </c>
      <c r="M192" s="20">
        <f t="shared" si="9"/>
        <v>-1400000</v>
      </c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  <c r="AJ192" s="33"/>
      <c r="AK192" s="33"/>
      <c r="AL192" s="33"/>
      <c r="AM192" s="33"/>
      <c r="AN192" s="33"/>
      <c r="AO192" s="33"/>
    </row>
    <row r="193" spans="1:41" ht="105">
      <c r="A193" s="14"/>
      <c r="B193" s="14"/>
      <c r="C193" s="14" t="s">
        <v>1565</v>
      </c>
      <c r="D193" s="14" t="s">
        <v>61</v>
      </c>
      <c r="E193" s="111" t="str">
        <f>VLOOKUP(C193,KELAS!$A$2:$D$643,4,0)</f>
        <v>2 MARWAH</v>
      </c>
      <c r="F193" s="14"/>
      <c r="G193" s="14"/>
      <c r="H193" s="43" t="s">
        <v>512</v>
      </c>
      <c r="I193" s="42">
        <v>1540000</v>
      </c>
      <c r="J193" s="87">
        <v>45968</v>
      </c>
      <c r="K193" s="88">
        <v>0.26250000000000001</v>
      </c>
      <c r="L193" s="39">
        <f t="shared" si="8"/>
        <v>0</v>
      </c>
      <c r="M193" s="20">
        <f t="shared" si="9"/>
        <v>-1540000</v>
      </c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  <c r="AK193" s="33"/>
      <c r="AL193" s="33"/>
      <c r="AM193" s="33"/>
      <c r="AN193" s="33"/>
      <c r="AO193" s="33"/>
    </row>
    <row r="194" spans="1:41" ht="105">
      <c r="A194" s="14"/>
      <c r="B194" s="14"/>
      <c r="C194" s="14" t="s">
        <v>1281</v>
      </c>
      <c r="D194" s="14" t="s">
        <v>61</v>
      </c>
      <c r="E194" s="111" t="str">
        <f>VLOOKUP(C194,KELAS!$A$2:$D$643,4,0)</f>
        <v>1 MINA</v>
      </c>
      <c r="F194" s="14"/>
      <c r="G194" s="14"/>
      <c r="H194" s="43" t="s">
        <v>514</v>
      </c>
      <c r="I194" s="42">
        <v>1617000</v>
      </c>
      <c r="J194" s="87">
        <v>45968</v>
      </c>
      <c r="K194" s="88">
        <v>0.26538194444444446</v>
      </c>
      <c r="L194" s="39">
        <f t="shared" si="8"/>
        <v>0</v>
      </c>
      <c r="M194" s="20">
        <f t="shared" si="9"/>
        <v>-1617000</v>
      </c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  <c r="AK194" s="33"/>
      <c r="AL194" s="33"/>
      <c r="AM194" s="33"/>
      <c r="AN194" s="33"/>
      <c r="AO194" s="33"/>
    </row>
    <row r="195" spans="1:41" ht="105">
      <c r="A195" s="14"/>
      <c r="B195" s="14"/>
      <c r="C195" s="14" t="s">
        <v>1984</v>
      </c>
      <c r="D195" s="14" t="s">
        <v>61</v>
      </c>
      <c r="E195" s="111" t="str">
        <f>VLOOKUP(C195,KELAS!$A$2:$D$643,4,0)</f>
        <v>4 MINA</v>
      </c>
      <c r="F195" s="14"/>
      <c r="G195" s="14"/>
      <c r="H195" s="43" t="s">
        <v>516</v>
      </c>
      <c r="I195" s="42">
        <v>1450000</v>
      </c>
      <c r="J195" s="87">
        <v>45968</v>
      </c>
      <c r="K195" s="88">
        <v>0.26802083333333332</v>
      </c>
      <c r="L195" s="39">
        <f t="shared" si="8"/>
        <v>0</v>
      </c>
      <c r="M195" s="20">
        <f t="shared" si="9"/>
        <v>-1450000</v>
      </c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K195" s="33"/>
      <c r="AL195" s="33"/>
      <c r="AM195" s="33"/>
      <c r="AN195" s="33"/>
      <c r="AO195" s="33"/>
    </row>
    <row r="196" spans="1:41" ht="120">
      <c r="A196" s="14"/>
      <c r="B196" s="14"/>
      <c r="C196" s="14" t="s">
        <v>1786</v>
      </c>
      <c r="D196" s="14" t="s">
        <v>61</v>
      </c>
      <c r="E196" s="111" t="str">
        <f>VLOOKUP(C196,KELAS!$A$2:$D$643,4,0)</f>
        <v>3 MARWAH</v>
      </c>
      <c r="F196" s="14"/>
      <c r="G196" s="14"/>
      <c r="H196" s="43" t="s">
        <v>518</v>
      </c>
      <c r="I196" s="42">
        <v>1400000</v>
      </c>
      <c r="J196" s="87">
        <v>45968</v>
      </c>
      <c r="K196" s="88">
        <v>0.34719907407407408</v>
      </c>
      <c r="L196" s="39">
        <f t="shared" si="8"/>
        <v>0</v>
      </c>
      <c r="M196" s="20">
        <f t="shared" si="9"/>
        <v>-1400000</v>
      </c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  <c r="AK196" s="33"/>
      <c r="AL196" s="33"/>
      <c r="AM196" s="33"/>
      <c r="AN196" s="33"/>
      <c r="AO196" s="33"/>
    </row>
    <row r="197" spans="1:41" ht="105">
      <c r="A197" s="14"/>
      <c r="B197" s="14"/>
      <c r="C197" s="14" t="s">
        <v>2342</v>
      </c>
      <c r="D197" s="14" t="s">
        <v>61</v>
      </c>
      <c r="E197" s="111" t="e">
        <f>VLOOKUP(C197,KELAS!$A$2:$D$643,4,0)</f>
        <v>#N/A</v>
      </c>
      <c r="F197" s="14"/>
      <c r="G197" s="14"/>
      <c r="H197" s="43" t="s">
        <v>520</v>
      </c>
      <c r="I197" s="42">
        <v>1400000</v>
      </c>
      <c r="J197" s="87">
        <v>45968</v>
      </c>
      <c r="K197" s="88">
        <v>0.36890046296296297</v>
      </c>
      <c r="L197" s="39">
        <f t="shared" si="8"/>
        <v>0</v>
      </c>
      <c r="M197" s="20">
        <f t="shared" si="9"/>
        <v>-1400000</v>
      </c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  <c r="AJ197" s="33"/>
      <c r="AK197" s="33"/>
      <c r="AL197" s="33"/>
      <c r="AM197" s="33"/>
      <c r="AN197" s="33"/>
      <c r="AO197" s="33"/>
    </row>
    <row r="198" spans="1:41" ht="90">
      <c r="A198" s="14"/>
      <c r="B198" s="14"/>
      <c r="C198" s="14" t="s">
        <v>2039</v>
      </c>
      <c r="D198" s="14" t="s">
        <v>61</v>
      </c>
      <c r="E198" s="111" t="str">
        <f>VLOOKUP(C198,KELAS!$A$2:$D$643,4,0)</f>
        <v>5 MEKKAH</v>
      </c>
      <c r="F198" s="14"/>
      <c r="G198" s="14"/>
      <c r="H198" s="43" t="s">
        <v>522</v>
      </c>
      <c r="I198" s="42">
        <v>2800000</v>
      </c>
      <c r="J198" s="87">
        <v>45968</v>
      </c>
      <c r="K198" s="88">
        <v>0.42023148148148148</v>
      </c>
      <c r="L198" s="39">
        <f t="shared" si="8"/>
        <v>0</v>
      </c>
      <c r="M198" s="20">
        <f t="shared" si="9"/>
        <v>-2800000</v>
      </c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  <c r="AK198" s="33"/>
      <c r="AL198" s="33"/>
      <c r="AM198" s="33"/>
      <c r="AN198" s="33"/>
      <c r="AO198" s="33"/>
    </row>
    <row r="199" spans="1:41" ht="120">
      <c r="A199" s="14"/>
      <c r="B199" s="14"/>
      <c r="C199" s="14" t="s">
        <v>2177</v>
      </c>
      <c r="D199" s="14" t="s">
        <v>61</v>
      </c>
      <c r="E199" s="111" t="str">
        <f>VLOOKUP(C199,KELAS!$A$2:$D$643,4,0)</f>
        <v>6 MEKKAH</v>
      </c>
      <c r="F199" s="14"/>
      <c r="G199" s="14"/>
      <c r="H199" s="43" t="s">
        <v>167</v>
      </c>
      <c r="I199" s="42">
        <v>1400000</v>
      </c>
      <c r="J199" s="87">
        <v>45968</v>
      </c>
      <c r="K199" s="88">
        <v>0.42194444444444446</v>
      </c>
      <c r="L199" s="39">
        <f t="shared" si="8"/>
        <v>0</v>
      </c>
      <c r="M199" s="20">
        <f t="shared" si="9"/>
        <v>-1400000</v>
      </c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  <c r="AJ199" s="33"/>
      <c r="AK199" s="33"/>
      <c r="AL199" s="33"/>
      <c r="AM199" s="33"/>
      <c r="AN199" s="33"/>
      <c r="AO199" s="33"/>
    </row>
    <row r="200" spans="1:41" ht="105">
      <c r="A200" s="14"/>
      <c r="B200" s="14"/>
      <c r="C200" s="14" t="s">
        <v>2058</v>
      </c>
      <c r="D200" s="14" t="s">
        <v>61</v>
      </c>
      <c r="E200" s="111" t="str">
        <f>VLOOKUP(C200,KELAS!$A$2:$D$643,4,0)</f>
        <v>5 MADINAH</v>
      </c>
      <c r="F200" s="14"/>
      <c r="G200" s="14"/>
      <c r="H200" s="43" t="s">
        <v>177</v>
      </c>
      <c r="I200" s="42">
        <v>1400000</v>
      </c>
      <c r="J200" s="87">
        <v>45968</v>
      </c>
      <c r="K200" s="88">
        <v>0.45869212962962963</v>
      </c>
      <c r="L200" s="39">
        <f t="shared" si="8"/>
        <v>0</v>
      </c>
      <c r="M200" s="20">
        <f t="shared" si="9"/>
        <v>-1400000</v>
      </c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  <c r="AK200" s="33"/>
      <c r="AL200" s="33"/>
      <c r="AM200" s="33"/>
      <c r="AN200" s="33"/>
      <c r="AO200" s="33"/>
    </row>
    <row r="201" spans="1:41" ht="105">
      <c r="A201" s="14"/>
      <c r="B201" s="14"/>
      <c r="C201" s="14" t="s">
        <v>1686</v>
      </c>
      <c r="D201" s="14" t="s">
        <v>61</v>
      </c>
      <c r="E201" s="111" t="str">
        <f>VLOOKUP(C201,KELAS!$A$2:$D$643,4,0)</f>
        <v>3 MADINAH</v>
      </c>
      <c r="F201" s="14"/>
      <c r="G201" s="14"/>
      <c r="H201" s="43" t="s">
        <v>84</v>
      </c>
      <c r="I201" s="42">
        <v>1400000</v>
      </c>
      <c r="J201" s="87">
        <v>45968</v>
      </c>
      <c r="K201" s="88">
        <v>0.46309027777777778</v>
      </c>
      <c r="L201" s="39">
        <f t="shared" si="8"/>
        <v>0</v>
      </c>
      <c r="M201" s="20">
        <f t="shared" si="9"/>
        <v>-1400000</v>
      </c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  <c r="AI201" s="33"/>
      <c r="AJ201" s="33"/>
      <c r="AK201" s="33"/>
      <c r="AL201" s="33"/>
      <c r="AM201" s="33"/>
      <c r="AN201" s="33"/>
      <c r="AO201" s="33"/>
    </row>
    <row r="202" spans="1:41" ht="120">
      <c r="A202" s="14"/>
      <c r="B202" s="14"/>
      <c r="C202" s="14" t="s">
        <v>1580</v>
      </c>
      <c r="D202" s="14" t="s">
        <v>61</v>
      </c>
      <c r="E202" s="111" t="str">
        <f>VLOOKUP(C202,KELAS!$A$2:$D$643,4,0)</f>
        <v>2 MARWAH</v>
      </c>
      <c r="F202" s="14"/>
      <c r="G202" s="14"/>
      <c r="H202" s="43" t="s">
        <v>527</v>
      </c>
      <c r="I202" s="42">
        <v>1540000</v>
      </c>
      <c r="J202" s="87">
        <v>45968</v>
      </c>
      <c r="K202" s="88">
        <v>0.48949074074074073</v>
      </c>
      <c r="L202" s="39">
        <f t="shared" si="8"/>
        <v>0</v>
      </c>
      <c r="M202" s="20">
        <f t="shared" si="9"/>
        <v>-1540000</v>
      </c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  <c r="AI202" s="33"/>
      <c r="AJ202" s="33"/>
      <c r="AK202" s="33"/>
      <c r="AL202" s="33"/>
      <c r="AM202" s="33"/>
      <c r="AN202" s="33"/>
      <c r="AO202" s="33"/>
    </row>
    <row r="203" spans="1:41" ht="90">
      <c r="A203" s="14"/>
      <c r="B203" s="14"/>
      <c r="C203" s="14" t="s">
        <v>2106</v>
      </c>
      <c r="D203" s="14" t="s">
        <v>61</v>
      </c>
      <c r="E203" s="111" t="str">
        <f>VLOOKUP(C203,KELAS!$A$2:$D$643,4,0)</f>
        <v>5 MADINAH</v>
      </c>
      <c r="F203" s="14"/>
      <c r="G203" s="14"/>
      <c r="H203" s="43" t="s">
        <v>529</v>
      </c>
      <c r="I203" s="42">
        <v>1400000</v>
      </c>
      <c r="J203" s="87">
        <v>45968</v>
      </c>
      <c r="K203" s="88">
        <v>0.50640046296296293</v>
      </c>
      <c r="L203" s="39">
        <f t="shared" si="8"/>
        <v>0</v>
      </c>
      <c r="M203" s="20">
        <f t="shared" si="9"/>
        <v>-1400000</v>
      </c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  <c r="AI203" s="33"/>
      <c r="AJ203" s="33"/>
      <c r="AK203" s="33"/>
      <c r="AL203" s="33"/>
      <c r="AM203" s="33"/>
      <c r="AN203" s="33"/>
      <c r="AO203" s="33"/>
    </row>
    <row r="204" spans="1:41" ht="90">
      <c r="A204" s="14"/>
      <c r="B204" s="14"/>
      <c r="C204" s="14" t="s">
        <v>1664</v>
      </c>
      <c r="D204" s="14" t="s">
        <v>61</v>
      </c>
      <c r="E204" s="111" t="str">
        <f>VLOOKUP(C204,KELAS!$A$2:$D$643,4,0)</f>
        <v>3 MADINAH</v>
      </c>
      <c r="F204" s="14"/>
      <c r="G204" s="14"/>
      <c r="H204" s="43" t="s">
        <v>531</v>
      </c>
      <c r="I204" s="42">
        <v>1450000</v>
      </c>
      <c r="J204" s="87">
        <v>45968</v>
      </c>
      <c r="K204" s="88">
        <v>0.53545138888888888</v>
      </c>
      <c r="L204" s="39">
        <f t="shared" si="8"/>
        <v>0</v>
      </c>
      <c r="M204" s="20">
        <f t="shared" si="9"/>
        <v>-1450000</v>
      </c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  <c r="AK204" s="33"/>
      <c r="AL204" s="33"/>
      <c r="AM204" s="33"/>
      <c r="AN204" s="33"/>
      <c r="AO204" s="33"/>
    </row>
    <row r="205" spans="1:41" ht="90">
      <c r="A205" s="14"/>
      <c r="B205" s="14"/>
      <c r="C205" s="14" t="s">
        <v>2077</v>
      </c>
      <c r="D205" s="14" t="s">
        <v>61</v>
      </c>
      <c r="E205" s="111" t="str">
        <f>VLOOKUP(C205,KELAS!$A$2:$D$643,4,0)</f>
        <v>5 MADINAH</v>
      </c>
      <c r="F205" s="14"/>
      <c r="G205" s="14"/>
      <c r="H205" s="43" t="s">
        <v>165</v>
      </c>
      <c r="I205" s="42">
        <v>1400000</v>
      </c>
      <c r="J205" s="87">
        <v>45968</v>
      </c>
      <c r="K205" s="88">
        <v>0.5606944444444445</v>
      </c>
      <c r="L205" s="39">
        <f t="shared" si="8"/>
        <v>0</v>
      </c>
      <c r="M205" s="20">
        <f t="shared" si="9"/>
        <v>-1400000</v>
      </c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  <c r="AJ205" s="33"/>
      <c r="AK205" s="33"/>
      <c r="AL205" s="33"/>
      <c r="AM205" s="33"/>
      <c r="AN205" s="33"/>
      <c r="AO205" s="33"/>
    </row>
    <row r="206" spans="1:41" ht="90">
      <c r="A206" s="14"/>
      <c r="B206" s="14"/>
      <c r="C206" s="14" t="s">
        <v>2343</v>
      </c>
      <c r="D206" s="14" t="s">
        <v>61</v>
      </c>
      <c r="E206" s="111" t="e">
        <f>VLOOKUP(C206,KELAS!$A$2:$D$643,4,0)</f>
        <v>#N/A</v>
      </c>
      <c r="F206" s="14"/>
      <c r="G206" s="14"/>
      <c r="H206" s="43" t="s">
        <v>166</v>
      </c>
      <c r="I206" s="42">
        <v>1540000</v>
      </c>
      <c r="J206" s="87">
        <v>45968</v>
      </c>
      <c r="K206" s="88">
        <v>0.56116898148148153</v>
      </c>
      <c r="L206" s="39">
        <f t="shared" si="8"/>
        <v>0</v>
      </c>
      <c r="M206" s="20">
        <f t="shared" si="9"/>
        <v>-1540000</v>
      </c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  <c r="AK206" s="33"/>
      <c r="AL206" s="33"/>
      <c r="AM206" s="33"/>
      <c r="AN206" s="33"/>
      <c r="AO206" s="33"/>
    </row>
    <row r="207" spans="1:41" ht="105">
      <c r="A207" s="14"/>
      <c r="B207" s="14"/>
      <c r="C207" s="14" t="s">
        <v>2344</v>
      </c>
      <c r="D207" s="14" t="s">
        <v>61</v>
      </c>
      <c r="E207" s="111" t="e">
        <f>VLOOKUP(C207,KELAS!$A$2:$D$643,4,0)</f>
        <v>#N/A</v>
      </c>
      <c r="F207" s="14"/>
      <c r="G207" s="14"/>
      <c r="H207" s="43" t="s">
        <v>535</v>
      </c>
      <c r="I207" s="42">
        <v>1450000</v>
      </c>
      <c r="J207" s="87">
        <v>45968</v>
      </c>
      <c r="K207" s="88">
        <v>0.57121527777777781</v>
      </c>
      <c r="L207" s="39">
        <f t="shared" si="8"/>
        <v>0</v>
      </c>
      <c r="M207" s="20">
        <f t="shared" si="9"/>
        <v>-1450000</v>
      </c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  <c r="AJ207" s="33"/>
      <c r="AK207" s="33"/>
      <c r="AL207" s="33"/>
      <c r="AM207" s="33"/>
      <c r="AN207" s="33"/>
      <c r="AO207" s="33"/>
    </row>
    <row r="208" spans="1:41" ht="75">
      <c r="A208" s="14"/>
      <c r="B208" s="14"/>
      <c r="C208" s="14" t="s">
        <v>1961</v>
      </c>
      <c r="D208" s="14" t="s">
        <v>61</v>
      </c>
      <c r="E208" s="111" t="str">
        <f>VLOOKUP(C208,KELAS!$A$2:$D$643,4,0)</f>
        <v>4 MINA</v>
      </c>
      <c r="F208" s="14"/>
      <c r="G208" s="14"/>
      <c r="H208" s="43" t="s">
        <v>537</v>
      </c>
      <c r="I208" s="42">
        <v>1400000</v>
      </c>
      <c r="J208" s="87">
        <v>45968</v>
      </c>
      <c r="K208" s="88">
        <v>0.57328703703703698</v>
      </c>
      <c r="L208" s="39">
        <f t="shared" si="8"/>
        <v>0</v>
      </c>
      <c r="M208" s="20">
        <f t="shared" si="9"/>
        <v>-1400000</v>
      </c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  <c r="AI208" s="33"/>
      <c r="AJ208" s="33"/>
      <c r="AK208" s="33"/>
      <c r="AL208" s="33"/>
      <c r="AM208" s="33"/>
      <c r="AN208" s="33"/>
      <c r="AO208" s="33"/>
    </row>
    <row r="209" spans="1:41" ht="105">
      <c r="A209" s="14"/>
      <c r="B209" s="14"/>
      <c r="C209" s="14" t="s">
        <v>1987</v>
      </c>
      <c r="D209" s="14" t="s">
        <v>61</v>
      </c>
      <c r="E209" s="111" t="str">
        <f>VLOOKUP(C209,KELAS!$A$2:$D$643,4,0)</f>
        <v>4 MINA</v>
      </c>
      <c r="F209" s="14"/>
      <c r="G209" s="14"/>
      <c r="H209" s="43" t="s">
        <v>539</v>
      </c>
      <c r="I209" s="42">
        <v>1450000</v>
      </c>
      <c r="J209" s="87">
        <v>45968</v>
      </c>
      <c r="K209" s="88">
        <v>0.59185185185185185</v>
      </c>
      <c r="L209" s="39">
        <f t="shared" si="8"/>
        <v>0</v>
      </c>
      <c r="M209" s="20">
        <f t="shared" si="9"/>
        <v>-1450000</v>
      </c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  <c r="AI209" s="33"/>
      <c r="AJ209" s="33"/>
      <c r="AK209" s="33"/>
      <c r="AL209" s="33"/>
      <c r="AM209" s="33"/>
      <c r="AN209" s="33"/>
      <c r="AO209" s="33"/>
    </row>
    <row r="210" spans="1:41" ht="120">
      <c r="A210" s="14"/>
      <c r="B210" s="14"/>
      <c r="C210" s="14" t="s">
        <v>1164</v>
      </c>
      <c r="D210" s="14" t="s">
        <v>61</v>
      </c>
      <c r="E210" s="111" t="str">
        <f>VLOOKUP(C210,KELAS!$A$2:$D$643,4,0)</f>
        <v>1 MEKKAH</v>
      </c>
      <c r="F210" s="14"/>
      <c r="G210" s="14"/>
      <c r="H210" s="43" t="s">
        <v>541</v>
      </c>
      <c r="I210" s="42">
        <v>1617000</v>
      </c>
      <c r="J210" s="87">
        <v>45968</v>
      </c>
      <c r="K210" s="88">
        <v>0.64740740740740743</v>
      </c>
      <c r="L210" s="39">
        <f t="shared" si="8"/>
        <v>0</v>
      </c>
      <c r="M210" s="20">
        <f t="shared" si="9"/>
        <v>-1617000</v>
      </c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/>
      <c r="AJ210" s="33"/>
      <c r="AK210" s="33"/>
      <c r="AL210" s="33"/>
      <c r="AM210" s="33"/>
      <c r="AN210" s="33"/>
      <c r="AO210" s="33"/>
    </row>
    <row r="211" spans="1:41" ht="90">
      <c r="A211" s="14"/>
      <c r="B211" s="14"/>
      <c r="C211" s="14" t="s">
        <v>2345</v>
      </c>
      <c r="D211" s="14" t="s">
        <v>61</v>
      </c>
      <c r="E211" s="111" t="str">
        <f>VLOOKUP(C211,KELAS!$A$2:$D$643,4,0)</f>
        <v>6 MADINAH</v>
      </c>
      <c r="F211" s="14"/>
      <c r="G211" s="14"/>
      <c r="H211" s="43" t="s">
        <v>543</v>
      </c>
      <c r="I211" s="42">
        <v>1400000</v>
      </c>
      <c r="J211" s="87">
        <v>45968</v>
      </c>
      <c r="K211" s="88">
        <v>0.6937268518518519</v>
      </c>
      <c r="L211" s="39">
        <f t="shared" si="8"/>
        <v>0</v>
      </c>
      <c r="M211" s="20">
        <f t="shared" si="9"/>
        <v>-1400000</v>
      </c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/>
      <c r="AJ211" s="33"/>
      <c r="AK211" s="33"/>
      <c r="AL211" s="33"/>
      <c r="AM211" s="33"/>
      <c r="AN211" s="33"/>
      <c r="AO211" s="33"/>
    </row>
    <row r="212" spans="1:41" ht="105">
      <c r="A212" s="14"/>
      <c r="B212" s="14"/>
      <c r="C212" s="14" t="s">
        <v>1563</v>
      </c>
      <c r="D212" s="14" t="s">
        <v>61</v>
      </c>
      <c r="E212" s="111" t="str">
        <f>VLOOKUP(C212,KELAS!$A$2:$D$643,4,0)</f>
        <v>2 MARWAH</v>
      </c>
      <c r="F212" s="14"/>
      <c r="G212" s="14"/>
      <c r="H212" s="43" t="s">
        <v>545</v>
      </c>
      <c r="I212" s="42">
        <v>1540000</v>
      </c>
      <c r="J212" s="87">
        <v>45968</v>
      </c>
      <c r="K212" s="88">
        <v>0.71021990740740737</v>
      </c>
      <c r="L212" s="39">
        <f t="shared" si="8"/>
        <v>0</v>
      </c>
      <c r="M212" s="20">
        <f t="shared" si="9"/>
        <v>-1540000</v>
      </c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/>
      <c r="AK212" s="33"/>
      <c r="AL212" s="33"/>
      <c r="AM212" s="33"/>
      <c r="AN212" s="33"/>
      <c r="AO212" s="33"/>
    </row>
    <row r="213" spans="1:41" ht="105">
      <c r="A213" s="14"/>
      <c r="B213" s="14"/>
      <c r="C213" s="14" t="s">
        <v>2218</v>
      </c>
      <c r="D213" s="14" t="s">
        <v>61</v>
      </c>
      <c r="E213" s="111" t="str">
        <f>VLOOKUP(C213,KELAS!$A$2:$D$643,4,0)</f>
        <v>6 MADINAH</v>
      </c>
      <c r="F213" s="14"/>
      <c r="G213" s="14"/>
      <c r="H213" s="43" t="s">
        <v>547</v>
      </c>
      <c r="I213" s="42">
        <v>1400000</v>
      </c>
      <c r="J213" s="87">
        <v>45968</v>
      </c>
      <c r="K213" s="88">
        <v>0.71947916666666667</v>
      </c>
      <c r="L213" s="39">
        <f t="shared" si="8"/>
        <v>0</v>
      </c>
      <c r="M213" s="20">
        <f t="shared" si="9"/>
        <v>-1400000</v>
      </c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  <c r="AI213" s="33"/>
      <c r="AJ213" s="33"/>
      <c r="AK213" s="33"/>
      <c r="AL213" s="33"/>
      <c r="AM213" s="33"/>
      <c r="AN213" s="33"/>
      <c r="AO213" s="33"/>
    </row>
    <row r="214" spans="1:41" ht="75">
      <c r="A214" s="14"/>
      <c r="B214" s="14"/>
      <c r="C214" s="14" t="s">
        <v>1873</v>
      </c>
      <c r="D214" s="14" t="s">
        <v>61</v>
      </c>
      <c r="E214" s="111" t="str">
        <f>VLOOKUP(C214,KELAS!$A$2:$D$643,4,0)</f>
        <v>4 MEKKAH</v>
      </c>
      <c r="F214" s="14"/>
      <c r="G214" s="14"/>
      <c r="H214" s="43" t="s">
        <v>112</v>
      </c>
      <c r="I214" s="42">
        <v>1400000</v>
      </c>
      <c r="J214" s="87">
        <v>45968</v>
      </c>
      <c r="K214" s="88">
        <v>0.76334490740740746</v>
      </c>
      <c r="L214" s="39">
        <f t="shared" si="8"/>
        <v>0</v>
      </c>
      <c r="M214" s="20">
        <f t="shared" si="9"/>
        <v>-1400000</v>
      </c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 s="33"/>
      <c r="AI214" s="33"/>
      <c r="AJ214" s="33"/>
      <c r="AK214" s="33"/>
      <c r="AL214" s="33"/>
      <c r="AM214" s="33"/>
      <c r="AN214" s="33"/>
      <c r="AO214" s="33"/>
    </row>
    <row r="215" spans="1:41" ht="90">
      <c r="A215" s="14"/>
      <c r="B215" s="14"/>
      <c r="C215" s="14" t="s">
        <v>1144</v>
      </c>
      <c r="D215" s="14" t="s">
        <v>61</v>
      </c>
      <c r="E215" s="111" t="str">
        <f>VLOOKUP(C215,KELAS!$A$2:$D$643,4,0)</f>
        <v>1 MEKKAH</v>
      </c>
      <c r="F215" s="14"/>
      <c r="G215" s="14"/>
      <c r="H215" s="43" t="s">
        <v>550</v>
      </c>
      <c r="I215" s="42">
        <v>1620000</v>
      </c>
      <c r="J215" s="87">
        <v>45968</v>
      </c>
      <c r="K215" s="88">
        <v>0.7678935185185185</v>
      </c>
      <c r="L215" s="39">
        <f t="shared" si="8"/>
        <v>0</v>
      </c>
      <c r="M215" s="20">
        <f t="shared" si="9"/>
        <v>-1620000</v>
      </c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  <c r="AL215" s="33"/>
      <c r="AM215" s="33"/>
      <c r="AN215" s="33"/>
      <c r="AO215" s="33"/>
    </row>
    <row r="216" spans="1:41" ht="90">
      <c r="A216" s="14"/>
      <c r="B216" s="14"/>
      <c r="C216" s="14" t="s">
        <v>2346</v>
      </c>
      <c r="D216" s="14" t="s">
        <v>61</v>
      </c>
      <c r="E216" s="111" t="e">
        <f>VLOOKUP(C216,KELAS!$A$2:$D$643,4,0)</f>
        <v>#N/A</v>
      </c>
      <c r="F216" s="14"/>
      <c r="G216" s="14"/>
      <c r="H216" s="43" t="s">
        <v>552</v>
      </c>
      <c r="I216" s="42">
        <v>1400000</v>
      </c>
      <c r="J216" s="87">
        <v>45968</v>
      </c>
      <c r="K216" s="88">
        <v>0.79386574074074079</v>
      </c>
      <c r="L216" s="39">
        <f t="shared" si="8"/>
        <v>0</v>
      </c>
      <c r="M216" s="20">
        <f t="shared" si="9"/>
        <v>-1400000</v>
      </c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  <c r="AK216" s="33"/>
      <c r="AL216" s="33"/>
      <c r="AM216" s="33"/>
      <c r="AN216" s="33"/>
      <c r="AO216" s="33"/>
    </row>
    <row r="217" spans="1:41" ht="75">
      <c r="A217" s="14"/>
      <c r="B217" s="14"/>
      <c r="C217" s="14" t="s">
        <v>1969</v>
      </c>
      <c r="D217" s="14" t="s">
        <v>61</v>
      </c>
      <c r="E217" s="111" t="str">
        <f>VLOOKUP(C217,KELAS!$A$2:$D$643,4,0)</f>
        <v>4 MINA</v>
      </c>
      <c r="F217" s="14"/>
      <c r="G217" s="14"/>
      <c r="H217" s="43" t="s">
        <v>88</v>
      </c>
      <c r="I217" s="42">
        <v>1450000</v>
      </c>
      <c r="J217" s="87">
        <v>45968</v>
      </c>
      <c r="K217" s="88">
        <v>0.79459490740740746</v>
      </c>
      <c r="L217" s="39">
        <f t="shared" si="8"/>
        <v>0</v>
      </c>
      <c r="M217" s="20">
        <f t="shared" si="9"/>
        <v>-1450000</v>
      </c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  <c r="AI217" s="33"/>
      <c r="AJ217" s="33"/>
      <c r="AK217" s="33"/>
      <c r="AL217" s="33"/>
      <c r="AM217" s="33"/>
      <c r="AN217" s="33"/>
      <c r="AO217" s="33"/>
    </row>
    <row r="218" spans="1:41" ht="105">
      <c r="A218" s="14"/>
      <c r="B218" s="14"/>
      <c r="C218" s="14" t="s">
        <v>1891</v>
      </c>
      <c r="D218" s="14" t="s">
        <v>61</v>
      </c>
      <c r="E218" s="111" t="str">
        <f>VLOOKUP(C218,KELAS!$A$2:$D$643,4,0)</f>
        <v>4 MADINAH</v>
      </c>
      <c r="F218" s="14"/>
      <c r="G218" s="14"/>
      <c r="H218" s="43" t="s">
        <v>175</v>
      </c>
      <c r="I218" s="42">
        <v>1400000</v>
      </c>
      <c r="J218" s="87">
        <v>45968</v>
      </c>
      <c r="K218" s="88">
        <v>0.91369212962962965</v>
      </c>
      <c r="L218" s="39">
        <f t="shared" si="8"/>
        <v>0</v>
      </c>
      <c r="M218" s="20">
        <f t="shared" si="9"/>
        <v>-1400000</v>
      </c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  <c r="AK218" s="33"/>
      <c r="AL218" s="33"/>
      <c r="AM218" s="33"/>
      <c r="AN218" s="33"/>
      <c r="AO218" s="33"/>
    </row>
    <row r="219" spans="1:41" ht="90">
      <c r="A219" s="14"/>
      <c r="B219" s="14"/>
      <c r="C219" s="14" t="s">
        <v>2347</v>
      </c>
      <c r="D219" s="14" t="s">
        <v>61</v>
      </c>
      <c r="E219" s="111" t="e">
        <f>VLOOKUP(C219,KELAS!$A$2:$D$643,4,0)</f>
        <v>#N/A</v>
      </c>
      <c r="F219" s="14"/>
      <c r="G219" s="14"/>
      <c r="H219" s="43" t="s">
        <v>556</v>
      </c>
      <c r="I219" s="42">
        <v>1400000</v>
      </c>
      <c r="J219" s="87">
        <v>45969</v>
      </c>
      <c r="K219" s="88">
        <v>0.23931712962962962</v>
      </c>
      <c r="L219" s="39">
        <f t="shared" si="8"/>
        <v>0</v>
      </c>
      <c r="M219" s="20">
        <f t="shared" si="9"/>
        <v>-1400000</v>
      </c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  <c r="AI219" s="33"/>
      <c r="AJ219" s="33"/>
      <c r="AK219" s="33"/>
      <c r="AL219" s="33"/>
      <c r="AM219" s="33"/>
      <c r="AN219" s="33"/>
      <c r="AO219" s="33"/>
    </row>
    <row r="220" spans="1:41" ht="90">
      <c r="A220" s="14"/>
      <c r="B220" s="14"/>
      <c r="C220" s="14" t="s">
        <v>2074</v>
      </c>
      <c r="D220" s="14" t="s">
        <v>61</v>
      </c>
      <c r="E220" s="111" t="str">
        <f>VLOOKUP(C220,KELAS!$A$2:$D$643,4,0)</f>
        <v>5 MADINAH</v>
      </c>
      <c r="F220" s="14"/>
      <c r="G220" s="14"/>
      <c r="H220" s="43" t="s">
        <v>168</v>
      </c>
      <c r="I220" s="42">
        <v>1400000</v>
      </c>
      <c r="J220" s="87">
        <v>45969</v>
      </c>
      <c r="K220" s="88">
        <v>0.31138888888888888</v>
      </c>
      <c r="L220" s="39">
        <f t="shared" si="8"/>
        <v>0</v>
      </c>
      <c r="M220" s="20">
        <f t="shared" si="9"/>
        <v>-1400000</v>
      </c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  <c r="AK220" s="33"/>
      <c r="AL220" s="33"/>
      <c r="AM220" s="33"/>
      <c r="AN220" s="33"/>
      <c r="AO220" s="33"/>
    </row>
    <row r="221" spans="1:41" ht="105">
      <c r="A221" s="14"/>
      <c r="B221" s="14"/>
      <c r="C221" s="14" t="s">
        <v>1453</v>
      </c>
      <c r="D221" s="14" t="s">
        <v>61</v>
      </c>
      <c r="E221" s="111" t="str">
        <f>VLOOKUP(C221,KELAS!$A$2:$D$643,4,0)</f>
        <v>2 MADINAH</v>
      </c>
      <c r="F221" s="14"/>
      <c r="G221" s="14"/>
      <c r="H221" s="43" t="s">
        <v>169</v>
      </c>
      <c r="I221" s="42">
        <v>1550000</v>
      </c>
      <c r="J221" s="87">
        <v>45969</v>
      </c>
      <c r="K221" s="88">
        <v>0.31415509259259261</v>
      </c>
      <c r="L221" s="39">
        <f t="shared" si="8"/>
        <v>0</v>
      </c>
      <c r="M221" s="20">
        <f t="shared" si="9"/>
        <v>-1550000</v>
      </c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  <c r="AI221" s="33"/>
      <c r="AJ221" s="33"/>
      <c r="AK221" s="33"/>
      <c r="AL221" s="33"/>
      <c r="AM221" s="33"/>
      <c r="AN221" s="33"/>
      <c r="AO221" s="33"/>
    </row>
    <row r="222" spans="1:41" ht="120">
      <c r="A222" s="14"/>
      <c r="B222" s="14"/>
      <c r="C222" s="14" t="s">
        <v>1756</v>
      </c>
      <c r="D222" s="14" t="s">
        <v>61</v>
      </c>
      <c r="E222" s="111" t="str">
        <f>VLOOKUP(C222,KELAS!$A$2:$D$643,4,0)</f>
        <v>3 MINA</v>
      </c>
      <c r="F222" s="14"/>
      <c r="G222" s="14"/>
      <c r="H222" s="43" t="s">
        <v>560</v>
      </c>
      <c r="I222" s="42">
        <v>1400000</v>
      </c>
      <c r="J222" s="87">
        <v>45969</v>
      </c>
      <c r="K222" s="88">
        <v>0.3190972222222222</v>
      </c>
      <c r="L222" s="39">
        <f t="shared" si="8"/>
        <v>0</v>
      </c>
      <c r="M222" s="20">
        <f t="shared" si="9"/>
        <v>-1400000</v>
      </c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  <c r="AH222" s="33"/>
      <c r="AI222" s="33"/>
      <c r="AJ222" s="33"/>
      <c r="AK222" s="33"/>
      <c r="AL222" s="33"/>
      <c r="AM222" s="33"/>
      <c r="AN222" s="33"/>
      <c r="AO222" s="33"/>
    </row>
    <row r="223" spans="1:41" ht="105">
      <c r="A223" s="14"/>
      <c r="B223" s="14"/>
      <c r="C223" s="14" t="s">
        <v>1307</v>
      </c>
      <c r="D223" s="14" t="s">
        <v>61</v>
      </c>
      <c r="E223" s="111" t="str">
        <f>VLOOKUP(C223,KELAS!$A$2:$D$643,4,0)</f>
        <v>1 MARWAH/TAHFIDZ</v>
      </c>
      <c r="F223" s="14"/>
      <c r="G223" s="14"/>
      <c r="H223" s="43" t="s">
        <v>562</v>
      </c>
      <c r="I223" s="42">
        <v>1617000</v>
      </c>
      <c r="J223" s="87">
        <v>45969</v>
      </c>
      <c r="K223" s="88">
        <v>0.34100694444444446</v>
      </c>
      <c r="L223" s="39">
        <f t="shared" si="8"/>
        <v>0</v>
      </c>
      <c r="M223" s="20">
        <f t="shared" si="9"/>
        <v>-1617000</v>
      </c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  <c r="AH223" s="33"/>
      <c r="AI223" s="33"/>
      <c r="AJ223" s="33"/>
      <c r="AK223" s="33"/>
      <c r="AL223" s="33"/>
      <c r="AM223" s="33"/>
      <c r="AN223" s="33"/>
      <c r="AO223" s="33"/>
    </row>
    <row r="224" spans="1:41" ht="75">
      <c r="A224" s="14"/>
      <c r="B224" s="14"/>
      <c r="C224" s="14" t="s">
        <v>1795</v>
      </c>
      <c r="D224" s="14" t="s">
        <v>61</v>
      </c>
      <c r="E224" s="111" t="str">
        <f>VLOOKUP(C224,KELAS!$A$2:$D$643,4,0)</f>
        <v>3 MARWAH</v>
      </c>
      <c r="F224" s="14"/>
      <c r="G224" s="14"/>
      <c r="H224" s="43" t="s">
        <v>96</v>
      </c>
      <c r="I224" s="42">
        <v>725000</v>
      </c>
      <c r="J224" s="87">
        <v>45969</v>
      </c>
      <c r="K224" s="88">
        <v>0.37493055555555554</v>
      </c>
      <c r="L224" s="39">
        <f t="shared" ref="L224:L287" si="10">SUM(N224:AP224)</f>
        <v>0</v>
      </c>
      <c r="M224" s="20">
        <f t="shared" ref="M224:M287" si="11">L224-I224</f>
        <v>-725000</v>
      </c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  <c r="AI224" s="33"/>
      <c r="AJ224" s="33"/>
      <c r="AK224" s="33"/>
      <c r="AL224" s="33"/>
      <c r="AM224" s="33"/>
      <c r="AN224" s="33"/>
      <c r="AO224" s="33"/>
    </row>
    <row r="225" spans="1:41" ht="120">
      <c r="A225" s="14"/>
      <c r="B225" s="14"/>
      <c r="C225" s="14" t="s">
        <v>1502</v>
      </c>
      <c r="D225" s="14" t="s">
        <v>61</v>
      </c>
      <c r="E225" s="111" t="str">
        <f>VLOOKUP(C225,KELAS!$A$2:$D$643,4,0)</f>
        <v>2 MINA</v>
      </c>
      <c r="F225" s="14"/>
      <c r="G225" s="14"/>
      <c r="H225" s="43" t="s">
        <v>565</v>
      </c>
      <c r="I225" s="42">
        <v>1540000</v>
      </c>
      <c r="J225" s="87">
        <v>45969</v>
      </c>
      <c r="K225" s="88">
        <v>0.38679398148148147</v>
      </c>
      <c r="L225" s="39">
        <f t="shared" si="10"/>
        <v>0</v>
      </c>
      <c r="M225" s="20">
        <f t="shared" si="11"/>
        <v>-1540000</v>
      </c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33"/>
      <c r="AG225" s="33"/>
      <c r="AH225" s="33"/>
      <c r="AI225" s="33"/>
      <c r="AJ225" s="33"/>
      <c r="AK225" s="33"/>
      <c r="AL225" s="33"/>
      <c r="AM225" s="33"/>
      <c r="AN225" s="33"/>
      <c r="AO225" s="33"/>
    </row>
    <row r="226" spans="1:41" ht="90">
      <c r="A226" s="14"/>
      <c r="B226" s="14"/>
      <c r="C226" s="14" t="s">
        <v>1186</v>
      </c>
      <c r="D226" s="14" t="s">
        <v>61</v>
      </c>
      <c r="E226" s="111" t="str">
        <f>VLOOKUP(C226,KELAS!$A$2:$D$643,4,0)</f>
        <v>1 MADINAH</v>
      </c>
      <c r="F226" s="14"/>
      <c r="G226" s="14"/>
      <c r="H226" s="43" t="s">
        <v>149</v>
      </c>
      <c r="I226" s="42">
        <v>1617000</v>
      </c>
      <c r="J226" s="87">
        <v>45969</v>
      </c>
      <c r="K226" s="88">
        <v>0.65924768518518517</v>
      </c>
      <c r="L226" s="39">
        <f t="shared" si="10"/>
        <v>0</v>
      </c>
      <c r="M226" s="20">
        <f t="shared" si="11"/>
        <v>-1617000</v>
      </c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  <c r="AG226" s="33"/>
      <c r="AH226" s="33"/>
      <c r="AI226" s="33"/>
      <c r="AJ226" s="33"/>
      <c r="AK226" s="33"/>
      <c r="AL226" s="33"/>
      <c r="AM226" s="33"/>
      <c r="AN226" s="33"/>
      <c r="AO226" s="33"/>
    </row>
    <row r="227" spans="1:41" ht="105">
      <c r="A227" s="14"/>
      <c r="B227" s="14"/>
      <c r="C227" s="14" t="s">
        <v>1803</v>
      </c>
      <c r="D227" s="14" t="s">
        <v>61</v>
      </c>
      <c r="E227" s="111" t="str">
        <f>VLOOKUP(C227,KELAS!$A$2:$D$643,4,0)</f>
        <v>3 MARWAH</v>
      </c>
      <c r="F227" s="14"/>
      <c r="G227" s="14"/>
      <c r="H227" s="43" t="s">
        <v>568</v>
      </c>
      <c r="I227" s="42">
        <v>1400000</v>
      </c>
      <c r="J227" s="87">
        <v>45969</v>
      </c>
      <c r="K227" s="88">
        <v>0.66243055555555552</v>
      </c>
      <c r="L227" s="39">
        <f t="shared" si="10"/>
        <v>0</v>
      </c>
      <c r="M227" s="20">
        <f t="shared" si="11"/>
        <v>-1400000</v>
      </c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  <c r="AH227" s="33"/>
      <c r="AI227" s="33"/>
      <c r="AJ227" s="33"/>
      <c r="AK227" s="33"/>
      <c r="AL227" s="33"/>
      <c r="AM227" s="33"/>
      <c r="AN227" s="33"/>
      <c r="AO227" s="33"/>
    </row>
    <row r="228" spans="1:41" ht="105">
      <c r="A228" s="14"/>
      <c r="B228" s="14"/>
      <c r="C228" s="14" t="s">
        <v>1970</v>
      </c>
      <c r="D228" s="14" t="s">
        <v>61</v>
      </c>
      <c r="E228" s="111" t="str">
        <f>VLOOKUP(C228,KELAS!$A$2:$D$643,4,0)</f>
        <v>4 MINA</v>
      </c>
      <c r="F228" s="14"/>
      <c r="G228" s="14"/>
      <c r="H228" s="43" t="s">
        <v>570</v>
      </c>
      <c r="I228" s="42">
        <v>1450000</v>
      </c>
      <c r="J228" s="87">
        <v>45969</v>
      </c>
      <c r="K228" s="88">
        <v>0.67500000000000004</v>
      </c>
      <c r="L228" s="39">
        <f t="shared" si="10"/>
        <v>0</v>
      </c>
      <c r="M228" s="20">
        <f t="shared" si="11"/>
        <v>-1450000</v>
      </c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  <c r="AH228" s="33"/>
      <c r="AI228" s="33"/>
      <c r="AJ228" s="33"/>
      <c r="AK228" s="33"/>
      <c r="AL228" s="33"/>
      <c r="AM228" s="33"/>
      <c r="AN228" s="33"/>
      <c r="AO228" s="33"/>
    </row>
    <row r="229" spans="1:41" ht="105">
      <c r="A229" s="14"/>
      <c r="B229" s="14"/>
      <c r="C229" s="14" t="s">
        <v>1152</v>
      </c>
      <c r="D229" s="14" t="s">
        <v>61</v>
      </c>
      <c r="E229" s="111" t="str">
        <f>VLOOKUP(C229,KELAS!$A$2:$D$643,4,0)</f>
        <v>1 MEKKAH</v>
      </c>
      <c r="F229" s="14"/>
      <c r="G229" s="14"/>
      <c r="H229" s="43" t="s">
        <v>572</v>
      </c>
      <c r="I229" s="42">
        <v>1617000</v>
      </c>
      <c r="J229" s="87">
        <v>45969</v>
      </c>
      <c r="K229" s="88">
        <v>0.81368055555555552</v>
      </c>
      <c r="L229" s="39">
        <f t="shared" si="10"/>
        <v>0</v>
      </c>
      <c r="M229" s="20">
        <f t="shared" si="11"/>
        <v>-1617000</v>
      </c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  <c r="AH229" s="33"/>
      <c r="AI229" s="33"/>
      <c r="AJ229" s="33"/>
      <c r="AK229" s="33"/>
      <c r="AL229" s="33"/>
      <c r="AM229" s="33"/>
      <c r="AN229" s="33"/>
      <c r="AO229" s="33"/>
    </row>
    <row r="230" spans="1:41" ht="105">
      <c r="A230" s="14"/>
      <c r="B230" s="14"/>
      <c r="C230" s="14" t="s">
        <v>1239</v>
      </c>
      <c r="D230" s="14" t="s">
        <v>61</v>
      </c>
      <c r="E230" s="111" t="str">
        <f>VLOOKUP(C230,KELAS!$A$2:$D$643,4,0)</f>
        <v>1 MINA</v>
      </c>
      <c r="F230" s="14"/>
      <c r="G230" s="14"/>
      <c r="H230" s="43" t="s">
        <v>574</v>
      </c>
      <c r="I230" s="42">
        <v>1617000</v>
      </c>
      <c r="J230" s="87">
        <v>45970</v>
      </c>
      <c r="K230" s="88">
        <v>0.27225694444444443</v>
      </c>
      <c r="L230" s="39">
        <f t="shared" si="10"/>
        <v>0</v>
      </c>
      <c r="M230" s="20">
        <f t="shared" si="11"/>
        <v>-1617000</v>
      </c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  <c r="AI230" s="33"/>
      <c r="AJ230" s="33"/>
      <c r="AK230" s="33"/>
      <c r="AL230" s="33"/>
      <c r="AM230" s="33"/>
      <c r="AN230" s="33"/>
      <c r="AO230" s="33"/>
    </row>
    <row r="231" spans="1:41" ht="90">
      <c r="A231" s="14"/>
      <c r="B231" s="14"/>
      <c r="C231" s="14" t="s">
        <v>2075</v>
      </c>
      <c r="D231" s="14" t="s">
        <v>61</v>
      </c>
      <c r="E231" s="111" t="str">
        <f>VLOOKUP(C231,KELAS!$A$2:$D$643,4,0)</f>
        <v>5 MADINAH</v>
      </c>
      <c r="F231" s="14"/>
      <c r="G231" s="14"/>
      <c r="H231" s="43" t="s">
        <v>576</v>
      </c>
      <c r="I231" s="42">
        <v>1450000</v>
      </c>
      <c r="J231" s="87">
        <v>45970</v>
      </c>
      <c r="K231" s="88">
        <v>0.28354166666666669</v>
      </c>
      <c r="L231" s="39">
        <f t="shared" si="10"/>
        <v>0</v>
      </c>
      <c r="M231" s="20">
        <f t="shared" si="11"/>
        <v>-1450000</v>
      </c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  <c r="AG231" s="33"/>
      <c r="AH231" s="33"/>
      <c r="AI231" s="33"/>
      <c r="AJ231" s="33"/>
      <c r="AK231" s="33"/>
      <c r="AL231" s="33"/>
      <c r="AM231" s="33"/>
      <c r="AN231" s="33"/>
      <c r="AO231" s="33"/>
    </row>
    <row r="232" spans="1:41" ht="90">
      <c r="A232" s="14"/>
      <c r="B232" s="14"/>
      <c r="C232" s="14" t="s">
        <v>2109</v>
      </c>
      <c r="D232" s="14" t="s">
        <v>61</v>
      </c>
      <c r="E232" s="111" t="str">
        <f>VLOOKUP(C232,KELAS!$A$2:$D$643,4,0)</f>
        <v>5 MADINAH</v>
      </c>
      <c r="F232" s="14"/>
      <c r="G232" s="14"/>
      <c r="H232" s="43" t="s">
        <v>578</v>
      </c>
      <c r="I232" s="42">
        <v>1400000</v>
      </c>
      <c r="J232" s="87">
        <v>45970</v>
      </c>
      <c r="K232" s="88">
        <v>0.3926736111111111</v>
      </c>
      <c r="L232" s="39">
        <f t="shared" si="10"/>
        <v>0</v>
      </c>
      <c r="M232" s="20">
        <f t="shared" si="11"/>
        <v>-1400000</v>
      </c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  <c r="AG232" s="33"/>
      <c r="AH232" s="33"/>
      <c r="AI232" s="33"/>
      <c r="AJ232" s="33"/>
      <c r="AK232" s="33"/>
      <c r="AL232" s="33"/>
      <c r="AM232" s="33"/>
      <c r="AN232" s="33"/>
      <c r="AO232" s="33"/>
    </row>
    <row r="233" spans="1:41" ht="105">
      <c r="A233" s="14"/>
      <c r="B233" s="14"/>
      <c r="C233" s="14" t="s">
        <v>2262</v>
      </c>
      <c r="D233" s="14" t="s">
        <v>61</v>
      </c>
      <c r="E233" s="111" t="str">
        <f>VLOOKUP(C233,KELAS!$A$2:$D$643,4,0)</f>
        <v>6 MADINAH</v>
      </c>
      <c r="F233" s="14"/>
      <c r="G233" s="14"/>
      <c r="H233" s="43" t="s">
        <v>580</v>
      </c>
      <c r="I233" s="42">
        <v>1450000</v>
      </c>
      <c r="J233" s="87">
        <v>45970</v>
      </c>
      <c r="K233" s="88">
        <v>0.39754629629629629</v>
      </c>
      <c r="L233" s="39">
        <f t="shared" si="10"/>
        <v>0</v>
      </c>
      <c r="M233" s="20">
        <f t="shared" si="11"/>
        <v>-1450000</v>
      </c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  <c r="AH233" s="33"/>
      <c r="AI233" s="33"/>
      <c r="AJ233" s="33"/>
      <c r="AK233" s="33"/>
      <c r="AL233" s="33"/>
      <c r="AM233" s="33"/>
      <c r="AN233" s="33"/>
      <c r="AO233" s="33"/>
    </row>
    <row r="234" spans="1:41" ht="105">
      <c r="A234" s="14"/>
      <c r="B234" s="14"/>
      <c r="C234" s="14" t="s">
        <v>2348</v>
      </c>
      <c r="D234" s="14" t="s">
        <v>61</v>
      </c>
      <c r="E234" s="111" t="e">
        <f>VLOOKUP(C234,KELAS!$A$2:$D$643,4,0)</f>
        <v>#N/A</v>
      </c>
      <c r="F234" s="14"/>
      <c r="G234" s="14"/>
      <c r="H234" s="43" t="s">
        <v>582</v>
      </c>
      <c r="I234" s="42">
        <v>1600000</v>
      </c>
      <c r="J234" s="87">
        <v>45970</v>
      </c>
      <c r="K234" s="88">
        <v>0.48351851851851851</v>
      </c>
      <c r="L234" s="39">
        <f t="shared" si="10"/>
        <v>0</v>
      </c>
      <c r="M234" s="20">
        <f t="shared" si="11"/>
        <v>-1600000</v>
      </c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  <c r="AF234" s="33"/>
      <c r="AG234" s="33"/>
      <c r="AH234" s="33"/>
      <c r="AI234" s="33"/>
      <c r="AJ234" s="33"/>
      <c r="AK234" s="33"/>
      <c r="AL234" s="33"/>
      <c r="AM234" s="33"/>
      <c r="AN234" s="33"/>
      <c r="AO234" s="33"/>
    </row>
    <row r="235" spans="1:41" ht="75">
      <c r="A235" s="14"/>
      <c r="B235" s="14"/>
      <c r="C235" s="14" t="s">
        <v>1547</v>
      </c>
      <c r="D235" s="14" t="s">
        <v>61</v>
      </c>
      <c r="E235" s="111" t="str">
        <f>VLOOKUP(C235,KELAS!$A$2:$D$643,4,0)</f>
        <v>2 MARWAH</v>
      </c>
      <c r="F235" s="14"/>
      <c r="G235" s="14"/>
      <c r="H235" s="43" t="s">
        <v>584</v>
      </c>
      <c r="I235" s="42">
        <v>1540000</v>
      </c>
      <c r="J235" s="87">
        <v>45970</v>
      </c>
      <c r="K235" s="88">
        <v>0.50233796296296296</v>
      </c>
      <c r="L235" s="39">
        <f t="shared" si="10"/>
        <v>0</v>
      </c>
      <c r="M235" s="20">
        <f t="shared" si="11"/>
        <v>-1540000</v>
      </c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  <c r="AE235" s="33"/>
      <c r="AF235" s="33"/>
      <c r="AG235" s="33"/>
      <c r="AH235" s="33"/>
      <c r="AI235" s="33"/>
      <c r="AJ235" s="33"/>
      <c r="AK235" s="33"/>
      <c r="AL235" s="33"/>
      <c r="AM235" s="33"/>
      <c r="AN235" s="33"/>
      <c r="AO235" s="33"/>
    </row>
    <row r="236" spans="1:41" ht="105">
      <c r="A236" s="14"/>
      <c r="B236" s="14"/>
      <c r="C236" s="14" t="s">
        <v>1333</v>
      </c>
      <c r="D236" s="14" t="s">
        <v>61</v>
      </c>
      <c r="E236" s="111" t="str">
        <f>VLOOKUP(C236,KELAS!$A$2:$D$643,4,0)</f>
        <v>1 MARWAH/TAHFIDZ</v>
      </c>
      <c r="F236" s="14"/>
      <c r="G236" s="14"/>
      <c r="H236" s="43" t="s">
        <v>586</v>
      </c>
      <c r="I236" s="42">
        <v>1617000</v>
      </c>
      <c r="J236" s="87">
        <v>45970</v>
      </c>
      <c r="K236" s="88">
        <v>0.60351851851851857</v>
      </c>
      <c r="L236" s="39">
        <f t="shared" si="10"/>
        <v>0</v>
      </c>
      <c r="M236" s="20">
        <f t="shared" si="11"/>
        <v>-1617000</v>
      </c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  <c r="AF236" s="33"/>
      <c r="AG236" s="33"/>
      <c r="AH236" s="33"/>
      <c r="AI236" s="33"/>
      <c r="AJ236" s="33"/>
      <c r="AK236" s="33"/>
      <c r="AL236" s="33"/>
      <c r="AM236" s="33"/>
      <c r="AN236" s="33"/>
      <c r="AO236" s="33"/>
    </row>
    <row r="237" spans="1:41" ht="120">
      <c r="A237" s="14"/>
      <c r="B237" s="14"/>
      <c r="C237" s="14" t="s">
        <v>1443</v>
      </c>
      <c r="D237" s="14" t="s">
        <v>61</v>
      </c>
      <c r="E237" s="111" t="str">
        <f>VLOOKUP(C237,KELAS!$A$2:$D$643,4,0)</f>
        <v>2 MADINAH</v>
      </c>
      <c r="F237" s="14"/>
      <c r="G237" s="14"/>
      <c r="H237" s="43" t="s">
        <v>588</v>
      </c>
      <c r="I237" s="42">
        <v>1540000</v>
      </c>
      <c r="J237" s="87">
        <v>45970</v>
      </c>
      <c r="K237" s="88">
        <v>0.76362268518518517</v>
      </c>
      <c r="L237" s="39">
        <f t="shared" si="10"/>
        <v>0</v>
      </c>
      <c r="M237" s="20">
        <f t="shared" si="11"/>
        <v>-1540000</v>
      </c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  <c r="AE237" s="33"/>
      <c r="AF237" s="33"/>
      <c r="AG237" s="33"/>
      <c r="AH237" s="33"/>
      <c r="AI237" s="33"/>
      <c r="AJ237" s="33"/>
      <c r="AK237" s="33"/>
      <c r="AL237" s="33"/>
      <c r="AM237" s="33"/>
      <c r="AN237" s="33"/>
      <c r="AO237" s="33"/>
    </row>
    <row r="238" spans="1:41" ht="105">
      <c r="A238" s="14"/>
      <c r="B238" s="14"/>
      <c r="C238" s="14" t="s">
        <v>2349</v>
      </c>
      <c r="D238" s="14" t="s">
        <v>61</v>
      </c>
      <c r="E238" s="111" t="e">
        <f>VLOOKUP(C238,KELAS!$A$2:$D$643,4,0)</f>
        <v>#N/A</v>
      </c>
      <c r="F238" s="14"/>
      <c r="G238" s="14"/>
      <c r="H238" s="43" t="s">
        <v>590</v>
      </c>
      <c r="I238" s="42">
        <v>1540000</v>
      </c>
      <c r="J238" s="87">
        <v>45970</v>
      </c>
      <c r="K238" s="88">
        <v>0.84847222222222218</v>
      </c>
      <c r="L238" s="39">
        <f t="shared" si="10"/>
        <v>0</v>
      </c>
      <c r="M238" s="20">
        <f t="shared" si="11"/>
        <v>-1540000</v>
      </c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  <c r="AE238" s="33"/>
      <c r="AF238" s="33"/>
      <c r="AG238" s="33"/>
      <c r="AH238" s="33"/>
      <c r="AI238" s="33"/>
      <c r="AJ238" s="33"/>
      <c r="AK238" s="33"/>
      <c r="AL238" s="33"/>
      <c r="AM238" s="33"/>
      <c r="AN238" s="33"/>
      <c r="AO238" s="33"/>
    </row>
    <row r="239" spans="1:41" ht="75">
      <c r="A239" s="14"/>
      <c r="B239" s="14"/>
      <c r="C239" s="14" t="s">
        <v>2350</v>
      </c>
      <c r="D239" s="14" t="s">
        <v>61</v>
      </c>
      <c r="E239" s="111" t="e">
        <f>VLOOKUP(C239,KELAS!$A$2:$D$643,4,0)</f>
        <v>#N/A</v>
      </c>
      <c r="F239" s="14"/>
      <c r="G239" s="14"/>
      <c r="H239" s="43" t="s">
        <v>592</v>
      </c>
      <c r="I239" s="42">
        <v>1400000</v>
      </c>
      <c r="J239" s="87">
        <v>45970</v>
      </c>
      <c r="K239" s="88">
        <v>0.94346064814814812</v>
      </c>
      <c r="L239" s="39">
        <f t="shared" si="10"/>
        <v>0</v>
      </c>
      <c r="M239" s="20">
        <f t="shared" si="11"/>
        <v>-1400000</v>
      </c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  <c r="AE239" s="33"/>
      <c r="AF239" s="33"/>
      <c r="AG239" s="33"/>
      <c r="AH239" s="33"/>
      <c r="AI239" s="33"/>
      <c r="AJ239" s="33"/>
      <c r="AK239" s="33"/>
      <c r="AL239" s="33"/>
      <c r="AM239" s="33"/>
      <c r="AN239" s="33"/>
      <c r="AO239" s="33"/>
    </row>
    <row r="240" spans="1:41" ht="75">
      <c r="A240" s="14"/>
      <c r="B240" s="14"/>
      <c r="C240" s="14" t="s">
        <v>1769</v>
      </c>
      <c r="D240" s="14" t="s">
        <v>61</v>
      </c>
      <c r="E240" s="111" t="str">
        <f>VLOOKUP(C240,KELAS!$A$2:$D$643,4,0)</f>
        <v>3 MINA</v>
      </c>
      <c r="F240" s="14"/>
      <c r="G240" s="14"/>
      <c r="H240" s="43" t="s">
        <v>594</v>
      </c>
      <c r="I240" s="42">
        <v>1400000</v>
      </c>
      <c r="J240" s="87">
        <v>45970</v>
      </c>
      <c r="K240" s="88">
        <v>0.94502314814814814</v>
      </c>
      <c r="L240" s="39">
        <f t="shared" si="10"/>
        <v>0</v>
      </c>
      <c r="M240" s="20">
        <f t="shared" si="11"/>
        <v>-1400000</v>
      </c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  <c r="AE240" s="33"/>
      <c r="AF240" s="33"/>
      <c r="AG240" s="33"/>
      <c r="AH240" s="33"/>
      <c r="AI240" s="33"/>
      <c r="AJ240" s="33"/>
      <c r="AK240" s="33"/>
      <c r="AL240" s="33"/>
      <c r="AM240" s="33"/>
      <c r="AN240" s="33"/>
      <c r="AO240" s="33"/>
    </row>
    <row r="241" spans="1:41" ht="75">
      <c r="A241" s="14"/>
      <c r="B241" s="14"/>
      <c r="C241" s="14" t="s">
        <v>1813</v>
      </c>
      <c r="D241" s="14" t="s">
        <v>61</v>
      </c>
      <c r="E241" s="111" t="str">
        <f>VLOOKUP(C241,KELAS!$A$2:$D$643,4,0)</f>
        <v>3 MARWAH</v>
      </c>
      <c r="F241" s="14"/>
      <c r="G241" s="14"/>
      <c r="H241" s="43" t="s">
        <v>596</v>
      </c>
      <c r="I241" s="42">
        <v>1450000</v>
      </c>
      <c r="J241" s="87">
        <v>45971</v>
      </c>
      <c r="K241" s="88">
        <v>0.26851851851851855</v>
      </c>
      <c r="L241" s="39">
        <f t="shared" si="10"/>
        <v>0</v>
      </c>
      <c r="M241" s="20">
        <f t="shared" si="11"/>
        <v>-1450000</v>
      </c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  <c r="AF241" s="33"/>
      <c r="AG241" s="33"/>
      <c r="AH241" s="33"/>
      <c r="AI241" s="33"/>
      <c r="AJ241" s="33"/>
      <c r="AK241" s="33"/>
      <c r="AL241" s="33"/>
      <c r="AM241" s="33"/>
      <c r="AN241" s="33"/>
      <c r="AO241" s="33"/>
    </row>
    <row r="242" spans="1:41" ht="90">
      <c r="A242" s="14"/>
      <c r="B242" s="14"/>
      <c r="C242" s="14" t="s">
        <v>1944</v>
      </c>
      <c r="D242" s="14" t="s">
        <v>61</v>
      </c>
      <c r="E242" s="111" t="str">
        <f>VLOOKUP(C242,KELAS!$A$2:$D$643,4,0)</f>
        <v>4 MADINAH</v>
      </c>
      <c r="F242" s="14"/>
      <c r="G242" s="14"/>
      <c r="H242" s="43" t="s">
        <v>93</v>
      </c>
      <c r="I242" s="42">
        <v>1400000</v>
      </c>
      <c r="J242" s="87">
        <v>45971</v>
      </c>
      <c r="K242" s="88">
        <v>0.27741898148148147</v>
      </c>
      <c r="L242" s="39">
        <f t="shared" si="10"/>
        <v>0</v>
      </c>
      <c r="M242" s="20">
        <f t="shared" si="11"/>
        <v>-1400000</v>
      </c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  <c r="AE242" s="33"/>
      <c r="AF242" s="33"/>
      <c r="AG242" s="33"/>
      <c r="AH242" s="33"/>
      <c r="AI242" s="33"/>
      <c r="AJ242" s="33"/>
      <c r="AK242" s="33"/>
      <c r="AL242" s="33"/>
      <c r="AM242" s="33"/>
      <c r="AN242" s="33"/>
      <c r="AO242" s="33"/>
    </row>
    <row r="243" spans="1:41" ht="90">
      <c r="A243" s="14"/>
      <c r="B243" s="14"/>
      <c r="C243" s="14" t="s">
        <v>1821</v>
      </c>
      <c r="D243" s="14" t="s">
        <v>61</v>
      </c>
      <c r="E243" s="111" t="str">
        <f>VLOOKUP(C243,KELAS!$A$2:$D$643,4,0)</f>
        <v>3 MARWAH</v>
      </c>
      <c r="F243" s="14"/>
      <c r="G243" s="14"/>
      <c r="H243" s="43" t="s">
        <v>174</v>
      </c>
      <c r="I243" s="42">
        <v>1400000</v>
      </c>
      <c r="J243" s="87">
        <v>45971</v>
      </c>
      <c r="K243" s="88">
        <v>0.27785879629629628</v>
      </c>
      <c r="L243" s="39">
        <f t="shared" si="10"/>
        <v>0</v>
      </c>
      <c r="M243" s="20">
        <f t="shared" si="11"/>
        <v>-1400000</v>
      </c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  <c r="AE243" s="33"/>
      <c r="AF243" s="33"/>
      <c r="AG243" s="33"/>
      <c r="AH243" s="33"/>
      <c r="AI243" s="33"/>
      <c r="AJ243" s="33"/>
      <c r="AK243" s="33"/>
      <c r="AL243" s="33"/>
      <c r="AM243" s="33"/>
      <c r="AN243" s="33"/>
      <c r="AO243" s="33"/>
    </row>
    <row r="244" spans="1:41" ht="90">
      <c r="A244" s="14"/>
      <c r="B244" s="14"/>
      <c r="C244" s="14" t="s">
        <v>2351</v>
      </c>
      <c r="D244" s="14" t="s">
        <v>61</v>
      </c>
      <c r="E244" s="111" t="e">
        <f>VLOOKUP(C244,KELAS!$A$2:$D$643,4,0)</f>
        <v>#N/A</v>
      </c>
      <c r="F244" s="14"/>
      <c r="G244" s="14"/>
      <c r="H244" s="43" t="s">
        <v>600</v>
      </c>
      <c r="I244" s="42">
        <v>1540000</v>
      </c>
      <c r="J244" s="87">
        <v>45971</v>
      </c>
      <c r="K244" s="88">
        <v>0.29951388888888891</v>
      </c>
      <c r="L244" s="39">
        <f t="shared" si="10"/>
        <v>0</v>
      </c>
      <c r="M244" s="20">
        <f t="shared" si="11"/>
        <v>-1540000</v>
      </c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  <c r="AF244" s="33"/>
      <c r="AG244" s="33"/>
      <c r="AH244" s="33"/>
      <c r="AI244" s="33"/>
      <c r="AJ244" s="33"/>
      <c r="AK244" s="33"/>
      <c r="AL244" s="33"/>
      <c r="AM244" s="33"/>
      <c r="AN244" s="33"/>
      <c r="AO244" s="33"/>
    </row>
    <row r="245" spans="1:41" ht="90">
      <c r="A245" s="14"/>
      <c r="B245" s="14"/>
      <c r="C245" s="14" t="s">
        <v>2352</v>
      </c>
      <c r="D245" s="14" t="s">
        <v>61</v>
      </c>
      <c r="E245" s="111" t="e">
        <f>VLOOKUP(C245,KELAS!$A$2:$D$643,4,0)</f>
        <v>#N/A</v>
      </c>
      <c r="F245" s="14"/>
      <c r="G245" s="14"/>
      <c r="H245" s="43" t="s">
        <v>602</v>
      </c>
      <c r="I245" s="42">
        <v>1400000</v>
      </c>
      <c r="J245" s="87">
        <v>45971</v>
      </c>
      <c r="K245" s="88">
        <v>0.30609953703703702</v>
      </c>
      <c r="L245" s="39">
        <f t="shared" si="10"/>
        <v>0</v>
      </c>
      <c r="M245" s="20">
        <f t="shared" si="11"/>
        <v>-1400000</v>
      </c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  <c r="AF245" s="33"/>
      <c r="AG245" s="33"/>
      <c r="AH245" s="33"/>
      <c r="AI245" s="33"/>
      <c r="AJ245" s="33"/>
      <c r="AK245" s="33"/>
      <c r="AL245" s="33"/>
      <c r="AM245" s="33"/>
      <c r="AN245" s="33"/>
      <c r="AO245" s="33"/>
    </row>
    <row r="246" spans="1:41" ht="105">
      <c r="A246" s="14"/>
      <c r="B246" s="14"/>
      <c r="C246" s="14" t="s">
        <v>2087</v>
      </c>
      <c r="D246" s="14" t="s">
        <v>61</v>
      </c>
      <c r="E246" s="111" t="str">
        <f>VLOOKUP(C246,KELAS!$A$2:$D$643,4,0)</f>
        <v>5 MADINAH</v>
      </c>
      <c r="F246" s="14"/>
      <c r="G246" s="14"/>
      <c r="H246" s="43" t="s">
        <v>604</v>
      </c>
      <c r="I246" s="42">
        <v>1400000</v>
      </c>
      <c r="J246" s="87">
        <v>45971</v>
      </c>
      <c r="K246" s="88">
        <v>0.32899305555555558</v>
      </c>
      <c r="L246" s="39">
        <f t="shared" si="10"/>
        <v>0</v>
      </c>
      <c r="M246" s="20">
        <f t="shared" si="11"/>
        <v>-1400000</v>
      </c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  <c r="AE246" s="33"/>
      <c r="AF246" s="33"/>
      <c r="AG246" s="33"/>
      <c r="AH246" s="33"/>
      <c r="AI246" s="33"/>
      <c r="AJ246" s="33"/>
      <c r="AK246" s="33"/>
      <c r="AL246" s="33"/>
      <c r="AM246" s="33"/>
      <c r="AN246" s="33"/>
      <c r="AO246" s="33"/>
    </row>
    <row r="247" spans="1:41" ht="90">
      <c r="A247" s="14"/>
      <c r="B247" s="14"/>
      <c r="C247" s="14" t="s">
        <v>2353</v>
      </c>
      <c r="D247" s="14" t="s">
        <v>61</v>
      </c>
      <c r="E247" s="111" t="e">
        <f>VLOOKUP(C247,KELAS!$A$2:$D$643,4,0)</f>
        <v>#N/A</v>
      </c>
      <c r="F247" s="14"/>
      <c r="G247" s="14"/>
      <c r="H247" s="43" t="s">
        <v>606</v>
      </c>
      <c r="I247" s="42">
        <v>1450000</v>
      </c>
      <c r="J247" s="87">
        <v>45971</v>
      </c>
      <c r="K247" s="88">
        <v>0.33353009259259259</v>
      </c>
      <c r="L247" s="39">
        <f t="shared" si="10"/>
        <v>0</v>
      </c>
      <c r="M247" s="20">
        <f t="shared" si="11"/>
        <v>-1450000</v>
      </c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  <c r="AE247" s="33"/>
      <c r="AF247" s="33"/>
      <c r="AG247" s="33"/>
      <c r="AH247" s="33"/>
      <c r="AI247" s="33"/>
      <c r="AJ247" s="33"/>
      <c r="AK247" s="33"/>
      <c r="AL247" s="33"/>
      <c r="AM247" s="33"/>
      <c r="AN247" s="33"/>
      <c r="AO247" s="33"/>
    </row>
    <row r="248" spans="1:41" ht="105">
      <c r="A248" s="14"/>
      <c r="B248" s="14"/>
      <c r="C248" s="14" t="s">
        <v>2114</v>
      </c>
      <c r="D248" s="14" t="s">
        <v>61</v>
      </c>
      <c r="E248" s="111" t="str">
        <f>VLOOKUP(C248,KELAS!$A$2:$D$643,4,0)</f>
        <v>5 MINA</v>
      </c>
      <c r="F248" s="14"/>
      <c r="G248" s="14"/>
      <c r="H248" s="43" t="s">
        <v>608</v>
      </c>
      <c r="I248" s="42">
        <v>1400000</v>
      </c>
      <c r="J248" s="87">
        <v>45971</v>
      </c>
      <c r="K248" s="88">
        <v>0.34212962962962962</v>
      </c>
      <c r="L248" s="39">
        <f t="shared" si="10"/>
        <v>0</v>
      </c>
      <c r="M248" s="20">
        <f t="shared" si="11"/>
        <v>-1400000</v>
      </c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  <c r="AE248" s="33"/>
      <c r="AF248" s="33"/>
      <c r="AG248" s="33"/>
      <c r="AH248" s="33"/>
      <c r="AI248" s="33"/>
      <c r="AJ248" s="33"/>
      <c r="AK248" s="33"/>
      <c r="AL248" s="33"/>
      <c r="AM248" s="33"/>
      <c r="AN248" s="33"/>
      <c r="AO248" s="33"/>
    </row>
    <row r="249" spans="1:41" ht="105">
      <c r="A249" s="14"/>
      <c r="B249" s="14"/>
      <c r="C249" s="14" t="s">
        <v>1601</v>
      </c>
      <c r="D249" s="14" t="s">
        <v>61</v>
      </c>
      <c r="E249" s="111" t="str">
        <f>VLOOKUP(C249,KELAS!$A$2:$D$643,4,0)</f>
        <v>3 MEKKAH</v>
      </c>
      <c r="F249" s="14"/>
      <c r="G249" s="14"/>
      <c r="H249" s="43" t="s">
        <v>610</v>
      </c>
      <c r="I249" s="42">
        <v>1400000</v>
      </c>
      <c r="J249" s="87">
        <v>45971</v>
      </c>
      <c r="K249" s="88">
        <v>0.36548611111111112</v>
      </c>
      <c r="L249" s="39">
        <f t="shared" si="10"/>
        <v>0</v>
      </c>
      <c r="M249" s="20">
        <f t="shared" si="11"/>
        <v>-1400000</v>
      </c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  <c r="AE249" s="33"/>
      <c r="AF249" s="33"/>
      <c r="AG249" s="33"/>
      <c r="AH249" s="33"/>
      <c r="AI249" s="33"/>
      <c r="AJ249" s="33"/>
      <c r="AK249" s="33"/>
      <c r="AL249" s="33"/>
      <c r="AM249" s="33"/>
      <c r="AN249" s="33"/>
      <c r="AO249" s="33"/>
    </row>
    <row r="250" spans="1:41" ht="75">
      <c r="A250" s="14"/>
      <c r="B250" s="14"/>
      <c r="C250" s="14" t="s">
        <v>1482</v>
      </c>
      <c r="D250" s="14" t="s">
        <v>61</v>
      </c>
      <c r="E250" s="111" t="str">
        <f>VLOOKUP(C250,KELAS!$A$2:$D$643,4,0)</f>
        <v>2 MINA</v>
      </c>
      <c r="F250" s="14"/>
      <c r="G250" s="14"/>
      <c r="H250" s="43" t="s">
        <v>612</v>
      </c>
      <c r="I250" s="42">
        <v>1540000</v>
      </c>
      <c r="J250" s="87">
        <v>45971</v>
      </c>
      <c r="K250" s="88">
        <v>0.37796296296296295</v>
      </c>
      <c r="L250" s="39">
        <f t="shared" si="10"/>
        <v>0</v>
      </c>
      <c r="M250" s="20">
        <f t="shared" si="11"/>
        <v>-1540000</v>
      </c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  <c r="AE250" s="33"/>
      <c r="AF250" s="33"/>
      <c r="AG250" s="33"/>
      <c r="AH250" s="33"/>
      <c r="AI250" s="33"/>
      <c r="AJ250" s="33"/>
      <c r="AK250" s="33"/>
      <c r="AL250" s="33"/>
      <c r="AM250" s="33"/>
      <c r="AN250" s="33"/>
      <c r="AO250" s="33"/>
    </row>
    <row r="251" spans="1:41" ht="105">
      <c r="A251" s="14"/>
      <c r="B251" s="14"/>
      <c r="C251" s="14" t="s">
        <v>1465</v>
      </c>
      <c r="D251" s="14" t="s">
        <v>61</v>
      </c>
      <c r="E251" s="111" t="str">
        <f>VLOOKUP(C251,KELAS!$A$2:$D$643,4,0)</f>
        <v>2 MADINAH</v>
      </c>
      <c r="F251" s="14"/>
      <c r="G251" s="14"/>
      <c r="H251" s="43" t="s">
        <v>614</v>
      </c>
      <c r="I251" s="42">
        <v>1540000</v>
      </c>
      <c r="J251" s="87">
        <v>45971</v>
      </c>
      <c r="K251" s="88">
        <v>0.38766203703703705</v>
      </c>
      <c r="L251" s="39">
        <f t="shared" si="10"/>
        <v>0</v>
      </c>
      <c r="M251" s="20">
        <f t="shared" si="11"/>
        <v>-1540000</v>
      </c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  <c r="AE251" s="33"/>
      <c r="AF251" s="33"/>
      <c r="AG251" s="33"/>
      <c r="AH251" s="33"/>
      <c r="AI251" s="33"/>
      <c r="AJ251" s="33"/>
      <c r="AK251" s="33"/>
      <c r="AL251" s="33"/>
      <c r="AM251" s="33"/>
      <c r="AN251" s="33"/>
      <c r="AO251" s="33"/>
    </row>
    <row r="252" spans="1:41" ht="90">
      <c r="A252" s="14"/>
      <c r="B252" s="14"/>
      <c r="C252" s="14" t="s">
        <v>1114</v>
      </c>
      <c r="D252" s="14" t="s">
        <v>61</v>
      </c>
      <c r="E252" s="111" t="str">
        <f>VLOOKUP(C252,KELAS!$A$2:$D$643,4,0)</f>
        <v>1 MEKKAH</v>
      </c>
      <c r="F252" s="14"/>
      <c r="G252" s="14"/>
      <c r="H252" s="43" t="s">
        <v>616</v>
      </c>
      <c r="I252" s="42">
        <v>1617000</v>
      </c>
      <c r="J252" s="87">
        <v>45971</v>
      </c>
      <c r="K252" s="88">
        <v>0.38953703703703701</v>
      </c>
      <c r="L252" s="39">
        <f t="shared" si="10"/>
        <v>0</v>
      </c>
      <c r="M252" s="20">
        <f t="shared" si="11"/>
        <v>-1617000</v>
      </c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  <c r="AE252" s="33"/>
      <c r="AF252" s="33"/>
      <c r="AG252" s="33"/>
      <c r="AH252" s="33"/>
      <c r="AI252" s="33"/>
      <c r="AJ252" s="33"/>
      <c r="AK252" s="33"/>
      <c r="AL252" s="33"/>
      <c r="AM252" s="33"/>
      <c r="AN252" s="33"/>
      <c r="AO252" s="33"/>
    </row>
    <row r="253" spans="1:41" ht="120">
      <c r="A253" s="14"/>
      <c r="B253" s="14"/>
      <c r="C253" s="14" t="s">
        <v>1553</v>
      </c>
      <c r="D253" s="14" t="s">
        <v>61</v>
      </c>
      <c r="E253" s="111" t="str">
        <f>VLOOKUP(C253,KELAS!$A$2:$D$643,4,0)</f>
        <v>2 MARWAH</v>
      </c>
      <c r="F253" s="14"/>
      <c r="G253" s="14"/>
      <c r="H253" s="43" t="s">
        <v>618</v>
      </c>
      <c r="I253" s="42">
        <v>1540000</v>
      </c>
      <c r="J253" s="87">
        <v>45971</v>
      </c>
      <c r="K253" s="88">
        <v>0.3913888888888889</v>
      </c>
      <c r="L253" s="39">
        <f t="shared" si="10"/>
        <v>0</v>
      </c>
      <c r="M253" s="20">
        <f t="shared" si="11"/>
        <v>-1540000</v>
      </c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  <c r="AF253" s="33"/>
      <c r="AG253" s="33"/>
      <c r="AH253" s="33"/>
      <c r="AI253" s="33"/>
      <c r="AJ253" s="33"/>
      <c r="AK253" s="33"/>
      <c r="AL253" s="33"/>
      <c r="AM253" s="33"/>
      <c r="AN253" s="33"/>
      <c r="AO253" s="33"/>
    </row>
    <row r="254" spans="1:41" ht="90">
      <c r="A254" s="14"/>
      <c r="B254" s="14"/>
      <c r="C254" s="14" t="s">
        <v>2261</v>
      </c>
      <c r="D254" s="14" t="s">
        <v>61</v>
      </c>
      <c r="E254" s="111" t="str">
        <f>VLOOKUP(C254,KELAS!$A$2:$D$643,4,0)</f>
        <v>6 MADINAH</v>
      </c>
      <c r="F254" s="14"/>
      <c r="G254" s="14"/>
      <c r="H254" s="43" t="s">
        <v>119</v>
      </c>
      <c r="I254" s="42">
        <v>1400000</v>
      </c>
      <c r="J254" s="87">
        <v>45971</v>
      </c>
      <c r="K254" s="88">
        <v>0.3988888888888889</v>
      </c>
      <c r="L254" s="39">
        <f t="shared" si="10"/>
        <v>0</v>
      </c>
      <c r="M254" s="20">
        <f t="shared" si="11"/>
        <v>-1400000</v>
      </c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  <c r="AE254" s="33"/>
      <c r="AF254" s="33"/>
      <c r="AG254" s="33"/>
      <c r="AH254" s="33"/>
      <c r="AI254" s="33"/>
      <c r="AJ254" s="33"/>
      <c r="AK254" s="33"/>
      <c r="AL254" s="33"/>
      <c r="AM254" s="33"/>
      <c r="AN254" s="33"/>
      <c r="AO254" s="33"/>
    </row>
    <row r="255" spans="1:41" ht="75">
      <c r="A255" s="14"/>
      <c r="B255" s="14"/>
      <c r="C255" s="14" t="s">
        <v>1384</v>
      </c>
      <c r="D255" s="14" t="s">
        <v>61</v>
      </c>
      <c r="E255" s="111" t="str">
        <f>VLOOKUP(C255,KELAS!$A$2:$D$643,4,0)</f>
        <v>2 MEKKAH</v>
      </c>
      <c r="F255" s="14"/>
      <c r="G255" s="14"/>
      <c r="H255" s="43" t="s">
        <v>621</v>
      </c>
      <c r="I255" s="42">
        <v>1540000</v>
      </c>
      <c r="J255" s="87">
        <v>45971</v>
      </c>
      <c r="K255" s="88">
        <v>0.44145833333333334</v>
      </c>
      <c r="L255" s="39">
        <f t="shared" si="10"/>
        <v>0</v>
      </c>
      <c r="M255" s="20">
        <f t="shared" si="11"/>
        <v>-1540000</v>
      </c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  <c r="AE255" s="33"/>
      <c r="AF255" s="33"/>
      <c r="AG255" s="33"/>
      <c r="AH255" s="33"/>
      <c r="AI255" s="33"/>
      <c r="AJ255" s="33"/>
      <c r="AK255" s="33"/>
      <c r="AL255" s="33"/>
      <c r="AM255" s="33"/>
      <c r="AN255" s="33"/>
      <c r="AO255" s="33"/>
    </row>
    <row r="256" spans="1:41" ht="75">
      <c r="A256" s="14"/>
      <c r="B256" s="14"/>
      <c r="C256" s="14" t="s">
        <v>2354</v>
      </c>
      <c r="D256" s="14" t="s">
        <v>61</v>
      </c>
      <c r="E256" s="111" t="e">
        <f>VLOOKUP(C256,KELAS!$A$2:$D$643,4,0)</f>
        <v>#N/A</v>
      </c>
      <c r="F256" s="14"/>
      <c r="G256" s="14"/>
      <c r="H256" s="43" t="s">
        <v>623</v>
      </c>
      <c r="I256" s="42">
        <v>1450000</v>
      </c>
      <c r="J256" s="87">
        <v>45971</v>
      </c>
      <c r="K256" s="88">
        <v>0.45383101851851854</v>
      </c>
      <c r="L256" s="39">
        <f t="shared" si="10"/>
        <v>0</v>
      </c>
      <c r="M256" s="20">
        <f t="shared" si="11"/>
        <v>-1450000</v>
      </c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  <c r="AE256" s="33"/>
      <c r="AF256" s="33"/>
      <c r="AG256" s="33"/>
      <c r="AH256" s="33"/>
      <c r="AI256" s="33"/>
      <c r="AJ256" s="33"/>
      <c r="AK256" s="33"/>
      <c r="AL256" s="33"/>
      <c r="AM256" s="33"/>
      <c r="AN256" s="33"/>
      <c r="AO256" s="33"/>
    </row>
    <row r="257" spans="1:41" ht="120">
      <c r="A257" s="14"/>
      <c r="B257" s="14"/>
      <c r="C257" s="14" t="s">
        <v>2355</v>
      </c>
      <c r="D257" s="14" t="s">
        <v>61</v>
      </c>
      <c r="E257" s="111" t="str">
        <f>VLOOKUP(C257,KELAS!$A$2:$D$643,4,0)</f>
        <v>6 MEKKAH</v>
      </c>
      <c r="F257" s="14"/>
      <c r="G257" s="14"/>
      <c r="H257" s="43" t="s">
        <v>625</v>
      </c>
      <c r="I257" s="42">
        <v>2800000</v>
      </c>
      <c r="J257" s="87">
        <v>45971</v>
      </c>
      <c r="K257" s="88">
        <v>0.47282407407407406</v>
      </c>
      <c r="L257" s="39">
        <f t="shared" si="10"/>
        <v>0</v>
      </c>
      <c r="M257" s="20">
        <f t="shared" si="11"/>
        <v>-2800000</v>
      </c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  <c r="AE257" s="33"/>
      <c r="AF257" s="33"/>
      <c r="AG257" s="33"/>
      <c r="AH257" s="33"/>
      <c r="AI257" s="33"/>
      <c r="AJ257" s="33"/>
      <c r="AK257" s="33"/>
      <c r="AL257" s="33"/>
      <c r="AM257" s="33"/>
      <c r="AN257" s="33"/>
      <c r="AO257" s="33"/>
    </row>
    <row r="258" spans="1:41" ht="105">
      <c r="A258" s="14"/>
      <c r="B258" s="14"/>
      <c r="C258" s="14" t="s">
        <v>1341</v>
      </c>
      <c r="D258" s="14" t="s">
        <v>61</v>
      </c>
      <c r="E258" s="111" t="str">
        <f>VLOOKUP(C258,KELAS!$A$2:$D$643,4,0)</f>
        <v>1 MARWAH/TAHFIDZ</v>
      </c>
      <c r="F258" s="14"/>
      <c r="G258" s="14"/>
      <c r="H258" s="43" t="s">
        <v>627</v>
      </c>
      <c r="I258" s="42">
        <v>1617000</v>
      </c>
      <c r="J258" s="87">
        <v>45971</v>
      </c>
      <c r="K258" s="88">
        <v>0.51745370370370369</v>
      </c>
      <c r="L258" s="39">
        <f t="shared" si="10"/>
        <v>0</v>
      </c>
      <c r="M258" s="20">
        <f t="shared" si="11"/>
        <v>-1617000</v>
      </c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  <c r="AD258" s="33"/>
      <c r="AE258" s="33"/>
      <c r="AF258" s="33"/>
      <c r="AG258" s="33"/>
      <c r="AH258" s="33"/>
      <c r="AI258" s="33"/>
      <c r="AJ258" s="33"/>
      <c r="AK258" s="33"/>
      <c r="AL258" s="33"/>
      <c r="AM258" s="33"/>
      <c r="AN258" s="33"/>
      <c r="AO258" s="33"/>
    </row>
    <row r="259" spans="1:41" ht="105">
      <c r="A259" s="14"/>
      <c r="B259" s="14"/>
      <c r="C259" s="14" t="s">
        <v>1761</v>
      </c>
      <c r="D259" s="14" t="s">
        <v>61</v>
      </c>
      <c r="E259" s="111" t="str">
        <f>VLOOKUP(C259,KELAS!$A$2:$D$643,4,0)</f>
        <v>3 MINA</v>
      </c>
      <c r="F259" s="14"/>
      <c r="G259" s="14"/>
      <c r="H259" s="43" t="s">
        <v>152</v>
      </c>
      <c r="I259" s="42">
        <v>1540000</v>
      </c>
      <c r="J259" s="87">
        <v>45971</v>
      </c>
      <c r="K259" s="88">
        <v>0.53594907407407411</v>
      </c>
      <c r="L259" s="39">
        <f t="shared" si="10"/>
        <v>0</v>
      </c>
      <c r="M259" s="20">
        <f t="shared" si="11"/>
        <v>-1540000</v>
      </c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  <c r="AE259" s="33"/>
      <c r="AF259" s="33"/>
      <c r="AG259" s="33"/>
      <c r="AH259" s="33"/>
      <c r="AI259" s="33"/>
      <c r="AJ259" s="33"/>
      <c r="AK259" s="33"/>
      <c r="AL259" s="33"/>
      <c r="AM259" s="33"/>
      <c r="AN259" s="33"/>
      <c r="AO259" s="33"/>
    </row>
    <row r="260" spans="1:41" ht="105">
      <c r="A260" s="14"/>
      <c r="B260" s="14"/>
      <c r="C260" s="14" t="s">
        <v>1395</v>
      </c>
      <c r="D260" s="14" t="s">
        <v>61</v>
      </c>
      <c r="E260" s="111" t="str">
        <f>VLOOKUP(C260,KELAS!$A$2:$D$643,4,0)</f>
        <v>2 MEKKAH</v>
      </c>
      <c r="F260" s="14"/>
      <c r="G260" s="14"/>
      <c r="H260" s="43" t="s">
        <v>630</v>
      </c>
      <c r="I260" s="42">
        <v>1540000</v>
      </c>
      <c r="J260" s="87">
        <v>45971</v>
      </c>
      <c r="K260" s="88">
        <v>0.54043981481481485</v>
      </c>
      <c r="L260" s="39">
        <f t="shared" si="10"/>
        <v>0</v>
      </c>
      <c r="M260" s="20">
        <f t="shared" si="11"/>
        <v>-1540000</v>
      </c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  <c r="AE260" s="33"/>
      <c r="AF260" s="33"/>
      <c r="AG260" s="33"/>
      <c r="AH260" s="33"/>
      <c r="AI260" s="33"/>
      <c r="AJ260" s="33"/>
      <c r="AK260" s="33"/>
      <c r="AL260" s="33"/>
      <c r="AM260" s="33"/>
      <c r="AN260" s="33"/>
      <c r="AO260" s="33"/>
    </row>
    <row r="261" spans="1:41" ht="135">
      <c r="A261" s="14"/>
      <c r="B261" s="14"/>
      <c r="C261" s="14" t="s">
        <v>2072</v>
      </c>
      <c r="D261" s="14" t="s">
        <v>61</v>
      </c>
      <c r="E261" s="111" t="str">
        <f>VLOOKUP(C261,KELAS!$A$2:$D$643,4,0)</f>
        <v>5 MADINAH</v>
      </c>
      <c r="F261" s="14"/>
      <c r="G261" s="14"/>
      <c r="H261" s="43" t="s">
        <v>632</v>
      </c>
      <c r="I261" s="42">
        <v>2800000</v>
      </c>
      <c r="J261" s="87">
        <v>45971</v>
      </c>
      <c r="K261" s="88">
        <v>0.65902777777777777</v>
      </c>
      <c r="L261" s="39">
        <f t="shared" si="10"/>
        <v>0</v>
      </c>
      <c r="M261" s="20">
        <f t="shared" si="11"/>
        <v>-2800000</v>
      </c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  <c r="AE261" s="33"/>
      <c r="AF261" s="33"/>
      <c r="AG261" s="33"/>
      <c r="AH261" s="33"/>
      <c r="AI261" s="33"/>
      <c r="AJ261" s="33"/>
      <c r="AK261" s="33"/>
      <c r="AL261" s="33"/>
      <c r="AM261" s="33"/>
      <c r="AN261" s="33"/>
      <c r="AO261" s="33"/>
    </row>
    <row r="262" spans="1:41" ht="120">
      <c r="A262" s="14"/>
      <c r="B262" s="14"/>
      <c r="C262" s="14" t="s">
        <v>1401</v>
      </c>
      <c r="D262" s="14" t="s">
        <v>61</v>
      </c>
      <c r="E262" s="111" t="str">
        <f>VLOOKUP(C262,KELAS!$A$2:$D$643,4,0)</f>
        <v>2 MEKKAH</v>
      </c>
      <c r="F262" s="14"/>
      <c r="G262" s="14"/>
      <c r="H262" s="43" t="s">
        <v>634</v>
      </c>
      <c r="I262" s="42">
        <v>1540000</v>
      </c>
      <c r="J262" s="87">
        <v>45971</v>
      </c>
      <c r="K262" s="88">
        <v>0.66082175925925923</v>
      </c>
      <c r="L262" s="39">
        <f t="shared" si="10"/>
        <v>0</v>
      </c>
      <c r="M262" s="20">
        <f t="shared" si="11"/>
        <v>-1540000</v>
      </c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  <c r="AD262" s="33"/>
      <c r="AE262" s="33"/>
      <c r="AF262" s="33"/>
      <c r="AG262" s="33"/>
      <c r="AH262" s="33"/>
      <c r="AI262" s="33"/>
      <c r="AJ262" s="33"/>
      <c r="AK262" s="33"/>
      <c r="AL262" s="33"/>
      <c r="AM262" s="33"/>
      <c r="AN262" s="33"/>
      <c r="AO262" s="33"/>
    </row>
    <row r="263" spans="1:41" ht="135">
      <c r="A263" s="14"/>
      <c r="B263" s="14"/>
      <c r="C263" s="14" t="s">
        <v>1916</v>
      </c>
      <c r="D263" s="14" t="s">
        <v>61</v>
      </c>
      <c r="E263" s="111" t="str">
        <f>VLOOKUP(C263,KELAS!$A$2:$D$643,4,0)</f>
        <v>4 MADINAH</v>
      </c>
      <c r="F263" s="14"/>
      <c r="G263" s="14"/>
      <c r="H263" s="43" t="s">
        <v>636</v>
      </c>
      <c r="I263" s="42">
        <v>2900000</v>
      </c>
      <c r="J263" s="87">
        <v>45971</v>
      </c>
      <c r="K263" s="88">
        <v>0.66118055555555555</v>
      </c>
      <c r="L263" s="39">
        <f t="shared" si="10"/>
        <v>0</v>
      </c>
      <c r="M263" s="20">
        <f t="shared" si="11"/>
        <v>-2900000</v>
      </c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  <c r="AD263" s="33"/>
      <c r="AE263" s="33"/>
      <c r="AF263" s="33"/>
      <c r="AG263" s="33"/>
      <c r="AH263" s="33"/>
      <c r="AI263" s="33"/>
      <c r="AJ263" s="33"/>
      <c r="AK263" s="33"/>
      <c r="AL263" s="33"/>
      <c r="AM263" s="33"/>
      <c r="AN263" s="33"/>
      <c r="AO263" s="33"/>
    </row>
    <row r="264" spans="1:41" ht="90">
      <c r="A264" s="14"/>
      <c r="B264" s="14"/>
      <c r="C264" s="14" t="s">
        <v>1247</v>
      </c>
      <c r="D264" s="14" t="s">
        <v>61</v>
      </c>
      <c r="E264" s="111" t="str">
        <f>VLOOKUP(C264,KELAS!$A$2:$D$643,4,0)</f>
        <v>1 MINA</v>
      </c>
      <c r="F264" s="14"/>
      <c r="G264" s="14"/>
      <c r="H264" s="43" t="s">
        <v>638</v>
      </c>
      <c r="I264" s="42">
        <v>1617000</v>
      </c>
      <c r="J264" s="87">
        <v>45971</v>
      </c>
      <c r="K264" s="88">
        <v>0.6646643518518518</v>
      </c>
      <c r="L264" s="39">
        <f t="shared" si="10"/>
        <v>0</v>
      </c>
      <c r="M264" s="20">
        <f t="shared" si="11"/>
        <v>-1617000</v>
      </c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  <c r="AC264" s="33"/>
      <c r="AD264" s="33"/>
      <c r="AE264" s="33"/>
      <c r="AF264" s="33"/>
      <c r="AG264" s="33"/>
      <c r="AH264" s="33"/>
      <c r="AI264" s="33"/>
      <c r="AJ264" s="33"/>
      <c r="AK264" s="33"/>
      <c r="AL264" s="33"/>
      <c r="AM264" s="33"/>
      <c r="AN264" s="33"/>
      <c r="AO264" s="33"/>
    </row>
    <row r="265" spans="1:41" ht="90">
      <c r="A265" s="14"/>
      <c r="B265" s="14"/>
      <c r="C265" s="14" t="s">
        <v>1459</v>
      </c>
      <c r="D265" s="14" t="s">
        <v>61</v>
      </c>
      <c r="E265" s="111" t="str">
        <f>VLOOKUP(C265,KELAS!$A$2:$D$643,4,0)</f>
        <v>2 MADINAH</v>
      </c>
      <c r="F265" s="14"/>
      <c r="G265" s="14"/>
      <c r="H265" s="43" t="s">
        <v>87</v>
      </c>
      <c r="I265" s="42">
        <v>1540000</v>
      </c>
      <c r="J265" s="87">
        <v>45971</v>
      </c>
      <c r="K265" s="88">
        <v>0.6662731481481482</v>
      </c>
      <c r="L265" s="39">
        <f t="shared" si="10"/>
        <v>0</v>
      </c>
      <c r="M265" s="20">
        <f t="shared" si="11"/>
        <v>-1540000</v>
      </c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  <c r="AD265" s="33"/>
      <c r="AE265" s="33"/>
      <c r="AF265" s="33"/>
      <c r="AG265" s="33"/>
      <c r="AH265" s="33"/>
      <c r="AI265" s="33"/>
      <c r="AJ265" s="33"/>
      <c r="AK265" s="33"/>
      <c r="AL265" s="33"/>
      <c r="AM265" s="33"/>
      <c r="AN265" s="33"/>
      <c r="AO265" s="33"/>
    </row>
    <row r="266" spans="1:41" ht="75">
      <c r="A266" s="14"/>
      <c r="B266" s="14"/>
      <c r="C266" s="14" t="s">
        <v>1535</v>
      </c>
      <c r="D266" s="14" t="s">
        <v>61</v>
      </c>
      <c r="E266" s="111" t="str">
        <f>VLOOKUP(C266,KELAS!$A$2:$D$643,4,0)</f>
        <v>2 MINA</v>
      </c>
      <c r="F266" s="14"/>
      <c r="G266" s="14"/>
      <c r="H266" s="43" t="s">
        <v>641</v>
      </c>
      <c r="I266" s="42">
        <v>1617000</v>
      </c>
      <c r="J266" s="87">
        <v>45971</v>
      </c>
      <c r="K266" s="88">
        <v>0.67307870370370371</v>
      </c>
      <c r="L266" s="39">
        <f t="shared" si="10"/>
        <v>0</v>
      </c>
      <c r="M266" s="20">
        <f t="shared" si="11"/>
        <v>-1617000</v>
      </c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  <c r="AE266" s="33"/>
      <c r="AF266" s="33"/>
      <c r="AG266" s="33"/>
      <c r="AH266" s="33"/>
      <c r="AI266" s="33"/>
      <c r="AJ266" s="33"/>
      <c r="AK266" s="33"/>
      <c r="AL266" s="33"/>
      <c r="AM266" s="33"/>
      <c r="AN266" s="33"/>
      <c r="AO266" s="33"/>
    </row>
    <row r="267" spans="1:41" ht="105">
      <c r="A267" s="14"/>
      <c r="B267" s="14"/>
      <c r="C267" s="14" t="s">
        <v>1741</v>
      </c>
      <c r="D267" s="14" t="s">
        <v>61</v>
      </c>
      <c r="E267" s="111" t="str">
        <f>VLOOKUP(C267,KELAS!$A$2:$D$643,4,0)</f>
        <v>3 MINA</v>
      </c>
      <c r="F267" s="14"/>
      <c r="G267" s="14"/>
      <c r="H267" s="43" t="s">
        <v>171</v>
      </c>
      <c r="I267" s="42">
        <v>1450000</v>
      </c>
      <c r="J267" s="87">
        <v>45971</v>
      </c>
      <c r="K267" s="88">
        <v>0.74268518518518523</v>
      </c>
      <c r="L267" s="39">
        <f t="shared" si="10"/>
        <v>0</v>
      </c>
      <c r="M267" s="20">
        <f t="shared" si="11"/>
        <v>-1450000</v>
      </c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  <c r="AE267" s="33"/>
      <c r="AF267" s="33"/>
      <c r="AG267" s="33"/>
      <c r="AH267" s="33"/>
      <c r="AI267" s="33"/>
      <c r="AJ267" s="33"/>
      <c r="AK267" s="33"/>
      <c r="AL267" s="33"/>
      <c r="AM267" s="33"/>
      <c r="AN267" s="33"/>
      <c r="AO267" s="33"/>
    </row>
    <row r="268" spans="1:41" ht="90">
      <c r="A268" s="14"/>
      <c r="B268" s="14"/>
      <c r="C268" s="14" t="s">
        <v>1179</v>
      </c>
      <c r="D268" s="14" t="s">
        <v>61</v>
      </c>
      <c r="E268" s="111" t="str">
        <f>VLOOKUP(C268,KELAS!$A$2:$D$643,4,0)</f>
        <v>1 MADINAH</v>
      </c>
      <c r="F268" s="14"/>
      <c r="G268" s="14"/>
      <c r="H268" s="43" t="s">
        <v>644</v>
      </c>
      <c r="I268" s="42">
        <v>1617000</v>
      </c>
      <c r="J268" s="87">
        <v>45971</v>
      </c>
      <c r="K268" s="88">
        <v>0.8190277777777778</v>
      </c>
      <c r="L268" s="39">
        <f t="shared" si="10"/>
        <v>0</v>
      </c>
      <c r="M268" s="20">
        <f t="shared" si="11"/>
        <v>-1617000</v>
      </c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  <c r="AE268" s="33"/>
      <c r="AF268" s="33"/>
      <c r="AG268" s="33"/>
      <c r="AH268" s="33"/>
      <c r="AI268" s="33"/>
      <c r="AJ268" s="33"/>
      <c r="AK268" s="33"/>
      <c r="AL268" s="33"/>
      <c r="AM268" s="33"/>
      <c r="AN268" s="33"/>
      <c r="AO268" s="33"/>
    </row>
    <row r="269" spans="1:41" ht="105">
      <c r="A269" s="14"/>
      <c r="B269" s="14"/>
      <c r="C269" s="14" t="s">
        <v>2225</v>
      </c>
      <c r="D269" s="14" t="s">
        <v>61</v>
      </c>
      <c r="E269" s="111" t="str">
        <f>VLOOKUP(C269,KELAS!$A$2:$D$643,4,0)</f>
        <v>6 MADINAH</v>
      </c>
      <c r="F269" s="14"/>
      <c r="G269" s="14"/>
      <c r="H269" s="43" t="s">
        <v>646</v>
      </c>
      <c r="I269" s="42">
        <v>1400000</v>
      </c>
      <c r="J269" s="87">
        <v>45971</v>
      </c>
      <c r="K269" s="88">
        <v>0.81990740740740742</v>
      </c>
      <c r="L269" s="39">
        <f t="shared" si="10"/>
        <v>0</v>
      </c>
      <c r="M269" s="20">
        <f t="shared" si="11"/>
        <v>-1400000</v>
      </c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  <c r="AE269" s="33"/>
      <c r="AF269" s="33"/>
      <c r="AG269" s="33"/>
      <c r="AH269" s="33"/>
      <c r="AI269" s="33"/>
      <c r="AJ269" s="33"/>
      <c r="AK269" s="33"/>
      <c r="AL269" s="33"/>
      <c r="AM269" s="33"/>
      <c r="AN269" s="33"/>
      <c r="AO269" s="33"/>
    </row>
    <row r="270" spans="1:41" ht="105">
      <c r="A270" s="14"/>
      <c r="B270" s="14"/>
      <c r="C270" s="14" t="s">
        <v>2197</v>
      </c>
      <c r="D270" s="14" t="s">
        <v>61</v>
      </c>
      <c r="E270" s="111" t="str">
        <f>VLOOKUP(C270,KELAS!$A$2:$D$643,4,0)</f>
        <v>6 MEKKAH</v>
      </c>
      <c r="F270" s="14"/>
      <c r="G270" s="14"/>
      <c r="H270" s="43" t="s">
        <v>648</v>
      </c>
      <c r="I270" s="42">
        <v>1400000</v>
      </c>
      <c r="J270" s="87">
        <v>45971</v>
      </c>
      <c r="K270" s="88">
        <v>0.85403935185185187</v>
      </c>
      <c r="L270" s="39">
        <f t="shared" si="10"/>
        <v>0</v>
      </c>
      <c r="M270" s="20">
        <f t="shared" si="11"/>
        <v>-1400000</v>
      </c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  <c r="AE270" s="33"/>
      <c r="AF270" s="33"/>
      <c r="AG270" s="33"/>
      <c r="AH270" s="33"/>
      <c r="AI270" s="33"/>
      <c r="AJ270" s="33"/>
      <c r="AK270" s="33"/>
      <c r="AL270" s="33"/>
      <c r="AM270" s="33"/>
      <c r="AN270" s="33"/>
      <c r="AO270" s="33"/>
    </row>
    <row r="271" spans="1:41" ht="105">
      <c r="A271" s="14"/>
      <c r="B271" s="14"/>
      <c r="C271" s="14" t="s">
        <v>2356</v>
      </c>
      <c r="D271" s="14" t="s">
        <v>61</v>
      </c>
      <c r="E271" s="111" t="e">
        <f>VLOOKUP(C271,KELAS!$A$2:$D$643,4,0)</f>
        <v>#N/A</v>
      </c>
      <c r="F271" s="14"/>
      <c r="G271" s="14"/>
      <c r="H271" s="43" t="s">
        <v>650</v>
      </c>
      <c r="I271" s="42">
        <v>1400000</v>
      </c>
      <c r="J271" s="87">
        <v>45971</v>
      </c>
      <c r="K271" s="88">
        <v>0.86089120370370376</v>
      </c>
      <c r="L271" s="39">
        <f t="shared" si="10"/>
        <v>0</v>
      </c>
      <c r="M271" s="20">
        <f t="shared" si="11"/>
        <v>-1400000</v>
      </c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  <c r="AE271" s="33"/>
      <c r="AF271" s="33"/>
      <c r="AG271" s="33"/>
      <c r="AH271" s="33"/>
      <c r="AI271" s="33"/>
      <c r="AJ271" s="33"/>
      <c r="AK271" s="33"/>
      <c r="AL271" s="33"/>
      <c r="AM271" s="33"/>
      <c r="AN271" s="33"/>
      <c r="AO271" s="33"/>
    </row>
    <row r="272" spans="1:41" ht="105">
      <c r="A272" s="14"/>
      <c r="B272" s="14"/>
      <c r="C272" s="14" t="s">
        <v>1596</v>
      </c>
      <c r="D272" s="14" t="s">
        <v>61</v>
      </c>
      <c r="E272" s="111" t="str">
        <f>VLOOKUP(C272,KELAS!$A$2:$D$643,4,0)</f>
        <v>3 MEKKAH</v>
      </c>
      <c r="F272" s="14"/>
      <c r="G272" s="14"/>
      <c r="H272" s="43" t="s">
        <v>652</v>
      </c>
      <c r="I272" s="42">
        <v>1617000</v>
      </c>
      <c r="J272" s="87">
        <v>45971</v>
      </c>
      <c r="K272" s="88">
        <v>0.89317129629629632</v>
      </c>
      <c r="L272" s="39">
        <f t="shared" si="10"/>
        <v>0</v>
      </c>
      <c r="M272" s="20">
        <f t="shared" si="11"/>
        <v>-1617000</v>
      </c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  <c r="AE272" s="33"/>
      <c r="AF272" s="33"/>
      <c r="AG272" s="33"/>
      <c r="AH272" s="33"/>
      <c r="AI272" s="33"/>
      <c r="AJ272" s="33"/>
      <c r="AK272" s="33"/>
      <c r="AL272" s="33"/>
      <c r="AM272" s="33"/>
      <c r="AN272" s="33"/>
      <c r="AO272" s="33"/>
    </row>
    <row r="273" spans="1:41" ht="120">
      <c r="A273" s="14"/>
      <c r="B273" s="14"/>
      <c r="C273" s="14" t="s">
        <v>2357</v>
      </c>
      <c r="D273" s="14" t="s">
        <v>61</v>
      </c>
      <c r="E273" s="111" t="e">
        <f>VLOOKUP(C273,KELAS!$A$2:$D$643,4,0)</f>
        <v>#N/A</v>
      </c>
      <c r="F273" s="14"/>
      <c r="G273" s="14"/>
      <c r="H273" s="43" t="s">
        <v>654</v>
      </c>
      <c r="I273" s="42">
        <v>1617000</v>
      </c>
      <c r="J273" s="87">
        <v>45971</v>
      </c>
      <c r="K273" s="88">
        <v>0.89859953703703699</v>
      </c>
      <c r="L273" s="39">
        <f t="shared" si="10"/>
        <v>0</v>
      </c>
      <c r="M273" s="20">
        <f t="shared" si="11"/>
        <v>-1617000</v>
      </c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  <c r="AE273" s="33"/>
      <c r="AF273" s="33"/>
      <c r="AG273" s="33"/>
      <c r="AH273" s="33"/>
      <c r="AI273" s="33"/>
      <c r="AJ273" s="33"/>
      <c r="AK273" s="33"/>
      <c r="AL273" s="33"/>
      <c r="AM273" s="33"/>
      <c r="AN273" s="33"/>
      <c r="AO273" s="33"/>
    </row>
    <row r="274" spans="1:41" ht="105">
      <c r="A274" s="14"/>
      <c r="B274" s="14"/>
      <c r="C274" s="14" t="s">
        <v>1134</v>
      </c>
      <c r="D274" s="14" t="s">
        <v>61</v>
      </c>
      <c r="E274" s="111" t="str">
        <f>VLOOKUP(C274,KELAS!$A$2:$D$643,4,0)</f>
        <v>1 MEKKAH</v>
      </c>
      <c r="F274" s="14"/>
      <c r="G274" s="14"/>
      <c r="H274" s="43" t="s">
        <v>656</v>
      </c>
      <c r="I274" s="42">
        <v>1617000</v>
      </c>
      <c r="J274" s="87">
        <v>45971</v>
      </c>
      <c r="K274" s="88">
        <v>0.92212962962962963</v>
      </c>
      <c r="L274" s="39">
        <f t="shared" si="10"/>
        <v>0</v>
      </c>
      <c r="M274" s="20">
        <f t="shared" si="11"/>
        <v>-1617000</v>
      </c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  <c r="AE274" s="33"/>
      <c r="AF274" s="33"/>
      <c r="AG274" s="33"/>
      <c r="AH274" s="33"/>
      <c r="AI274" s="33"/>
      <c r="AJ274" s="33"/>
      <c r="AK274" s="33"/>
      <c r="AL274" s="33"/>
      <c r="AM274" s="33"/>
      <c r="AN274" s="33"/>
      <c r="AO274" s="33"/>
    </row>
    <row r="275" spans="1:41" ht="75">
      <c r="A275" s="14"/>
      <c r="B275" s="14"/>
      <c r="C275" s="14" t="s">
        <v>2358</v>
      </c>
      <c r="D275" s="14" t="s">
        <v>61</v>
      </c>
      <c r="E275" s="111" t="e">
        <f>VLOOKUP(C275,KELAS!$A$2:$D$643,4,0)</f>
        <v>#N/A</v>
      </c>
      <c r="F275" s="14"/>
      <c r="G275" s="14"/>
      <c r="H275" s="43" t="s">
        <v>658</v>
      </c>
      <c r="I275" s="42">
        <v>1400000</v>
      </c>
      <c r="J275" s="87">
        <v>45972</v>
      </c>
      <c r="K275" s="88">
        <v>0.1577662037037037</v>
      </c>
      <c r="L275" s="38">
        <f t="shared" si="10"/>
        <v>0</v>
      </c>
      <c r="M275" s="17">
        <f t="shared" si="11"/>
        <v>-1400000</v>
      </c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  <c r="AE275" s="33"/>
      <c r="AF275" s="33"/>
      <c r="AG275" s="33"/>
      <c r="AH275" s="33"/>
      <c r="AI275" s="33"/>
      <c r="AJ275" s="33"/>
      <c r="AK275" s="33"/>
      <c r="AL275" s="33"/>
      <c r="AM275" s="33"/>
      <c r="AN275" s="33"/>
      <c r="AO275" s="33"/>
    </row>
    <row r="276" spans="1:41" ht="75">
      <c r="A276" s="14"/>
      <c r="B276" s="14"/>
      <c r="C276" s="14" t="s">
        <v>1249</v>
      </c>
      <c r="D276" s="14" t="s">
        <v>61</v>
      </c>
      <c r="E276" s="111" t="str">
        <f>VLOOKUP(C276,KELAS!$A$2:$D$643,4,0)</f>
        <v>1 MINA</v>
      </c>
      <c r="F276" s="14"/>
      <c r="G276" s="14"/>
      <c r="H276" s="43" t="s">
        <v>660</v>
      </c>
      <c r="I276" s="44">
        <v>1617000</v>
      </c>
      <c r="J276" s="87">
        <v>45972</v>
      </c>
      <c r="K276" s="88">
        <v>0.15942129629629628</v>
      </c>
      <c r="L276" s="38">
        <f t="shared" si="10"/>
        <v>0</v>
      </c>
      <c r="M276" s="17">
        <f t="shared" si="11"/>
        <v>-1617000</v>
      </c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  <c r="AE276" s="33"/>
      <c r="AF276" s="33"/>
      <c r="AG276" s="33"/>
      <c r="AH276" s="33"/>
      <c r="AI276" s="33"/>
      <c r="AJ276" s="33"/>
      <c r="AK276" s="33"/>
      <c r="AL276" s="33"/>
      <c r="AM276" s="33"/>
      <c r="AN276" s="33"/>
      <c r="AO276" s="33"/>
    </row>
    <row r="277" spans="1:41" ht="90">
      <c r="A277" s="14"/>
      <c r="B277" s="14"/>
      <c r="C277" s="14" t="s">
        <v>2054</v>
      </c>
      <c r="D277" s="14" t="s">
        <v>61</v>
      </c>
      <c r="E277" s="111" t="str">
        <f>VLOOKUP(C277,KELAS!$A$2:$D$643,4,0)</f>
        <v>5 MEKKAH</v>
      </c>
      <c r="F277" s="14"/>
      <c r="G277" s="14"/>
      <c r="H277" s="43" t="s">
        <v>662</v>
      </c>
      <c r="I277" s="44">
        <v>1400000</v>
      </c>
      <c r="J277" s="87">
        <v>45972</v>
      </c>
      <c r="K277" s="88">
        <v>0.23741898148148149</v>
      </c>
      <c r="L277" s="38">
        <f t="shared" si="10"/>
        <v>0</v>
      </c>
      <c r="M277" s="17">
        <f t="shared" si="11"/>
        <v>-1400000</v>
      </c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  <c r="AE277" s="33"/>
      <c r="AF277" s="33"/>
      <c r="AG277" s="33"/>
      <c r="AH277" s="33"/>
      <c r="AI277" s="33"/>
      <c r="AJ277" s="33"/>
      <c r="AK277" s="33"/>
      <c r="AL277" s="33"/>
      <c r="AM277" s="33"/>
      <c r="AN277" s="33"/>
      <c r="AO277" s="33"/>
    </row>
    <row r="278" spans="1:41" ht="90">
      <c r="A278" s="14"/>
      <c r="B278" s="14"/>
      <c r="C278" s="14" t="s">
        <v>1224</v>
      </c>
      <c r="D278" s="14" t="s">
        <v>61</v>
      </c>
      <c r="E278" s="111" t="str">
        <f>VLOOKUP(C278,KELAS!$A$2:$D$643,4,0)</f>
        <v>1 MADINAH</v>
      </c>
      <c r="F278" s="14"/>
      <c r="G278" s="14"/>
      <c r="H278" s="43" t="s">
        <v>664</v>
      </c>
      <c r="I278" s="44">
        <v>1617000</v>
      </c>
      <c r="J278" s="87">
        <v>45972</v>
      </c>
      <c r="K278" s="88">
        <v>0.2408912037037037</v>
      </c>
      <c r="L278" s="38">
        <f t="shared" si="10"/>
        <v>0</v>
      </c>
      <c r="M278" s="17">
        <f t="shared" si="11"/>
        <v>-1617000</v>
      </c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  <c r="AE278" s="33"/>
      <c r="AF278" s="33"/>
      <c r="AG278" s="33"/>
      <c r="AH278" s="33"/>
      <c r="AI278" s="33"/>
      <c r="AJ278" s="33"/>
      <c r="AK278" s="33"/>
      <c r="AL278" s="33"/>
      <c r="AM278" s="33"/>
      <c r="AN278" s="33"/>
      <c r="AO278" s="33"/>
    </row>
    <row r="279" spans="1:41" ht="90">
      <c r="A279" s="14"/>
      <c r="B279" s="14"/>
      <c r="C279" s="14" t="s">
        <v>2359</v>
      </c>
      <c r="D279" s="14" t="s">
        <v>61</v>
      </c>
      <c r="E279" s="111" t="e">
        <f>VLOOKUP(C279,KELAS!$A$2:$D$643,4,0)</f>
        <v>#N/A</v>
      </c>
      <c r="F279" s="14"/>
      <c r="G279" s="14"/>
      <c r="H279" s="43" t="s">
        <v>666</v>
      </c>
      <c r="I279" s="44">
        <v>1540000</v>
      </c>
      <c r="J279" s="87">
        <v>45972</v>
      </c>
      <c r="K279" s="88">
        <v>0.29289351851851853</v>
      </c>
      <c r="L279" s="38">
        <f t="shared" si="10"/>
        <v>0</v>
      </c>
      <c r="M279" s="17">
        <f t="shared" si="11"/>
        <v>-1540000</v>
      </c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  <c r="AD279" s="33"/>
      <c r="AE279" s="33"/>
      <c r="AF279" s="33"/>
      <c r="AG279" s="33"/>
      <c r="AH279" s="33"/>
      <c r="AI279" s="33"/>
      <c r="AJ279" s="33"/>
      <c r="AK279" s="33"/>
      <c r="AL279" s="33"/>
      <c r="AM279" s="33"/>
      <c r="AN279" s="33"/>
      <c r="AO279" s="33"/>
    </row>
    <row r="280" spans="1:41" ht="120">
      <c r="A280" s="14"/>
      <c r="B280" s="14"/>
      <c r="C280" s="14" t="s">
        <v>1484</v>
      </c>
      <c r="D280" s="14" t="s">
        <v>61</v>
      </c>
      <c r="E280" s="111" t="str">
        <f>VLOOKUP(C280,KELAS!$A$2:$D$643,4,0)</f>
        <v>2 MINA</v>
      </c>
      <c r="F280" s="14"/>
      <c r="G280" s="14"/>
      <c r="H280" s="43" t="s">
        <v>668</v>
      </c>
      <c r="I280" s="44">
        <v>1540000</v>
      </c>
      <c r="J280" s="87">
        <v>45972</v>
      </c>
      <c r="K280" s="88">
        <v>0.33012731481481483</v>
      </c>
      <c r="L280" s="38">
        <f t="shared" si="10"/>
        <v>0</v>
      </c>
      <c r="M280" s="17">
        <f t="shared" si="11"/>
        <v>-1540000</v>
      </c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  <c r="AD280" s="33"/>
      <c r="AE280" s="33"/>
      <c r="AF280" s="33"/>
      <c r="AG280" s="33"/>
      <c r="AH280" s="33"/>
      <c r="AI280" s="33"/>
      <c r="AJ280" s="33"/>
      <c r="AK280" s="33"/>
      <c r="AL280" s="33"/>
      <c r="AM280" s="33"/>
      <c r="AN280" s="33"/>
      <c r="AO280" s="33"/>
    </row>
    <row r="281" spans="1:41" ht="105">
      <c r="A281" s="14"/>
      <c r="B281" s="14"/>
      <c r="C281" s="14" t="s">
        <v>1928</v>
      </c>
      <c r="D281" s="14" t="s">
        <v>61</v>
      </c>
      <c r="E281" s="111" t="str">
        <f>VLOOKUP(C281,KELAS!$A$2:$D$643,4,0)</f>
        <v>4 MADINAH</v>
      </c>
      <c r="F281" s="14"/>
      <c r="G281" s="14"/>
      <c r="H281" s="43" t="s">
        <v>670</v>
      </c>
      <c r="I281" s="44">
        <v>1450000</v>
      </c>
      <c r="J281" s="87">
        <v>45972</v>
      </c>
      <c r="K281" s="88">
        <v>0.34697916666666667</v>
      </c>
      <c r="L281" s="38">
        <f t="shared" si="10"/>
        <v>0</v>
      </c>
      <c r="M281" s="17">
        <f t="shared" si="11"/>
        <v>-1450000</v>
      </c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  <c r="AE281" s="33"/>
      <c r="AF281" s="33"/>
      <c r="AG281" s="33"/>
      <c r="AH281" s="33"/>
      <c r="AI281" s="33"/>
      <c r="AJ281" s="33"/>
      <c r="AK281" s="33"/>
      <c r="AL281" s="33"/>
      <c r="AM281" s="33"/>
      <c r="AN281" s="33"/>
      <c r="AO281" s="33"/>
    </row>
    <row r="282" spans="1:41" ht="105">
      <c r="A282" s="14"/>
      <c r="B282" s="14"/>
      <c r="C282" s="14" t="s">
        <v>2091</v>
      </c>
      <c r="D282" s="14" t="s">
        <v>61</v>
      </c>
      <c r="E282" s="111" t="str">
        <f>VLOOKUP(C282,KELAS!$A$2:$D$643,4,0)</f>
        <v>5 MADINAH</v>
      </c>
      <c r="F282" s="14"/>
      <c r="G282" s="14"/>
      <c r="H282" s="43" t="s">
        <v>672</v>
      </c>
      <c r="I282" s="44">
        <v>700000</v>
      </c>
      <c r="J282" s="87">
        <v>45972</v>
      </c>
      <c r="K282" s="88">
        <v>0.40471064814814817</v>
      </c>
      <c r="L282" s="38">
        <f t="shared" si="10"/>
        <v>0</v>
      </c>
      <c r="M282" s="17">
        <f t="shared" si="11"/>
        <v>-700000</v>
      </c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  <c r="AE282" s="33"/>
      <c r="AF282" s="33"/>
      <c r="AG282" s="33"/>
      <c r="AH282" s="33"/>
      <c r="AI282" s="33"/>
      <c r="AJ282" s="33"/>
      <c r="AK282" s="33"/>
      <c r="AL282" s="33"/>
      <c r="AM282" s="33"/>
      <c r="AN282" s="33"/>
      <c r="AO282" s="33"/>
    </row>
    <row r="283" spans="1:41" ht="90">
      <c r="A283" s="14"/>
      <c r="B283" s="14"/>
      <c r="C283" s="14" t="s">
        <v>1423</v>
      </c>
      <c r="D283" s="14" t="s">
        <v>61</v>
      </c>
      <c r="E283" s="111" t="str">
        <f>VLOOKUP(C283,KELAS!$A$2:$D$643,4,0)</f>
        <v>2 MADINAH</v>
      </c>
      <c r="F283" s="14"/>
      <c r="G283" s="14"/>
      <c r="H283" s="43" t="s">
        <v>674</v>
      </c>
      <c r="I283" s="44">
        <v>770000</v>
      </c>
      <c r="J283" s="87">
        <v>45972</v>
      </c>
      <c r="K283" s="88">
        <v>0.4052662037037037</v>
      </c>
      <c r="L283" s="38">
        <f t="shared" si="10"/>
        <v>0</v>
      </c>
      <c r="M283" s="17">
        <f t="shared" si="11"/>
        <v>-770000</v>
      </c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  <c r="AE283" s="33"/>
      <c r="AF283" s="33"/>
      <c r="AG283" s="33"/>
      <c r="AH283" s="33"/>
      <c r="AI283" s="33"/>
      <c r="AJ283" s="33"/>
      <c r="AK283" s="33"/>
      <c r="AL283" s="33"/>
      <c r="AM283" s="33"/>
      <c r="AN283" s="33"/>
      <c r="AO283" s="33"/>
    </row>
    <row r="284" spans="1:41" ht="90">
      <c r="A284" s="14"/>
      <c r="B284" s="14"/>
      <c r="C284" s="14" t="s">
        <v>2014</v>
      </c>
      <c r="D284" s="14" t="s">
        <v>61</v>
      </c>
      <c r="E284" s="111" t="str">
        <f>VLOOKUP(C284,KELAS!$A$2:$D$643,4,0)</f>
        <v>5 MEKKAH</v>
      </c>
      <c r="F284" s="14"/>
      <c r="G284" s="14"/>
      <c r="H284" s="43" t="s">
        <v>676</v>
      </c>
      <c r="I284" s="44">
        <v>1400000</v>
      </c>
      <c r="J284" s="87">
        <v>45972</v>
      </c>
      <c r="K284" s="88">
        <v>0.42905092592592592</v>
      </c>
      <c r="L284" s="38">
        <f t="shared" si="10"/>
        <v>0</v>
      </c>
      <c r="M284" s="17">
        <f t="shared" si="11"/>
        <v>-1400000</v>
      </c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  <c r="AD284" s="33"/>
      <c r="AE284" s="33"/>
      <c r="AF284" s="33"/>
      <c r="AG284" s="33"/>
      <c r="AH284" s="33"/>
      <c r="AI284" s="33"/>
      <c r="AJ284" s="33"/>
      <c r="AK284" s="33"/>
      <c r="AL284" s="33"/>
      <c r="AM284" s="33"/>
      <c r="AN284" s="33"/>
      <c r="AO284" s="33"/>
    </row>
    <row r="285" spans="1:41" ht="90">
      <c r="A285" s="14"/>
      <c r="B285" s="14"/>
      <c r="C285" s="14" t="s">
        <v>1591</v>
      </c>
      <c r="D285" s="14" t="s">
        <v>61</v>
      </c>
      <c r="E285" s="111" t="str">
        <f>VLOOKUP(C285,KELAS!$A$2:$D$643,4,0)</f>
        <v>2 MARWAH</v>
      </c>
      <c r="F285" s="14"/>
      <c r="G285" s="14"/>
      <c r="H285" s="43" t="s">
        <v>678</v>
      </c>
      <c r="I285" s="44">
        <v>1540000</v>
      </c>
      <c r="J285" s="87">
        <v>45972</v>
      </c>
      <c r="K285" s="88">
        <v>0.4293865740740741</v>
      </c>
      <c r="L285" s="38">
        <f t="shared" si="10"/>
        <v>0</v>
      </c>
      <c r="M285" s="17">
        <f t="shared" si="11"/>
        <v>-1540000</v>
      </c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  <c r="AE285" s="33"/>
      <c r="AF285" s="33"/>
      <c r="AG285" s="33"/>
      <c r="AH285" s="33"/>
      <c r="AI285" s="33"/>
      <c r="AJ285" s="33"/>
      <c r="AK285" s="33"/>
      <c r="AL285" s="33"/>
      <c r="AM285" s="33"/>
      <c r="AN285" s="33"/>
      <c r="AO285" s="33"/>
    </row>
    <row r="286" spans="1:41" ht="90">
      <c r="A286" s="14"/>
      <c r="B286" s="14"/>
      <c r="C286" s="14" t="s">
        <v>1126</v>
      </c>
      <c r="D286" s="14" t="s">
        <v>61</v>
      </c>
      <c r="E286" s="111" t="str">
        <f>VLOOKUP(C286,KELAS!$A$2:$D$643,4,0)</f>
        <v>1 MEKKAH</v>
      </c>
      <c r="F286" s="14"/>
      <c r="G286" s="14"/>
      <c r="H286" s="43" t="s">
        <v>680</v>
      </c>
      <c r="I286" s="44">
        <v>1617000</v>
      </c>
      <c r="J286" s="87">
        <v>45972</v>
      </c>
      <c r="K286" s="88">
        <v>0.42974537037037036</v>
      </c>
      <c r="L286" s="38">
        <f t="shared" si="10"/>
        <v>0</v>
      </c>
      <c r="M286" s="17">
        <f t="shared" si="11"/>
        <v>-1617000</v>
      </c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  <c r="AE286" s="33"/>
      <c r="AF286" s="33"/>
      <c r="AG286" s="33"/>
      <c r="AH286" s="33"/>
      <c r="AI286" s="33"/>
      <c r="AJ286" s="33"/>
      <c r="AK286" s="33"/>
      <c r="AL286" s="33"/>
      <c r="AM286" s="33"/>
      <c r="AN286" s="33"/>
      <c r="AO286" s="33"/>
    </row>
    <row r="287" spans="1:41" ht="90">
      <c r="A287" s="14"/>
      <c r="B287" s="14"/>
      <c r="C287" s="14" t="s">
        <v>1309</v>
      </c>
      <c r="D287" s="14" t="s">
        <v>61</v>
      </c>
      <c r="E287" s="111" t="str">
        <f>VLOOKUP(C287,KELAS!$A$2:$D$643,4,0)</f>
        <v>1 MARWAH/TAHFIDZ</v>
      </c>
      <c r="F287" s="14"/>
      <c r="G287" s="14"/>
      <c r="H287" s="43" t="s">
        <v>682</v>
      </c>
      <c r="I287" s="44">
        <v>1617000</v>
      </c>
      <c r="J287" s="87">
        <v>45972</v>
      </c>
      <c r="K287" s="88">
        <v>0.5154050925925926</v>
      </c>
      <c r="L287" s="38">
        <f t="shared" si="10"/>
        <v>0</v>
      </c>
      <c r="M287" s="17">
        <f t="shared" si="11"/>
        <v>-1617000</v>
      </c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  <c r="AD287" s="33"/>
      <c r="AE287" s="33"/>
      <c r="AF287" s="33"/>
      <c r="AG287" s="33"/>
      <c r="AH287" s="33"/>
      <c r="AI287" s="33"/>
      <c r="AJ287" s="33"/>
      <c r="AK287" s="33"/>
      <c r="AL287" s="33"/>
      <c r="AM287" s="33"/>
      <c r="AN287" s="33"/>
      <c r="AO287" s="33"/>
    </row>
    <row r="288" spans="1:41" ht="90">
      <c r="A288" s="14"/>
      <c r="B288" s="14"/>
      <c r="C288" s="14" t="s">
        <v>2360</v>
      </c>
      <c r="D288" s="14" t="s">
        <v>61</v>
      </c>
      <c r="E288" s="111" t="e">
        <f>VLOOKUP(C288,KELAS!$A$2:$D$643,4,0)</f>
        <v>#N/A</v>
      </c>
      <c r="F288" s="14"/>
      <c r="G288" s="14"/>
      <c r="H288" s="43" t="s">
        <v>133</v>
      </c>
      <c r="I288" s="44">
        <v>1540000</v>
      </c>
      <c r="J288" s="87">
        <v>45972</v>
      </c>
      <c r="K288" s="88">
        <v>0.60320601851851852</v>
      </c>
      <c r="L288" s="38">
        <f t="shared" ref="L288:L351" si="12">SUM(N288:AP288)</f>
        <v>0</v>
      </c>
      <c r="M288" s="17">
        <f t="shared" ref="M288:M351" si="13">L288-I288</f>
        <v>-1540000</v>
      </c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  <c r="AE288" s="33"/>
      <c r="AF288" s="33"/>
      <c r="AG288" s="33"/>
      <c r="AH288" s="33"/>
      <c r="AI288" s="33"/>
      <c r="AJ288" s="33"/>
      <c r="AK288" s="33"/>
      <c r="AL288" s="33"/>
      <c r="AM288" s="33"/>
      <c r="AN288" s="33"/>
      <c r="AO288" s="33"/>
    </row>
    <row r="289" spans="1:41" ht="105">
      <c r="A289" s="14"/>
      <c r="B289" s="14"/>
      <c r="C289" s="14" t="s">
        <v>2361</v>
      </c>
      <c r="D289" s="14" t="s">
        <v>61</v>
      </c>
      <c r="E289" s="111" t="e">
        <f>VLOOKUP(C289,KELAS!$A$2:$D$643,4,0)</f>
        <v>#N/A</v>
      </c>
      <c r="F289" s="14"/>
      <c r="G289" s="14"/>
      <c r="H289" s="43" t="s">
        <v>685</v>
      </c>
      <c r="I289" s="44">
        <v>2800000</v>
      </c>
      <c r="J289" s="87">
        <v>45972</v>
      </c>
      <c r="K289" s="88">
        <v>0.75672453703703701</v>
      </c>
      <c r="L289" s="38">
        <f t="shared" si="12"/>
        <v>0</v>
      </c>
      <c r="M289" s="17">
        <f t="shared" si="13"/>
        <v>-2800000</v>
      </c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  <c r="AE289" s="33"/>
      <c r="AF289" s="33"/>
      <c r="AG289" s="33"/>
      <c r="AH289" s="33"/>
      <c r="AI289" s="33"/>
      <c r="AJ289" s="33"/>
      <c r="AK289" s="33"/>
      <c r="AL289" s="33"/>
      <c r="AM289" s="33"/>
      <c r="AN289" s="33"/>
      <c r="AO289" s="33"/>
    </row>
    <row r="290" spans="1:41" ht="90">
      <c r="A290" s="14"/>
      <c r="B290" s="14"/>
      <c r="C290" s="14" t="s">
        <v>1504</v>
      </c>
      <c r="D290" s="14" t="s">
        <v>61</v>
      </c>
      <c r="E290" s="111" t="str">
        <f>VLOOKUP(C290,KELAS!$A$2:$D$643,4,0)</f>
        <v>2 MINA</v>
      </c>
      <c r="F290" s="14"/>
      <c r="G290" s="14"/>
      <c r="H290" s="43" t="s">
        <v>86</v>
      </c>
      <c r="I290" s="44">
        <v>1540000</v>
      </c>
      <c r="J290" s="87">
        <v>45972</v>
      </c>
      <c r="K290" s="88">
        <v>0.78785879629629629</v>
      </c>
      <c r="L290" s="38">
        <f t="shared" si="12"/>
        <v>0</v>
      </c>
      <c r="M290" s="17">
        <f t="shared" si="13"/>
        <v>-1540000</v>
      </c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  <c r="AE290" s="33"/>
      <c r="AF290" s="33"/>
      <c r="AG290" s="33"/>
      <c r="AH290" s="33"/>
      <c r="AI290" s="33"/>
      <c r="AJ290" s="33"/>
      <c r="AK290" s="33"/>
      <c r="AL290" s="33"/>
      <c r="AM290" s="33"/>
      <c r="AN290" s="33"/>
      <c r="AO290" s="33"/>
    </row>
    <row r="291" spans="1:41" ht="120">
      <c r="A291" s="14"/>
      <c r="B291" s="14"/>
      <c r="C291" s="14" t="s">
        <v>1916</v>
      </c>
      <c r="D291" s="14" t="s">
        <v>61</v>
      </c>
      <c r="E291" s="111" t="str">
        <f>VLOOKUP(C291,KELAS!$A$2:$D$643,4,0)</f>
        <v>4 MADINAH</v>
      </c>
      <c r="F291" s="14"/>
      <c r="G291" s="14"/>
      <c r="H291" s="43" t="s">
        <v>688</v>
      </c>
      <c r="I291" s="44">
        <v>1450000</v>
      </c>
      <c r="J291" s="87">
        <v>45972</v>
      </c>
      <c r="K291" s="88">
        <v>0.79872685185185188</v>
      </c>
      <c r="L291" s="38">
        <f t="shared" si="12"/>
        <v>0</v>
      </c>
      <c r="M291" s="17">
        <f t="shared" si="13"/>
        <v>-1450000</v>
      </c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  <c r="AE291" s="33"/>
      <c r="AF291" s="33"/>
      <c r="AG291" s="33"/>
      <c r="AH291" s="33"/>
      <c r="AI291" s="33"/>
      <c r="AJ291" s="33"/>
      <c r="AK291" s="33"/>
      <c r="AL291" s="33"/>
      <c r="AM291" s="33"/>
      <c r="AN291" s="33"/>
      <c r="AO291" s="33"/>
    </row>
    <row r="292" spans="1:41" ht="120">
      <c r="A292" s="14"/>
      <c r="B292" s="14"/>
      <c r="C292" s="14" t="s">
        <v>2072</v>
      </c>
      <c r="D292" s="14" t="s">
        <v>61</v>
      </c>
      <c r="E292" s="111" t="str">
        <f>VLOOKUP(C292,KELAS!$A$2:$D$643,4,0)</f>
        <v>5 MADINAH</v>
      </c>
      <c r="F292" s="14"/>
      <c r="G292" s="14"/>
      <c r="H292" s="43" t="s">
        <v>690</v>
      </c>
      <c r="I292" s="44">
        <v>1400000</v>
      </c>
      <c r="J292" s="87">
        <v>45972</v>
      </c>
      <c r="K292" s="88">
        <v>0.79964120370370373</v>
      </c>
      <c r="L292" s="38">
        <f t="shared" si="12"/>
        <v>0</v>
      </c>
      <c r="M292" s="17">
        <f t="shared" si="13"/>
        <v>-1400000</v>
      </c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  <c r="AE292" s="33"/>
      <c r="AF292" s="33"/>
      <c r="AG292" s="33"/>
      <c r="AH292" s="33"/>
      <c r="AI292" s="33"/>
      <c r="AJ292" s="33"/>
      <c r="AK292" s="33"/>
      <c r="AL292" s="33"/>
      <c r="AM292" s="33"/>
      <c r="AN292" s="33"/>
      <c r="AO292" s="33"/>
    </row>
    <row r="293" spans="1:41" ht="105">
      <c r="A293" s="14"/>
      <c r="B293" s="14"/>
      <c r="C293" s="14" t="s">
        <v>2362</v>
      </c>
      <c r="D293" s="14" t="s">
        <v>61</v>
      </c>
      <c r="E293" s="111" t="e">
        <f>VLOOKUP(C293,KELAS!$A$2:$D$643,4,0)</f>
        <v>#N/A</v>
      </c>
      <c r="F293" s="14"/>
      <c r="G293" s="14"/>
      <c r="H293" s="43" t="s">
        <v>132</v>
      </c>
      <c r="I293" s="44">
        <v>1400000</v>
      </c>
      <c r="J293" s="87">
        <v>45973</v>
      </c>
      <c r="K293" s="88">
        <v>0.41763888888888889</v>
      </c>
      <c r="L293" s="38">
        <f t="shared" si="12"/>
        <v>0</v>
      </c>
      <c r="M293" s="17">
        <f t="shared" si="13"/>
        <v>-1400000</v>
      </c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  <c r="AE293" s="33"/>
      <c r="AF293" s="33"/>
      <c r="AG293" s="33"/>
      <c r="AH293" s="33"/>
      <c r="AI293" s="33"/>
      <c r="AJ293" s="33"/>
      <c r="AK293" s="33"/>
      <c r="AL293" s="33"/>
      <c r="AM293" s="33"/>
      <c r="AN293" s="33"/>
      <c r="AO293" s="33"/>
    </row>
    <row r="294" spans="1:41" ht="120">
      <c r="A294" s="14"/>
      <c r="B294" s="14"/>
      <c r="C294" s="14" t="s">
        <v>1109</v>
      </c>
      <c r="D294" s="14" t="s">
        <v>61</v>
      </c>
      <c r="E294" s="111" t="str">
        <f>VLOOKUP(C294,KELAS!$A$2:$D$643,4,0)</f>
        <v>1 MEKKAH</v>
      </c>
      <c r="F294" s="14"/>
      <c r="G294" s="14"/>
      <c r="H294" s="43" t="s">
        <v>693</v>
      </c>
      <c r="I294" s="44">
        <v>1617000</v>
      </c>
      <c r="J294" s="87">
        <v>45973</v>
      </c>
      <c r="K294" s="88">
        <v>0.87172453703703701</v>
      </c>
      <c r="L294" s="38">
        <f t="shared" si="12"/>
        <v>0</v>
      </c>
      <c r="M294" s="17">
        <f t="shared" si="13"/>
        <v>-1617000</v>
      </c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  <c r="AE294" s="33"/>
      <c r="AF294" s="33"/>
      <c r="AG294" s="33"/>
      <c r="AH294" s="33"/>
      <c r="AI294" s="33"/>
      <c r="AJ294" s="33"/>
      <c r="AK294" s="33"/>
      <c r="AL294" s="33"/>
      <c r="AM294" s="33"/>
      <c r="AN294" s="33"/>
      <c r="AO294" s="33"/>
    </row>
    <row r="295" spans="1:41" ht="105">
      <c r="A295" s="14"/>
      <c r="B295" s="14"/>
      <c r="C295" s="14" t="s">
        <v>1675</v>
      </c>
      <c r="D295" s="14" t="s">
        <v>61</v>
      </c>
      <c r="E295" s="111" t="str">
        <f>VLOOKUP(C295,KELAS!$A$2:$D$643,4,0)</f>
        <v>3 MADINAH</v>
      </c>
      <c r="F295" s="14"/>
      <c r="G295" s="14"/>
      <c r="H295" s="43" t="s">
        <v>695</v>
      </c>
      <c r="I295" s="44">
        <v>1400000</v>
      </c>
      <c r="J295" s="87">
        <v>45974</v>
      </c>
      <c r="K295" s="88">
        <v>0.28001157407407407</v>
      </c>
      <c r="L295" s="38">
        <f t="shared" si="12"/>
        <v>0</v>
      </c>
      <c r="M295" s="17">
        <f t="shared" si="13"/>
        <v>-1400000</v>
      </c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  <c r="AE295" s="33"/>
      <c r="AF295" s="33"/>
      <c r="AG295" s="33"/>
      <c r="AH295" s="33"/>
      <c r="AI295" s="33"/>
      <c r="AJ295" s="33"/>
      <c r="AK295" s="33"/>
      <c r="AL295" s="33"/>
      <c r="AM295" s="33"/>
      <c r="AN295" s="33"/>
      <c r="AO295" s="33"/>
    </row>
    <row r="296" spans="1:41" ht="120">
      <c r="A296" s="14"/>
      <c r="B296" s="14"/>
      <c r="C296" s="14" t="s">
        <v>2363</v>
      </c>
      <c r="D296" s="14" t="s">
        <v>61</v>
      </c>
      <c r="E296" s="111" t="e">
        <f>VLOOKUP(C296,KELAS!$A$2:$D$643,4,0)</f>
        <v>#N/A</v>
      </c>
      <c r="F296" s="14"/>
      <c r="G296" s="14"/>
      <c r="H296" s="43" t="s">
        <v>697</v>
      </c>
      <c r="I296" s="44">
        <v>2800000</v>
      </c>
      <c r="J296" s="87">
        <v>45974</v>
      </c>
      <c r="K296" s="88">
        <v>0.41237268518518516</v>
      </c>
      <c r="L296" s="38">
        <f t="shared" si="12"/>
        <v>0</v>
      </c>
      <c r="M296" s="17">
        <f t="shared" si="13"/>
        <v>-2800000</v>
      </c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  <c r="AE296" s="33"/>
      <c r="AF296" s="33"/>
      <c r="AG296" s="33"/>
      <c r="AH296" s="33"/>
      <c r="AI296" s="33"/>
      <c r="AJ296" s="33"/>
      <c r="AK296" s="33"/>
      <c r="AL296" s="33"/>
      <c r="AM296" s="33"/>
      <c r="AN296" s="33"/>
      <c r="AO296" s="33"/>
    </row>
    <row r="297" spans="1:41" ht="90">
      <c r="A297" s="14"/>
      <c r="B297" s="14"/>
      <c r="C297" s="14" t="s">
        <v>1723</v>
      </c>
      <c r="D297" s="14" t="s">
        <v>61</v>
      </c>
      <c r="E297" s="111" t="str">
        <f>VLOOKUP(C297,KELAS!$A$2:$D$643,4,0)</f>
        <v>3 MINA</v>
      </c>
      <c r="F297" s="14"/>
      <c r="G297" s="14"/>
      <c r="H297" s="43" t="s">
        <v>699</v>
      </c>
      <c r="I297" s="44">
        <v>1450000</v>
      </c>
      <c r="J297" s="87">
        <v>45974</v>
      </c>
      <c r="K297" s="88">
        <v>0.51541666666666663</v>
      </c>
      <c r="L297" s="38">
        <f t="shared" si="12"/>
        <v>0</v>
      </c>
      <c r="M297" s="17">
        <f t="shared" si="13"/>
        <v>-1450000</v>
      </c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  <c r="AE297" s="33"/>
      <c r="AF297" s="33"/>
      <c r="AG297" s="33"/>
      <c r="AH297" s="33"/>
      <c r="AI297" s="33"/>
      <c r="AJ297" s="33"/>
      <c r="AK297" s="33"/>
      <c r="AL297" s="33"/>
      <c r="AM297" s="33"/>
      <c r="AN297" s="33"/>
      <c r="AO297" s="33"/>
    </row>
    <row r="298" spans="1:41" ht="90">
      <c r="A298" s="14"/>
      <c r="B298" s="14"/>
      <c r="C298" s="14" t="s">
        <v>1146</v>
      </c>
      <c r="D298" s="14" t="s">
        <v>61</v>
      </c>
      <c r="E298" s="111" t="str">
        <f>VLOOKUP(C298,KELAS!$A$2:$D$643,4,0)</f>
        <v>1 MEKKAH</v>
      </c>
      <c r="F298" s="14"/>
      <c r="G298" s="14"/>
      <c r="H298" s="43" t="s">
        <v>701</v>
      </c>
      <c r="I298" s="44">
        <v>1617000</v>
      </c>
      <c r="J298" s="87">
        <v>45974</v>
      </c>
      <c r="K298" s="88">
        <v>0.51585648148148144</v>
      </c>
      <c r="L298" s="38">
        <f t="shared" si="12"/>
        <v>0</v>
      </c>
      <c r="M298" s="17">
        <f t="shared" si="13"/>
        <v>-1617000</v>
      </c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  <c r="AE298" s="33"/>
      <c r="AF298" s="33"/>
      <c r="AG298" s="33"/>
      <c r="AH298" s="33"/>
      <c r="AI298" s="33"/>
      <c r="AJ298" s="33"/>
      <c r="AK298" s="33"/>
      <c r="AL298" s="33"/>
      <c r="AM298" s="33"/>
      <c r="AN298" s="33"/>
      <c r="AO298" s="33"/>
    </row>
    <row r="299" spans="1:41" ht="75">
      <c r="A299" s="14"/>
      <c r="B299" s="14"/>
      <c r="C299" s="14" t="s">
        <v>2223</v>
      </c>
      <c r="D299" s="14" t="s">
        <v>61</v>
      </c>
      <c r="E299" s="111" t="str">
        <f>VLOOKUP(C299,KELAS!$A$2:$D$643,4,0)</f>
        <v>6 MADINAH</v>
      </c>
      <c r="F299" s="14"/>
      <c r="G299" s="14"/>
      <c r="H299" s="43" t="s">
        <v>703</v>
      </c>
      <c r="I299" s="44">
        <v>1450000</v>
      </c>
      <c r="J299" s="87">
        <v>45974</v>
      </c>
      <c r="K299" s="88">
        <v>0.5176736111111111</v>
      </c>
      <c r="L299" s="38">
        <f t="shared" si="12"/>
        <v>0</v>
      </c>
      <c r="M299" s="17">
        <f t="shared" si="13"/>
        <v>-1450000</v>
      </c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  <c r="AE299" s="33"/>
      <c r="AF299" s="33"/>
      <c r="AG299" s="33"/>
      <c r="AH299" s="33"/>
      <c r="AI299" s="33"/>
      <c r="AJ299" s="33"/>
      <c r="AK299" s="33"/>
      <c r="AL299" s="33"/>
      <c r="AM299" s="33"/>
      <c r="AN299" s="33"/>
      <c r="AO299" s="33"/>
    </row>
    <row r="300" spans="1:41" ht="75">
      <c r="A300" s="14"/>
      <c r="B300" s="14"/>
      <c r="C300" s="14" t="s">
        <v>1425</v>
      </c>
      <c r="D300" s="14" t="s">
        <v>61</v>
      </c>
      <c r="E300" s="111" t="str">
        <f>VLOOKUP(C300,KELAS!$A$2:$D$643,4,0)</f>
        <v>2 MADINAH</v>
      </c>
      <c r="F300" s="14"/>
      <c r="G300" s="14"/>
      <c r="H300" s="43" t="s">
        <v>705</v>
      </c>
      <c r="I300" s="44">
        <v>1540000</v>
      </c>
      <c r="J300" s="87">
        <v>45974</v>
      </c>
      <c r="K300" s="88">
        <v>0.5190393518518519</v>
      </c>
      <c r="L300" s="38">
        <f t="shared" si="12"/>
        <v>0</v>
      </c>
      <c r="M300" s="17">
        <f t="shared" si="13"/>
        <v>-1540000</v>
      </c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  <c r="AE300" s="33"/>
      <c r="AF300" s="33"/>
      <c r="AG300" s="33"/>
      <c r="AH300" s="33"/>
      <c r="AI300" s="33"/>
      <c r="AJ300" s="33"/>
      <c r="AK300" s="33"/>
      <c r="AL300" s="33"/>
      <c r="AM300" s="33"/>
      <c r="AN300" s="33"/>
      <c r="AO300" s="33"/>
    </row>
    <row r="301" spans="1:41" ht="105">
      <c r="A301" s="14"/>
      <c r="B301" s="14"/>
      <c r="C301" s="14" t="s">
        <v>2033</v>
      </c>
      <c r="D301" s="14" t="s">
        <v>61</v>
      </c>
      <c r="E301" s="111" t="str">
        <f>VLOOKUP(C301,KELAS!$A$2:$D$643,4,0)</f>
        <v>5 MEKKAH</v>
      </c>
      <c r="F301" s="14"/>
      <c r="G301" s="14"/>
      <c r="H301" s="43" t="s">
        <v>707</v>
      </c>
      <c r="I301" s="44">
        <v>1400000</v>
      </c>
      <c r="J301" s="87">
        <v>45974</v>
      </c>
      <c r="K301" s="88">
        <v>0.53315972222222219</v>
      </c>
      <c r="L301" s="38">
        <f t="shared" si="12"/>
        <v>0</v>
      </c>
      <c r="M301" s="17">
        <f t="shared" si="13"/>
        <v>-1400000</v>
      </c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  <c r="AE301" s="33"/>
      <c r="AF301" s="33"/>
      <c r="AG301" s="33"/>
      <c r="AH301" s="33"/>
      <c r="AI301" s="33"/>
      <c r="AJ301" s="33"/>
      <c r="AK301" s="33"/>
      <c r="AL301" s="33"/>
      <c r="AM301" s="33"/>
      <c r="AN301" s="33"/>
      <c r="AO301" s="33"/>
    </row>
    <row r="302" spans="1:41" ht="120">
      <c r="A302" s="14"/>
      <c r="B302" s="14"/>
      <c r="C302" s="14" t="s">
        <v>2250</v>
      </c>
      <c r="D302" s="14" t="s">
        <v>61</v>
      </c>
      <c r="E302" s="111" t="str">
        <f>VLOOKUP(C302,KELAS!$A$2:$D$643,4,0)</f>
        <v>6 MADINAH</v>
      </c>
      <c r="F302" s="14"/>
      <c r="G302" s="14"/>
      <c r="H302" s="43" t="s">
        <v>709</v>
      </c>
      <c r="I302" s="44">
        <v>1400000</v>
      </c>
      <c r="J302" s="87">
        <v>45974</v>
      </c>
      <c r="K302" s="88">
        <v>0.54494212962962962</v>
      </c>
      <c r="L302" s="38">
        <f t="shared" si="12"/>
        <v>0</v>
      </c>
      <c r="M302" s="17">
        <f t="shared" si="13"/>
        <v>-1400000</v>
      </c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  <c r="AE302" s="33"/>
      <c r="AF302" s="33"/>
      <c r="AG302" s="33"/>
      <c r="AH302" s="33"/>
      <c r="AI302" s="33"/>
      <c r="AJ302" s="33"/>
      <c r="AK302" s="33"/>
      <c r="AL302" s="33"/>
      <c r="AM302" s="33"/>
      <c r="AN302" s="33"/>
      <c r="AO302" s="33"/>
    </row>
    <row r="303" spans="1:41" ht="90">
      <c r="A303" s="14"/>
      <c r="B303" s="14"/>
      <c r="C303" s="14" t="s">
        <v>1875</v>
      </c>
      <c r="D303" s="14" t="s">
        <v>61</v>
      </c>
      <c r="E303" s="111" t="str">
        <f>VLOOKUP(C303,KELAS!$A$2:$D$643,4,0)</f>
        <v>4 MEKKAH</v>
      </c>
      <c r="F303" s="14"/>
      <c r="G303" s="14"/>
      <c r="H303" s="43" t="s">
        <v>711</v>
      </c>
      <c r="I303" s="44">
        <v>1400000</v>
      </c>
      <c r="J303" s="87">
        <v>45974</v>
      </c>
      <c r="K303" s="88">
        <v>0.58042824074074073</v>
      </c>
      <c r="L303" s="38">
        <f t="shared" si="12"/>
        <v>0</v>
      </c>
      <c r="M303" s="17">
        <f t="shared" si="13"/>
        <v>-1400000</v>
      </c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  <c r="AE303" s="33"/>
      <c r="AF303" s="33"/>
      <c r="AG303" s="33"/>
      <c r="AH303" s="33"/>
      <c r="AI303" s="33"/>
      <c r="AJ303" s="33"/>
      <c r="AK303" s="33"/>
      <c r="AL303" s="33"/>
      <c r="AM303" s="33"/>
      <c r="AN303" s="33"/>
      <c r="AO303" s="33"/>
    </row>
    <row r="304" spans="1:41" ht="90">
      <c r="A304" s="14"/>
      <c r="B304" s="14"/>
      <c r="C304" s="14" t="s">
        <v>1319</v>
      </c>
      <c r="D304" s="14" t="s">
        <v>61</v>
      </c>
      <c r="E304" s="111" t="str">
        <f>VLOOKUP(C304,KELAS!$A$2:$D$643,4,0)</f>
        <v>1 MARWAH/TAHFIDZ</v>
      </c>
      <c r="F304" s="14"/>
      <c r="G304" s="14"/>
      <c r="H304" s="43" t="s">
        <v>172</v>
      </c>
      <c r="I304" s="44">
        <v>1617000</v>
      </c>
      <c r="J304" s="87">
        <v>45974</v>
      </c>
      <c r="K304" s="88">
        <v>0.63650462962962961</v>
      </c>
      <c r="L304" s="38">
        <f t="shared" si="12"/>
        <v>0</v>
      </c>
      <c r="M304" s="17">
        <f t="shared" si="13"/>
        <v>-1617000</v>
      </c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  <c r="AE304" s="33"/>
      <c r="AF304" s="33"/>
      <c r="AG304" s="33"/>
      <c r="AH304" s="33"/>
      <c r="AI304" s="33"/>
      <c r="AJ304" s="33"/>
      <c r="AK304" s="33"/>
      <c r="AL304" s="33"/>
      <c r="AM304" s="33"/>
      <c r="AN304" s="33"/>
      <c r="AO304" s="33"/>
    </row>
    <row r="305" spans="1:41" ht="90">
      <c r="A305" s="14"/>
      <c r="B305" s="14"/>
      <c r="C305" s="14" t="s">
        <v>1762</v>
      </c>
      <c r="D305" s="14" t="s">
        <v>61</v>
      </c>
      <c r="E305" s="111" t="str">
        <f>VLOOKUP(C305,KELAS!$A$2:$D$643,4,0)</f>
        <v>3 MINA</v>
      </c>
      <c r="F305" s="14"/>
      <c r="G305" s="14"/>
      <c r="H305" s="43" t="s">
        <v>173</v>
      </c>
      <c r="I305" s="44">
        <v>1450000</v>
      </c>
      <c r="J305" s="87">
        <v>45974</v>
      </c>
      <c r="K305" s="88">
        <v>0.638275462962963</v>
      </c>
      <c r="L305" s="38">
        <f t="shared" si="12"/>
        <v>0</v>
      </c>
      <c r="M305" s="17">
        <f t="shared" si="13"/>
        <v>-1450000</v>
      </c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  <c r="AE305" s="33"/>
      <c r="AF305" s="33"/>
      <c r="AG305" s="33"/>
      <c r="AH305" s="33"/>
      <c r="AI305" s="33"/>
      <c r="AJ305" s="33"/>
      <c r="AK305" s="33"/>
      <c r="AL305" s="33"/>
      <c r="AM305" s="33"/>
      <c r="AN305" s="33"/>
      <c r="AO305" s="33"/>
    </row>
    <row r="306" spans="1:41" ht="90">
      <c r="A306" s="14"/>
      <c r="B306" s="14"/>
      <c r="C306" s="14" t="s">
        <v>2140</v>
      </c>
      <c r="D306" s="14" t="s">
        <v>61</v>
      </c>
      <c r="E306" s="111" t="str">
        <f>VLOOKUP(C306,KELAS!$A$2:$D$643,4,0)</f>
        <v>5 MINA</v>
      </c>
      <c r="F306" s="14"/>
      <c r="G306" s="14"/>
      <c r="H306" s="43" t="s">
        <v>74</v>
      </c>
      <c r="I306" s="44">
        <v>1400000</v>
      </c>
      <c r="J306" s="87">
        <v>45974</v>
      </c>
      <c r="K306" s="88">
        <v>0.7600231481481482</v>
      </c>
      <c r="L306" s="38">
        <f t="shared" si="12"/>
        <v>0</v>
      </c>
      <c r="M306" s="17">
        <f t="shared" si="13"/>
        <v>-1400000</v>
      </c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  <c r="AD306" s="33"/>
      <c r="AE306" s="33"/>
      <c r="AF306" s="33"/>
      <c r="AG306" s="33"/>
      <c r="AH306" s="33"/>
      <c r="AI306" s="33"/>
      <c r="AJ306" s="33"/>
      <c r="AK306" s="33"/>
      <c r="AL306" s="33"/>
      <c r="AM306" s="33"/>
      <c r="AN306" s="33"/>
      <c r="AO306" s="33"/>
    </row>
    <row r="307" spans="1:41" ht="105">
      <c r="A307" s="14"/>
      <c r="B307" s="14"/>
      <c r="C307" s="14" t="s">
        <v>1811</v>
      </c>
      <c r="D307" s="14" t="s">
        <v>61</v>
      </c>
      <c r="E307" s="111" t="str">
        <f>VLOOKUP(C307,KELAS!$A$2:$D$643,4,0)</f>
        <v>3 MARWAH</v>
      </c>
      <c r="F307" s="14"/>
      <c r="G307" s="14"/>
      <c r="H307" s="43" t="s">
        <v>716</v>
      </c>
      <c r="I307" s="44">
        <v>1450000</v>
      </c>
      <c r="J307" s="87">
        <v>45974</v>
      </c>
      <c r="K307" s="88">
        <v>0.86710648148148151</v>
      </c>
      <c r="L307" s="38">
        <f t="shared" si="12"/>
        <v>0</v>
      </c>
      <c r="M307" s="17">
        <f t="shared" si="13"/>
        <v>-1450000</v>
      </c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  <c r="AE307" s="33"/>
      <c r="AF307" s="33"/>
      <c r="AG307" s="33"/>
      <c r="AH307" s="33"/>
      <c r="AI307" s="33"/>
      <c r="AJ307" s="33"/>
      <c r="AK307" s="33"/>
      <c r="AL307" s="33"/>
      <c r="AM307" s="33"/>
      <c r="AN307" s="33"/>
      <c r="AO307" s="33"/>
    </row>
    <row r="308" spans="1:41" ht="120">
      <c r="A308" s="14"/>
      <c r="B308" s="14"/>
      <c r="C308" s="14" t="s">
        <v>2364</v>
      </c>
      <c r="D308" s="14" t="s">
        <v>61</v>
      </c>
      <c r="E308" s="111" t="e">
        <f>VLOOKUP(C308,KELAS!$A$2:$D$643,4,0)</f>
        <v>#N/A</v>
      </c>
      <c r="F308" s="14"/>
      <c r="G308" s="14"/>
      <c r="H308" s="43" t="s">
        <v>718</v>
      </c>
      <c r="I308" s="44">
        <v>1450000</v>
      </c>
      <c r="J308" s="87">
        <v>45975</v>
      </c>
      <c r="K308" s="88">
        <v>0.15174768518518519</v>
      </c>
      <c r="L308" s="38">
        <f t="shared" si="12"/>
        <v>0</v>
      </c>
      <c r="M308" s="17">
        <f t="shared" si="13"/>
        <v>-1450000</v>
      </c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  <c r="AE308" s="33"/>
      <c r="AF308" s="33"/>
      <c r="AG308" s="33"/>
      <c r="AH308" s="33"/>
      <c r="AI308" s="33"/>
      <c r="AJ308" s="33"/>
      <c r="AK308" s="33"/>
      <c r="AL308" s="33"/>
      <c r="AM308" s="33"/>
      <c r="AN308" s="33"/>
      <c r="AO308" s="33"/>
    </row>
    <row r="309" spans="1:41" ht="75">
      <c r="A309" s="46"/>
      <c r="B309" s="46"/>
      <c r="C309" s="46" t="s">
        <v>1684</v>
      </c>
      <c r="D309" s="46" t="s">
        <v>61</v>
      </c>
      <c r="E309" s="111" t="str">
        <f>VLOOKUP(C309,KELAS!$A$2:$D$643,4,0)</f>
        <v>3 MADINAH</v>
      </c>
      <c r="F309" s="46"/>
      <c r="G309" s="46"/>
      <c r="H309" s="43" t="s">
        <v>720</v>
      </c>
      <c r="I309" s="44">
        <v>2800000</v>
      </c>
      <c r="J309" s="87">
        <v>45975</v>
      </c>
      <c r="K309" s="88">
        <v>0.18891203703703704</v>
      </c>
      <c r="L309" s="38">
        <f t="shared" si="12"/>
        <v>0</v>
      </c>
      <c r="M309" s="17">
        <f t="shared" si="13"/>
        <v>-2800000</v>
      </c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  <c r="AE309" s="33"/>
      <c r="AF309" s="33"/>
      <c r="AG309" s="33"/>
      <c r="AH309" s="33"/>
      <c r="AI309" s="33"/>
      <c r="AJ309" s="33"/>
      <c r="AK309" s="33"/>
      <c r="AL309" s="33"/>
      <c r="AM309" s="33"/>
      <c r="AN309" s="33"/>
      <c r="AO309" s="33"/>
    </row>
    <row r="310" spans="1:41" ht="75">
      <c r="A310" s="46"/>
      <c r="B310" s="46"/>
      <c r="C310" s="46" t="s">
        <v>1243</v>
      </c>
      <c r="D310" s="46" t="s">
        <v>61</v>
      </c>
      <c r="E310" s="111" t="str">
        <f>VLOOKUP(C310,KELAS!$A$2:$D$643,4,0)</f>
        <v>1 MINA</v>
      </c>
      <c r="F310" s="46"/>
      <c r="G310" s="46"/>
      <c r="H310" s="43" t="s">
        <v>722</v>
      </c>
      <c r="I310" s="44">
        <v>1617000</v>
      </c>
      <c r="J310" s="87">
        <v>45975</v>
      </c>
      <c r="K310" s="88">
        <v>0.27878472222222223</v>
      </c>
      <c r="L310" s="38">
        <f t="shared" si="12"/>
        <v>0</v>
      </c>
      <c r="M310" s="17">
        <f t="shared" si="13"/>
        <v>-1617000</v>
      </c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  <c r="AE310" s="33"/>
      <c r="AF310" s="33"/>
      <c r="AG310" s="33"/>
      <c r="AH310" s="33"/>
      <c r="AI310" s="33"/>
      <c r="AJ310" s="33"/>
      <c r="AK310" s="33"/>
      <c r="AL310" s="33"/>
      <c r="AM310" s="33"/>
      <c r="AN310" s="33"/>
      <c r="AO310" s="33"/>
    </row>
    <row r="311" spans="1:41" ht="90">
      <c r="A311" s="46"/>
      <c r="B311" s="46"/>
      <c r="C311" s="46" t="s">
        <v>1622</v>
      </c>
      <c r="D311" s="46" t="s">
        <v>61</v>
      </c>
      <c r="E311" s="111" t="str">
        <f>VLOOKUP(C311,KELAS!$A$2:$D$643,4,0)</f>
        <v>3 MEKKAH</v>
      </c>
      <c r="F311" s="46"/>
      <c r="G311" s="46"/>
      <c r="H311" s="43" t="s">
        <v>118</v>
      </c>
      <c r="I311" s="44">
        <v>1450000</v>
      </c>
      <c r="J311" s="87">
        <v>45975</v>
      </c>
      <c r="K311" s="88">
        <v>0.28692129629629631</v>
      </c>
      <c r="L311" s="38">
        <f t="shared" si="12"/>
        <v>0</v>
      </c>
      <c r="M311" s="17">
        <f t="shared" si="13"/>
        <v>-1450000</v>
      </c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  <c r="AE311" s="33"/>
      <c r="AF311" s="33"/>
      <c r="AG311" s="33"/>
      <c r="AH311" s="33"/>
      <c r="AI311" s="33"/>
      <c r="AJ311" s="33"/>
      <c r="AK311" s="33"/>
      <c r="AL311" s="33"/>
      <c r="AM311" s="33"/>
      <c r="AN311" s="33"/>
      <c r="AO311" s="33"/>
    </row>
    <row r="312" spans="1:41" ht="105">
      <c r="A312" s="46"/>
      <c r="B312" s="46"/>
      <c r="C312" s="46" t="s">
        <v>1391</v>
      </c>
      <c r="D312" s="46" t="s">
        <v>61</v>
      </c>
      <c r="E312" s="111" t="str">
        <f>VLOOKUP(C312,KELAS!$A$2:$D$643,4,0)</f>
        <v>2 MEKKAH</v>
      </c>
      <c r="F312" s="46"/>
      <c r="G312" s="46"/>
      <c r="H312" s="43" t="s">
        <v>725</v>
      </c>
      <c r="I312" s="44">
        <v>5000000</v>
      </c>
      <c r="J312" s="87">
        <v>45975</v>
      </c>
      <c r="K312" s="88">
        <v>0.49155092592592592</v>
      </c>
      <c r="L312" s="38">
        <f t="shared" si="12"/>
        <v>0</v>
      </c>
      <c r="M312" s="17">
        <f t="shared" si="13"/>
        <v>-5000000</v>
      </c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  <c r="AE312" s="33"/>
      <c r="AF312" s="33"/>
      <c r="AG312" s="33"/>
      <c r="AH312" s="33"/>
      <c r="AI312" s="33"/>
      <c r="AJ312" s="33"/>
      <c r="AK312" s="33"/>
      <c r="AL312" s="33"/>
      <c r="AM312" s="33"/>
      <c r="AN312" s="33"/>
      <c r="AO312" s="33"/>
    </row>
    <row r="313" spans="1:41" ht="105">
      <c r="A313" s="46"/>
      <c r="B313" s="46"/>
      <c r="C313" s="46" t="s">
        <v>2365</v>
      </c>
      <c r="D313" s="46" t="s">
        <v>61</v>
      </c>
      <c r="E313" s="111" t="e">
        <f>VLOOKUP(C313,KELAS!$A$2:$D$643,4,0)</f>
        <v>#N/A</v>
      </c>
      <c r="F313" s="46"/>
      <c r="G313" s="46"/>
      <c r="H313" s="43" t="s">
        <v>727</v>
      </c>
      <c r="I313" s="44">
        <v>2900000</v>
      </c>
      <c r="J313" s="87">
        <v>45975</v>
      </c>
      <c r="K313" s="88">
        <v>0.51040509259259259</v>
      </c>
      <c r="L313" s="38">
        <f t="shared" si="12"/>
        <v>0</v>
      </c>
      <c r="M313" s="17">
        <f t="shared" si="13"/>
        <v>-2900000</v>
      </c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  <c r="AE313" s="33"/>
      <c r="AF313" s="33"/>
      <c r="AG313" s="33"/>
      <c r="AH313" s="33"/>
      <c r="AI313" s="33"/>
      <c r="AJ313" s="33"/>
      <c r="AK313" s="33"/>
      <c r="AL313" s="33"/>
      <c r="AM313" s="33"/>
      <c r="AN313" s="33"/>
      <c r="AO313" s="33"/>
    </row>
    <row r="314" spans="1:41" ht="90">
      <c r="A314" s="46"/>
      <c r="B314" s="46"/>
      <c r="C314" s="46" t="s">
        <v>1939</v>
      </c>
      <c r="D314" s="46" t="s">
        <v>61</v>
      </c>
      <c r="E314" s="111" t="str">
        <f>VLOOKUP(C314,KELAS!$A$2:$D$643,4,0)</f>
        <v>4 MADINAH</v>
      </c>
      <c r="F314" s="46"/>
      <c r="G314" s="46"/>
      <c r="H314" s="43" t="s">
        <v>729</v>
      </c>
      <c r="I314" s="44">
        <v>4350000</v>
      </c>
      <c r="J314" s="87">
        <v>45975</v>
      </c>
      <c r="K314" s="88">
        <v>0.56377314814814816</v>
      </c>
      <c r="L314" s="38">
        <f t="shared" si="12"/>
        <v>0</v>
      </c>
      <c r="M314" s="17">
        <f t="shared" si="13"/>
        <v>-4350000</v>
      </c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  <c r="AE314" s="33"/>
      <c r="AF314" s="33"/>
      <c r="AG314" s="33"/>
      <c r="AH314" s="33"/>
      <c r="AI314" s="33"/>
      <c r="AJ314" s="33"/>
      <c r="AK314" s="33"/>
      <c r="AL314" s="33"/>
      <c r="AM314" s="33"/>
      <c r="AN314" s="33"/>
      <c r="AO314" s="33"/>
    </row>
    <row r="315" spans="1:41" ht="90">
      <c r="A315" s="46"/>
      <c r="B315" s="46"/>
      <c r="C315" s="46" t="s">
        <v>2182</v>
      </c>
      <c r="D315" s="46" t="s">
        <v>61</v>
      </c>
      <c r="E315" s="111" t="str">
        <f>VLOOKUP(C315,KELAS!$A$2:$D$643,4,0)</f>
        <v>6 MEKKAH</v>
      </c>
      <c r="F315" s="46"/>
      <c r="G315" s="46"/>
      <c r="H315" s="43" t="s">
        <v>731</v>
      </c>
      <c r="I315" s="44">
        <v>1400000</v>
      </c>
      <c r="J315" s="87">
        <v>45975</v>
      </c>
      <c r="K315" s="88">
        <v>0.7050925925925926</v>
      </c>
      <c r="L315" s="38">
        <f t="shared" si="12"/>
        <v>0</v>
      </c>
      <c r="M315" s="17">
        <f t="shared" si="13"/>
        <v>-1400000</v>
      </c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  <c r="AE315" s="33"/>
      <c r="AF315" s="33"/>
      <c r="AG315" s="33"/>
      <c r="AH315" s="33"/>
      <c r="AI315" s="33"/>
      <c r="AJ315" s="33"/>
      <c r="AK315" s="33"/>
      <c r="AL315" s="33"/>
      <c r="AM315" s="33"/>
      <c r="AN315" s="33"/>
      <c r="AO315" s="33"/>
    </row>
    <row r="316" spans="1:41" ht="90">
      <c r="A316" s="46"/>
      <c r="B316" s="46"/>
      <c r="C316" s="46" t="s">
        <v>1323</v>
      </c>
      <c r="D316" s="46" t="s">
        <v>61</v>
      </c>
      <c r="E316" s="111" t="str">
        <f>VLOOKUP(C316,KELAS!$A$2:$D$643,4,0)</f>
        <v>1 MARWAH/TAHFIDZ</v>
      </c>
      <c r="F316" s="46"/>
      <c r="G316" s="46"/>
      <c r="H316" s="43" t="s">
        <v>170</v>
      </c>
      <c r="I316" s="44">
        <v>1617000</v>
      </c>
      <c r="J316" s="87">
        <v>45975</v>
      </c>
      <c r="K316" s="88">
        <v>0.86233796296296295</v>
      </c>
      <c r="L316" s="38">
        <f t="shared" si="12"/>
        <v>0</v>
      </c>
      <c r="M316" s="17">
        <f t="shared" si="13"/>
        <v>-1617000</v>
      </c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  <c r="AE316" s="33"/>
      <c r="AF316" s="33"/>
      <c r="AG316" s="33"/>
      <c r="AH316" s="33"/>
      <c r="AI316" s="33"/>
      <c r="AJ316" s="33"/>
      <c r="AK316" s="33"/>
      <c r="AL316" s="33"/>
      <c r="AM316" s="33"/>
      <c r="AN316" s="33"/>
      <c r="AO316" s="33"/>
    </row>
    <row r="317" spans="1:41" ht="105">
      <c r="A317" s="46"/>
      <c r="B317" s="46"/>
      <c r="C317" s="46" t="s">
        <v>1265</v>
      </c>
      <c r="D317" s="46" t="s">
        <v>61</v>
      </c>
      <c r="E317" s="111" t="str">
        <f>VLOOKUP(C317,KELAS!$A$2:$D$643,4,0)</f>
        <v>1 MINA</v>
      </c>
      <c r="F317" s="46"/>
      <c r="G317" s="46"/>
      <c r="H317" s="43" t="s">
        <v>734</v>
      </c>
      <c r="I317" s="44">
        <v>808500</v>
      </c>
      <c r="J317" s="87">
        <v>45976</v>
      </c>
      <c r="K317" s="88">
        <v>0.19885416666666667</v>
      </c>
      <c r="L317" s="38">
        <f t="shared" si="12"/>
        <v>0</v>
      </c>
      <c r="M317" s="17">
        <f t="shared" si="13"/>
        <v>-808500</v>
      </c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  <c r="AE317" s="33"/>
      <c r="AF317" s="33"/>
      <c r="AG317" s="33"/>
      <c r="AH317" s="33"/>
      <c r="AI317" s="33"/>
      <c r="AJ317" s="33"/>
      <c r="AK317" s="33"/>
      <c r="AL317" s="33"/>
      <c r="AM317" s="33"/>
      <c r="AN317" s="33"/>
      <c r="AO317" s="33"/>
    </row>
    <row r="318" spans="1:41" ht="120">
      <c r="A318" s="46"/>
      <c r="B318" s="46"/>
      <c r="C318" s="46" t="s">
        <v>1777</v>
      </c>
      <c r="D318" s="46" t="s">
        <v>61</v>
      </c>
      <c r="E318" s="111" t="str">
        <f>VLOOKUP(C318,KELAS!$A$2:$D$643,4,0)</f>
        <v>3 MARWAH</v>
      </c>
      <c r="F318" s="46"/>
      <c r="G318" s="46"/>
      <c r="H318" s="43" t="s">
        <v>736</v>
      </c>
      <c r="I318" s="44">
        <v>700000</v>
      </c>
      <c r="J318" s="87">
        <v>45976</v>
      </c>
      <c r="K318" s="88">
        <v>0.20043981481481482</v>
      </c>
      <c r="L318" s="38">
        <f t="shared" si="12"/>
        <v>0</v>
      </c>
      <c r="M318" s="17">
        <f t="shared" si="13"/>
        <v>-700000</v>
      </c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  <c r="AD318" s="33"/>
      <c r="AE318" s="33"/>
      <c r="AF318" s="33"/>
      <c r="AG318" s="33"/>
      <c r="AH318" s="33"/>
      <c r="AI318" s="33"/>
      <c r="AJ318" s="33"/>
      <c r="AK318" s="33"/>
      <c r="AL318" s="33"/>
      <c r="AM318" s="33"/>
      <c r="AN318" s="33"/>
      <c r="AO318" s="33"/>
    </row>
    <row r="319" spans="1:41" ht="75">
      <c r="A319" s="46"/>
      <c r="B319" s="46"/>
      <c r="C319" s="46" t="s">
        <v>1414</v>
      </c>
      <c r="D319" s="46" t="s">
        <v>61</v>
      </c>
      <c r="E319" s="111" t="str">
        <f>VLOOKUP(C319,KELAS!$A$2:$D$643,4,0)</f>
        <v>2 MADINAH</v>
      </c>
      <c r="F319" s="46"/>
      <c r="G319" s="46"/>
      <c r="H319" s="43" t="s">
        <v>738</v>
      </c>
      <c r="I319" s="44">
        <v>1540000</v>
      </c>
      <c r="J319" s="87">
        <v>45976</v>
      </c>
      <c r="K319" s="88">
        <v>0.44696759259259261</v>
      </c>
      <c r="L319" s="38">
        <f t="shared" si="12"/>
        <v>0</v>
      </c>
      <c r="M319" s="17">
        <f t="shared" si="13"/>
        <v>-1540000</v>
      </c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  <c r="AE319" s="33"/>
      <c r="AF319" s="33"/>
      <c r="AG319" s="33"/>
      <c r="AH319" s="33"/>
      <c r="AI319" s="33"/>
      <c r="AJ319" s="33"/>
      <c r="AK319" s="33"/>
      <c r="AL319" s="33"/>
      <c r="AM319" s="33"/>
      <c r="AN319" s="33"/>
      <c r="AO319" s="33"/>
    </row>
    <row r="320" spans="1:41" ht="90">
      <c r="A320" s="46"/>
      <c r="B320" s="46"/>
      <c r="C320" s="46" t="s">
        <v>2366</v>
      </c>
      <c r="D320" s="46" t="s">
        <v>61</v>
      </c>
      <c r="E320" s="111" t="e">
        <f>VLOOKUP(C320,KELAS!$A$2:$D$643,4,0)</f>
        <v>#N/A</v>
      </c>
      <c r="F320" s="46"/>
      <c r="G320" s="46"/>
      <c r="H320" s="43" t="s">
        <v>740</v>
      </c>
      <c r="I320" s="44">
        <v>1400000</v>
      </c>
      <c r="J320" s="87">
        <v>45976</v>
      </c>
      <c r="K320" s="88">
        <v>0.51416666666666666</v>
      </c>
      <c r="L320" s="38">
        <f t="shared" si="12"/>
        <v>0</v>
      </c>
      <c r="M320" s="17">
        <f t="shared" si="13"/>
        <v>-1400000</v>
      </c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  <c r="AE320" s="33"/>
      <c r="AF320" s="33"/>
      <c r="AG320" s="33"/>
      <c r="AH320" s="33"/>
      <c r="AI320" s="33"/>
      <c r="AJ320" s="33"/>
      <c r="AK320" s="33"/>
      <c r="AL320" s="33"/>
      <c r="AM320" s="33"/>
      <c r="AN320" s="33"/>
      <c r="AO320" s="33"/>
    </row>
    <row r="321" spans="1:41" ht="90">
      <c r="A321" s="46"/>
      <c r="B321" s="46"/>
      <c r="C321" s="46" t="s">
        <v>1636</v>
      </c>
      <c r="D321" s="46" t="s">
        <v>61</v>
      </c>
      <c r="E321" s="111" t="str">
        <f>VLOOKUP(C321,KELAS!$A$2:$D$643,4,0)</f>
        <v>3 MEKKAH</v>
      </c>
      <c r="F321" s="46"/>
      <c r="G321" s="46"/>
      <c r="H321" s="43" t="s">
        <v>742</v>
      </c>
      <c r="I321" s="44">
        <v>1450000</v>
      </c>
      <c r="J321" s="87">
        <v>45976</v>
      </c>
      <c r="K321" s="88">
        <v>0.58061342592592591</v>
      </c>
      <c r="L321" s="38">
        <f t="shared" si="12"/>
        <v>0</v>
      </c>
      <c r="M321" s="17">
        <f t="shared" si="13"/>
        <v>-1450000</v>
      </c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  <c r="AE321" s="33"/>
      <c r="AF321" s="33"/>
      <c r="AG321" s="33"/>
      <c r="AH321" s="33"/>
      <c r="AI321" s="33"/>
      <c r="AJ321" s="33"/>
      <c r="AK321" s="33"/>
      <c r="AL321" s="33"/>
      <c r="AM321" s="33"/>
      <c r="AN321" s="33"/>
      <c r="AO321" s="33"/>
    </row>
    <row r="322" spans="1:41" ht="105">
      <c r="A322" s="46"/>
      <c r="B322" s="46"/>
      <c r="C322" s="46" t="s">
        <v>1803</v>
      </c>
      <c r="D322" s="46" t="s">
        <v>61</v>
      </c>
      <c r="E322" s="111" t="str">
        <f>VLOOKUP(C322,KELAS!$A$2:$D$643,4,0)</f>
        <v>3 MARWAH</v>
      </c>
      <c r="F322" s="46"/>
      <c r="G322" s="46"/>
      <c r="H322" s="43" t="s">
        <v>744</v>
      </c>
      <c r="I322" s="44">
        <v>1400000</v>
      </c>
      <c r="J322" s="87">
        <v>45976</v>
      </c>
      <c r="K322" s="88">
        <v>0.71758101851851852</v>
      </c>
      <c r="L322" s="38">
        <f t="shared" si="12"/>
        <v>0</v>
      </c>
      <c r="M322" s="17">
        <f t="shared" si="13"/>
        <v>-1400000</v>
      </c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  <c r="AE322" s="33"/>
      <c r="AF322" s="33"/>
      <c r="AG322" s="33"/>
      <c r="AH322" s="33"/>
      <c r="AI322" s="33"/>
      <c r="AJ322" s="33"/>
      <c r="AK322" s="33"/>
      <c r="AL322" s="33"/>
      <c r="AM322" s="33"/>
      <c r="AN322" s="33"/>
      <c r="AO322" s="33"/>
    </row>
    <row r="323" spans="1:41" ht="105">
      <c r="A323" s="46"/>
      <c r="B323" s="46"/>
      <c r="C323" s="46" t="s">
        <v>2017</v>
      </c>
      <c r="D323" s="46" t="s">
        <v>61</v>
      </c>
      <c r="E323" s="111" t="str">
        <f>VLOOKUP(C323,KELAS!$A$2:$D$643,4,0)</f>
        <v>5 MEKKAH</v>
      </c>
      <c r="F323" s="46"/>
      <c r="G323" s="46"/>
      <c r="H323" s="43" t="s">
        <v>746</v>
      </c>
      <c r="I323" s="44">
        <v>1400000</v>
      </c>
      <c r="J323" s="87">
        <v>45976</v>
      </c>
      <c r="K323" s="88">
        <v>0.81186342592592597</v>
      </c>
      <c r="L323" s="38">
        <f t="shared" si="12"/>
        <v>0</v>
      </c>
      <c r="M323" s="17">
        <f t="shared" si="13"/>
        <v>-1400000</v>
      </c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  <c r="AE323" s="33"/>
      <c r="AF323" s="33"/>
      <c r="AG323" s="33"/>
      <c r="AH323" s="33"/>
      <c r="AI323" s="33"/>
      <c r="AJ323" s="33"/>
      <c r="AK323" s="33"/>
      <c r="AL323" s="33"/>
      <c r="AM323" s="33"/>
      <c r="AN323" s="33"/>
      <c r="AO323" s="33"/>
    </row>
    <row r="324" spans="1:41" ht="105">
      <c r="A324" s="46"/>
      <c r="B324" s="46"/>
      <c r="C324" s="46" t="s">
        <v>2367</v>
      </c>
      <c r="D324" s="46" t="s">
        <v>61</v>
      </c>
      <c r="E324" s="111" t="e">
        <f>VLOOKUP(C324,KELAS!$A$2:$D$643,4,0)</f>
        <v>#N/A</v>
      </c>
      <c r="F324" s="46"/>
      <c r="G324" s="46"/>
      <c r="H324" s="43" t="s">
        <v>178</v>
      </c>
      <c r="I324" s="44">
        <v>1400000</v>
      </c>
      <c r="J324" s="87">
        <v>45977</v>
      </c>
      <c r="K324" s="88">
        <v>0.48835648148148147</v>
      </c>
      <c r="L324" s="38">
        <f t="shared" si="12"/>
        <v>0</v>
      </c>
      <c r="M324" s="17">
        <f t="shared" si="13"/>
        <v>-1400000</v>
      </c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  <c r="AE324" s="33"/>
      <c r="AF324" s="33"/>
      <c r="AG324" s="33"/>
      <c r="AH324" s="33"/>
      <c r="AI324" s="33"/>
      <c r="AJ324" s="33"/>
      <c r="AK324" s="33"/>
      <c r="AL324" s="33"/>
      <c r="AM324" s="33"/>
      <c r="AN324" s="33"/>
      <c r="AO324" s="33"/>
    </row>
    <row r="325" spans="1:41" ht="75">
      <c r="A325" s="46"/>
      <c r="B325" s="46"/>
      <c r="C325" s="46" t="s">
        <v>2295</v>
      </c>
      <c r="D325" s="46" t="s">
        <v>61</v>
      </c>
      <c r="E325" s="111" t="str">
        <f>VLOOKUP(C325,KELAS!$A$2:$D$643,4,0)</f>
        <v>6 MINA</v>
      </c>
      <c r="F325" s="46"/>
      <c r="G325" s="46"/>
      <c r="H325" s="43" t="s">
        <v>116</v>
      </c>
      <c r="I325" s="44">
        <v>1400000</v>
      </c>
      <c r="J325" s="87">
        <v>45977</v>
      </c>
      <c r="K325" s="88">
        <v>0.49906250000000002</v>
      </c>
      <c r="L325" s="38">
        <f t="shared" si="12"/>
        <v>0</v>
      </c>
      <c r="M325" s="17">
        <f t="shared" si="13"/>
        <v>-1400000</v>
      </c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  <c r="AE325" s="33"/>
      <c r="AF325" s="33"/>
      <c r="AG325" s="33"/>
      <c r="AH325" s="33"/>
      <c r="AI325" s="33"/>
      <c r="AJ325" s="33"/>
      <c r="AK325" s="33"/>
      <c r="AL325" s="33"/>
      <c r="AM325" s="33"/>
      <c r="AN325" s="33"/>
      <c r="AO325" s="33"/>
    </row>
    <row r="326" spans="1:41" ht="105">
      <c r="A326" s="46"/>
      <c r="B326" s="46"/>
      <c r="C326" s="46" t="s">
        <v>2368</v>
      </c>
      <c r="D326" s="46" t="s">
        <v>61</v>
      </c>
      <c r="E326" s="111" t="e">
        <f>VLOOKUP(C326,KELAS!$A$2:$D$643,4,0)</f>
        <v>#N/A</v>
      </c>
      <c r="F326" s="46"/>
      <c r="G326" s="46"/>
      <c r="H326" s="43" t="s">
        <v>750</v>
      </c>
      <c r="I326" s="44">
        <v>1400000</v>
      </c>
      <c r="J326" s="87">
        <v>45977</v>
      </c>
      <c r="K326" s="88">
        <v>0.56535879629629626</v>
      </c>
      <c r="L326" s="38">
        <f t="shared" si="12"/>
        <v>0</v>
      </c>
      <c r="M326" s="17">
        <f t="shared" si="13"/>
        <v>-1400000</v>
      </c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  <c r="AE326" s="33"/>
      <c r="AF326" s="33"/>
      <c r="AG326" s="33"/>
      <c r="AH326" s="33"/>
      <c r="AI326" s="33"/>
      <c r="AJ326" s="33"/>
      <c r="AK326" s="33"/>
      <c r="AL326" s="33"/>
      <c r="AM326" s="33"/>
      <c r="AN326" s="33"/>
      <c r="AO326" s="33"/>
    </row>
    <row r="327" spans="1:41" ht="75">
      <c r="A327" s="46"/>
      <c r="B327" s="46"/>
      <c r="C327" s="46" t="s">
        <v>1537</v>
      </c>
      <c r="D327" s="46" t="s">
        <v>61</v>
      </c>
      <c r="E327" s="111" t="str">
        <f>VLOOKUP(C327,KELAS!$A$2:$D$643,4,0)</f>
        <v>2 MARWAH</v>
      </c>
      <c r="F327" s="46"/>
      <c r="G327" s="46"/>
      <c r="H327" s="43" t="s">
        <v>131</v>
      </c>
      <c r="I327" s="44">
        <v>1540000</v>
      </c>
      <c r="J327" s="87">
        <v>45977</v>
      </c>
      <c r="K327" s="88">
        <v>0.59717592592592594</v>
      </c>
      <c r="L327" s="38">
        <f t="shared" si="12"/>
        <v>0</v>
      </c>
      <c r="M327" s="17">
        <f t="shared" si="13"/>
        <v>-1540000</v>
      </c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  <c r="AE327" s="33"/>
      <c r="AF327" s="33"/>
      <c r="AG327" s="33"/>
      <c r="AH327" s="33"/>
      <c r="AI327" s="33"/>
      <c r="AJ327" s="33"/>
      <c r="AK327" s="33"/>
      <c r="AL327" s="33"/>
      <c r="AM327" s="33"/>
      <c r="AN327" s="33"/>
      <c r="AO327" s="33"/>
    </row>
    <row r="328" spans="1:41" ht="120">
      <c r="A328" s="46"/>
      <c r="B328" s="46"/>
      <c r="C328" s="46" t="s">
        <v>1801</v>
      </c>
      <c r="D328" s="46" t="s">
        <v>61</v>
      </c>
      <c r="E328" s="111" t="str">
        <f>VLOOKUP(C328,KELAS!$A$2:$D$643,4,0)</f>
        <v>3 MARWAH</v>
      </c>
      <c r="F328" s="46"/>
      <c r="G328" s="46"/>
      <c r="H328" s="43" t="s">
        <v>753</v>
      </c>
      <c r="I328" s="44">
        <v>1400000</v>
      </c>
      <c r="J328" s="87">
        <v>45977</v>
      </c>
      <c r="K328" s="88">
        <v>0.62787037037037041</v>
      </c>
      <c r="L328" s="38">
        <f t="shared" si="12"/>
        <v>0</v>
      </c>
      <c r="M328" s="17">
        <f t="shared" si="13"/>
        <v>-1400000</v>
      </c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  <c r="AC328" s="33"/>
      <c r="AD328" s="33"/>
      <c r="AE328" s="33"/>
      <c r="AF328" s="33"/>
      <c r="AG328" s="33"/>
      <c r="AH328" s="33"/>
      <c r="AI328" s="33"/>
      <c r="AJ328" s="33"/>
      <c r="AK328" s="33"/>
      <c r="AL328" s="33"/>
      <c r="AM328" s="33"/>
      <c r="AN328" s="33"/>
      <c r="AO328" s="33"/>
    </row>
    <row r="329" spans="1:41" ht="120">
      <c r="A329" s="46"/>
      <c r="B329" s="46"/>
      <c r="C329" s="46" t="s">
        <v>1311</v>
      </c>
      <c r="D329" s="46" t="s">
        <v>61</v>
      </c>
      <c r="E329" s="111" t="str">
        <f>VLOOKUP(C329,KELAS!$A$2:$D$643,4,0)</f>
        <v>1 MARWAH/TAHFIDZ</v>
      </c>
      <c r="F329" s="46"/>
      <c r="G329" s="46"/>
      <c r="H329" s="43" t="s">
        <v>755</v>
      </c>
      <c r="I329" s="44">
        <v>1617000</v>
      </c>
      <c r="J329" s="87">
        <v>45977</v>
      </c>
      <c r="K329" s="88">
        <v>0.72864583333333333</v>
      </c>
      <c r="L329" s="38">
        <f t="shared" si="12"/>
        <v>0</v>
      </c>
      <c r="M329" s="17">
        <f t="shared" si="13"/>
        <v>-1617000</v>
      </c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  <c r="AD329" s="33"/>
      <c r="AE329" s="33"/>
      <c r="AF329" s="33"/>
      <c r="AG329" s="33"/>
      <c r="AH329" s="33"/>
      <c r="AI329" s="33"/>
      <c r="AJ329" s="33"/>
      <c r="AK329" s="33"/>
      <c r="AL329" s="33"/>
      <c r="AM329" s="33"/>
      <c r="AN329" s="33"/>
      <c r="AO329" s="33"/>
    </row>
    <row r="330" spans="1:41" ht="105">
      <c r="A330" s="46"/>
      <c r="B330" s="46"/>
      <c r="C330" s="46" t="s">
        <v>1257</v>
      </c>
      <c r="D330" s="46" t="s">
        <v>61</v>
      </c>
      <c r="E330" s="111" t="str">
        <f>VLOOKUP(C330,KELAS!$A$2:$D$643,4,0)</f>
        <v>1 MINA</v>
      </c>
      <c r="F330" s="46"/>
      <c r="G330" s="46"/>
      <c r="H330" s="43" t="s">
        <v>757</v>
      </c>
      <c r="I330" s="44">
        <v>1617000</v>
      </c>
      <c r="J330" s="87">
        <v>45977</v>
      </c>
      <c r="K330" s="88">
        <v>0.77034722222222218</v>
      </c>
      <c r="L330" s="38">
        <f t="shared" si="12"/>
        <v>0</v>
      </c>
      <c r="M330" s="17">
        <f t="shared" si="13"/>
        <v>-1617000</v>
      </c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  <c r="AC330" s="33"/>
      <c r="AD330" s="33"/>
      <c r="AE330" s="33"/>
      <c r="AF330" s="33"/>
      <c r="AG330" s="33"/>
      <c r="AH330" s="33"/>
      <c r="AI330" s="33"/>
      <c r="AJ330" s="33"/>
      <c r="AK330" s="33"/>
      <c r="AL330" s="33"/>
      <c r="AM330" s="33"/>
      <c r="AN330" s="33"/>
      <c r="AO330" s="33"/>
    </row>
    <row r="331" spans="1:41" ht="105">
      <c r="A331" s="46"/>
      <c r="B331" s="46"/>
      <c r="C331" s="46" t="s">
        <v>2126</v>
      </c>
      <c r="D331" s="46" t="s">
        <v>61</v>
      </c>
      <c r="E331" s="111" t="str">
        <f>VLOOKUP(C331,KELAS!$A$2:$D$643,4,0)</f>
        <v>5 MINA</v>
      </c>
      <c r="F331" s="46"/>
      <c r="G331" s="46"/>
      <c r="H331" s="43" t="s">
        <v>759</v>
      </c>
      <c r="I331" s="44">
        <v>2800000</v>
      </c>
      <c r="J331" s="87">
        <v>45977</v>
      </c>
      <c r="K331" s="88">
        <v>0.85465277777777782</v>
      </c>
      <c r="L331" s="38">
        <f t="shared" si="12"/>
        <v>0</v>
      </c>
      <c r="M331" s="17">
        <f t="shared" si="13"/>
        <v>-2800000</v>
      </c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  <c r="AC331" s="33"/>
      <c r="AD331" s="33"/>
      <c r="AE331" s="33"/>
      <c r="AF331" s="33"/>
      <c r="AG331" s="33"/>
      <c r="AH331" s="33"/>
      <c r="AI331" s="33"/>
      <c r="AJ331" s="33"/>
      <c r="AK331" s="33"/>
      <c r="AL331" s="33"/>
      <c r="AM331" s="33"/>
      <c r="AN331" s="33"/>
      <c r="AO331" s="33"/>
    </row>
    <row r="332" spans="1:41" ht="90">
      <c r="A332" s="46"/>
      <c r="B332" s="46"/>
      <c r="C332" s="46" t="s">
        <v>1647</v>
      </c>
      <c r="D332" s="46" t="s">
        <v>61</v>
      </c>
      <c r="E332" s="111" t="str">
        <f>VLOOKUP(C332,KELAS!$A$2:$D$643,4,0)</f>
        <v>3 MEKKAH</v>
      </c>
      <c r="F332" s="46"/>
      <c r="G332" s="46"/>
      <c r="H332" s="43" t="s">
        <v>151</v>
      </c>
      <c r="I332" s="44">
        <v>1450000</v>
      </c>
      <c r="J332" s="87">
        <v>45977</v>
      </c>
      <c r="K332" s="88">
        <v>0.88783564814814819</v>
      </c>
      <c r="L332" s="38">
        <f t="shared" si="12"/>
        <v>0</v>
      </c>
      <c r="M332" s="17">
        <f t="shared" si="13"/>
        <v>-1450000</v>
      </c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  <c r="AC332" s="33"/>
      <c r="AD332" s="33"/>
      <c r="AE332" s="33"/>
      <c r="AF332" s="33"/>
      <c r="AG332" s="33"/>
      <c r="AH332" s="33"/>
      <c r="AI332" s="33"/>
      <c r="AJ332" s="33"/>
      <c r="AK332" s="33"/>
      <c r="AL332" s="33"/>
      <c r="AM332" s="33"/>
      <c r="AN332" s="33"/>
      <c r="AO332" s="33"/>
    </row>
    <row r="333" spans="1:41" ht="120">
      <c r="A333" s="46"/>
      <c r="B333" s="46"/>
      <c r="C333" s="46" t="s">
        <v>1422</v>
      </c>
      <c r="D333" s="46" t="s">
        <v>61</v>
      </c>
      <c r="E333" s="111" t="str">
        <f>VLOOKUP(C333,KELAS!$A$2:$D$643,4,0)</f>
        <v>2 MADINAH</v>
      </c>
      <c r="F333" s="46"/>
      <c r="G333" s="46"/>
      <c r="H333" s="43" t="s">
        <v>762</v>
      </c>
      <c r="I333" s="44">
        <v>1540000</v>
      </c>
      <c r="J333" s="87">
        <v>45978</v>
      </c>
      <c r="K333" s="88">
        <v>0.31451388888888887</v>
      </c>
      <c r="L333" s="38">
        <f t="shared" si="12"/>
        <v>0</v>
      </c>
      <c r="M333" s="17">
        <f t="shared" si="13"/>
        <v>-1540000</v>
      </c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  <c r="AE333" s="33"/>
      <c r="AF333" s="33"/>
      <c r="AG333" s="33"/>
      <c r="AH333" s="33"/>
      <c r="AI333" s="33"/>
      <c r="AJ333" s="33"/>
      <c r="AK333" s="33"/>
      <c r="AL333" s="33"/>
      <c r="AM333" s="33"/>
      <c r="AN333" s="33"/>
      <c r="AO333" s="33"/>
    </row>
    <row r="334" spans="1:41" ht="75">
      <c r="A334" s="46"/>
      <c r="B334" s="46"/>
      <c r="C334" s="46" t="s">
        <v>1865</v>
      </c>
      <c r="D334" s="46" t="s">
        <v>61</v>
      </c>
      <c r="E334" s="111" t="str">
        <f>VLOOKUP(C334,KELAS!$A$2:$D$643,4,0)</f>
        <v>4 MEKKAH</v>
      </c>
      <c r="F334" s="46"/>
      <c r="G334" s="46"/>
      <c r="H334" s="43" t="s">
        <v>764</v>
      </c>
      <c r="I334" s="44">
        <v>1450000</v>
      </c>
      <c r="J334" s="87">
        <v>45978</v>
      </c>
      <c r="K334" s="88">
        <v>0.58546296296296296</v>
      </c>
      <c r="L334" s="38">
        <f t="shared" si="12"/>
        <v>0</v>
      </c>
      <c r="M334" s="17">
        <f t="shared" si="13"/>
        <v>-1450000</v>
      </c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  <c r="AD334" s="33"/>
      <c r="AE334" s="33"/>
      <c r="AF334" s="33"/>
      <c r="AG334" s="33"/>
      <c r="AH334" s="33"/>
      <c r="AI334" s="33"/>
      <c r="AJ334" s="33"/>
      <c r="AK334" s="33"/>
      <c r="AL334" s="33"/>
      <c r="AM334" s="33"/>
      <c r="AN334" s="33"/>
      <c r="AO334" s="33"/>
    </row>
    <row r="335" spans="1:41" ht="120">
      <c r="A335" s="46"/>
      <c r="B335" s="46"/>
      <c r="C335" s="46" t="s">
        <v>1295</v>
      </c>
      <c r="D335" s="46" t="s">
        <v>61</v>
      </c>
      <c r="E335" s="111" t="str">
        <f>VLOOKUP(C335,KELAS!$A$2:$D$643,4,0)</f>
        <v>1 MINA</v>
      </c>
      <c r="F335" s="46"/>
      <c r="G335" s="46"/>
      <c r="H335" s="43" t="s">
        <v>766</v>
      </c>
      <c r="I335" s="44">
        <v>1617000</v>
      </c>
      <c r="J335" s="87">
        <v>45978</v>
      </c>
      <c r="K335" s="88">
        <v>0.59225694444444443</v>
      </c>
      <c r="L335" s="38">
        <f t="shared" si="12"/>
        <v>0</v>
      </c>
      <c r="M335" s="17">
        <f t="shared" si="13"/>
        <v>-1617000</v>
      </c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  <c r="AD335" s="33"/>
      <c r="AE335" s="33"/>
      <c r="AF335" s="33"/>
      <c r="AG335" s="33"/>
      <c r="AH335" s="33"/>
      <c r="AI335" s="33"/>
      <c r="AJ335" s="33"/>
      <c r="AK335" s="33"/>
      <c r="AL335" s="33"/>
      <c r="AM335" s="33"/>
      <c r="AN335" s="33"/>
      <c r="AO335" s="33"/>
    </row>
    <row r="336" spans="1:41" ht="90">
      <c r="A336" s="46"/>
      <c r="B336" s="46"/>
      <c r="C336" s="46" t="s">
        <v>1792</v>
      </c>
      <c r="D336" s="46" t="s">
        <v>61</v>
      </c>
      <c r="E336" s="111" t="str">
        <f>VLOOKUP(C336,KELAS!$A$2:$D$643,4,0)</f>
        <v>3 MARWAH</v>
      </c>
      <c r="F336" s="46"/>
      <c r="G336" s="46"/>
      <c r="H336" s="43" t="s">
        <v>768</v>
      </c>
      <c r="I336" s="44">
        <v>1450000</v>
      </c>
      <c r="J336" s="87">
        <v>45978</v>
      </c>
      <c r="K336" s="88">
        <v>0.65011574074074074</v>
      </c>
      <c r="L336" s="38">
        <f t="shared" si="12"/>
        <v>0</v>
      </c>
      <c r="M336" s="17">
        <f t="shared" si="13"/>
        <v>-1450000</v>
      </c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  <c r="AC336" s="33"/>
      <c r="AD336" s="33"/>
      <c r="AE336" s="33"/>
      <c r="AF336" s="33"/>
      <c r="AG336" s="33"/>
      <c r="AH336" s="33"/>
      <c r="AI336" s="33"/>
      <c r="AJ336" s="33"/>
      <c r="AK336" s="33"/>
      <c r="AL336" s="33"/>
      <c r="AM336" s="33"/>
      <c r="AN336" s="33"/>
      <c r="AO336" s="33"/>
    </row>
    <row r="337" spans="1:41" ht="120">
      <c r="A337" s="46"/>
      <c r="B337" s="46"/>
      <c r="C337" s="46" t="s">
        <v>1301</v>
      </c>
      <c r="D337" s="46" t="s">
        <v>61</v>
      </c>
      <c r="E337" s="111" t="str">
        <f>VLOOKUP(C337,KELAS!$A$2:$D$643,4,0)</f>
        <v>1 MARWAH/TAHFIDZ</v>
      </c>
      <c r="F337" s="46"/>
      <c r="G337" s="46"/>
      <c r="H337" s="43" t="s">
        <v>770</v>
      </c>
      <c r="I337" s="44">
        <v>1617000</v>
      </c>
      <c r="J337" s="87">
        <v>45978</v>
      </c>
      <c r="K337" s="88">
        <v>0.69550925925925922</v>
      </c>
      <c r="L337" s="38">
        <f t="shared" si="12"/>
        <v>0</v>
      </c>
      <c r="M337" s="17">
        <f t="shared" si="13"/>
        <v>-1617000</v>
      </c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  <c r="AC337" s="33"/>
      <c r="AD337" s="33"/>
      <c r="AE337" s="33"/>
      <c r="AF337" s="33"/>
      <c r="AG337" s="33"/>
      <c r="AH337" s="33"/>
      <c r="AI337" s="33"/>
      <c r="AJ337" s="33"/>
      <c r="AK337" s="33"/>
      <c r="AL337" s="33"/>
      <c r="AM337" s="33"/>
      <c r="AN337" s="33"/>
      <c r="AO337" s="33"/>
    </row>
    <row r="338" spans="1:41" ht="90">
      <c r="A338" s="46"/>
      <c r="B338" s="46"/>
      <c r="C338" s="46" t="s">
        <v>2122</v>
      </c>
      <c r="D338" s="46" t="s">
        <v>61</v>
      </c>
      <c r="E338" s="111" t="str">
        <f>VLOOKUP(C338,KELAS!$A$2:$D$643,4,0)</f>
        <v>5 MINA</v>
      </c>
      <c r="F338" s="46"/>
      <c r="G338" s="46"/>
      <c r="H338" s="43" t="s">
        <v>92</v>
      </c>
      <c r="I338" s="44">
        <v>1400000</v>
      </c>
      <c r="J338" s="87">
        <v>45978</v>
      </c>
      <c r="K338" s="88">
        <v>0.77134259259259264</v>
      </c>
      <c r="L338" s="38">
        <f t="shared" si="12"/>
        <v>0</v>
      </c>
      <c r="M338" s="17">
        <f t="shared" si="13"/>
        <v>-1400000</v>
      </c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  <c r="AC338" s="33"/>
      <c r="AD338" s="33"/>
      <c r="AE338" s="33"/>
      <c r="AF338" s="33"/>
      <c r="AG338" s="33"/>
      <c r="AH338" s="33"/>
      <c r="AI338" s="33"/>
      <c r="AJ338" s="33"/>
      <c r="AK338" s="33"/>
      <c r="AL338" s="33"/>
      <c r="AM338" s="33"/>
      <c r="AN338" s="33"/>
      <c r="AO338" s="33"/>
    </row>
    <row r="339" spans="1:41" ht="105">
      <c r="A339" s="46"/>
      <c r="B339" s="46"/>
      <c r="C339" s="46" t="s">
        <v>1936</v>
      </c>
      <c r="D339" s="46" t="s">
        <v>61</v>
      </c>
      <c r="E339" s="111" t="str">
        <f>VLOOKUP(C339,KELAS!$A$2:$D$643,4,0)</f>
        <v>4 MADINAH</v>
      </c>
      <c r="F339" s="46"/>
      <c r="G339" s="46"/>
      <c r="H339" s="43" t="s">
        <v>773</v>
      </c>
      <c r="I339" s="44">
        <v>1450000</v>
      </c>
      <c r="J339" s="87">
        <v>45979</v>
      </c>
      <c r="K339" s="88">
        <v>0.91287037037037033</v>
      </c>
      <c r="L339" s="38">
        <f t="shared" si="12"/>
        <v>0</v>
      </c>
      <c r="M339" s="17">
        <f t="shared" si="13"/>
        <v>-1450000</v>
      </c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  <c r="AE339" s="33"/>
      <c r="AF339" s="33"/>
      <c r="AG339" s="33"/>
      <c r="AH339" s="33"/>
      <c r="AI339" s="33"/>
      <c r="AJ339" s="33"/>
      <c r="AK339" s="33"/>
      <c r="AL339" s="33"/>
      <c r="AM339" s="33"/>
      <c r="AN339" s="33"/>
      <c r="AO339" s="33"/>
    </row>
    <row r="340" spans="1:41" ht="90">
      <c r="A340" s="46"/>
      <c r="B340" s="46"/>
      <c r="C340" s="46" t="s">
        <v>1922</v>
      </c>
      <c r="D340" s="46" t="s">
        <v>61</v>
      </c>
      <c r="E340" s="111" t="str">
        <f>VLOOKUP(C340,KELAS!$A$2:$D$643,4,0)</f>
        <v>4 MADINAH</v>
      </c>
      <c r="F340" s="46"/>
      <c r="G340" s="46"/>
      <c r="H340" s="43" t="s">
        <v>775</v>
      </c>
      <c r="I340" s="44">
        <v>1450000</v>
      </c>
      <c r="J340" s="87">
        <v>45980</v>
      </c>
      <c r="K340" s="88">
        <v>0.23826388888888889</v>
      </c>
      <c r="L340" s="38">
        <f t="shared" si="12"/>
        <v>0</v>
      </c>
      <c r="M340" s="17">
        <f t="shared" si="13"/>
        <v>-1450000</v>
      </c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  <c r="AD340" s="33"/>
      <c r="AE340" s="33"/>
      <c r="AF340" s="33"/>
      <c r="AG340" s="33"/>
      <c r="AH340" s="33"/>
      <c r="AI340" s="33"/>
      <c r="AJ340" s="33"/>
      <c r="AK340" s="33"/>
      <c r="AL340" s="33"/>
      <c r="AM340" s="33"/>
      <c r="AN340" s="33"/>
      <c r="AO340" s="33"/>
    </row>
    <row r="341" spans="1:41" ht="120">
      <c r="A341" s="46"/>
      <c r="B341" s="46"/>
      <c r="C341" s="46" t="s">
        <v>2151</v>
      </c>
      <c r="D341" s="46" t="s">
        <v>61</v>
      </c>
      <c r="E341" s="111" t="str">
        <f>VLOOKUP(C341,KELAS!$A$2:$D$643,4,0)</f>
        <v>5 MINA</v>
      </c>
      <c r="F341" s="46"/>
      <c r="G341" s="46"/>
      <c r="H341" s="43" t="s">
        <v>777</v>
      </c>
      <c r="I341" s="44">
        <v>4200000</v>
      </c>
      <c r="J341" s="87">
        <v>45980</v>
      </c>
      <c r="K341" s="88">
        <v>0.38163194444444443</v>
      </c>
      <c r="L341" s="38">
        <f t="shared" si="12"/>
        <v>0</v>
      </c>
      <c r="M341" s="17">
        <f t="shared" si="13"/>
        <v>-4200000</v>
      </c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  <c r="AE341" s="33"/>
      <c r="AF341" s="33"/>
      <c r="AG341" s="33"/>
      <c r="AH341" s="33"/>
      <c r="AI341" s="33"/>
      <c r="AJ341" s="33"/>
      <c r="AK341" s="33"/>
      <c r="AL341" s="33"/>
      <c r="AM341" s="33"/>
      <c r="AN341" s="33"/>
      <c r="AO341" s="33"/>
    </row>
    <row r="342" spans="1:41" ht="75">
      <c r="A342" s="46"/>
      <c r="B342" s="46"/>
      <c r="C342" s="46" t="s">
        <v>1845</v>
      </c>
      <c r="D342" s="46" t="s">
        <v>61</v>
      </c>
      <c r="E342" s="111" t="str">
        <f>VLOOKUP(C342,KELAS!$A$2:$D$643,4,0)</f>
        <v>4 MEKKAH</v>
      </c>
      <c r="F342" s="46"/>
      <c r="G342" s="46"/>
      <c r="H342" s="43" t="s">
        <v>779</v>
      </c>
      <c r="I342" s="44">
        <v>1450000</v>
      </c>
      <c r="J342" s="87">
        <v>45980</v>
      </c>
      <c r="K342" s="88">
        <v>0.41346064814814815</v>
      </c>
      <c r="L342" s="38">
        <f t="shared" si="12"/>
        <v>0</v>
      </c>
      <c r="M342" s="17">
        <f t="shared" si="13"/>
        <v>-1450000</v>
      </c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  <c r="AC342" s="33"/>
      <c r="AD342" s="33"/>
      <c r="AE342" s="33"/>
      <c r="AF342" s="33"/>
      <c r="AG342" s="33"/>
      <c r="AH342" s="33"/>
      <c r="AI342" s="33"/>
      <c r="AJ342" s="33"/>
      <c r="AK342" s="33"/>
      <c r="AL342" s="33"/>
      <c r="AM342" s="33"/>
      <c r="AN342" s="33"/>
      <c r="AO342" s="33"/>
    </row>
    <row r="343" spans="1:41" ht="75">
      <c r="A343" s="46"/>
      <c r="B343" s="46"/>
      <c r="C343" s="46" t="s">
        <v>2369</v>
      </c>
      <c r="D343" s="46" t="s">
        <v>61</v>
      </c>
      <c r="E343" s="111" t="e">
        <f>VLOOKUP(C343,KELAS!$A$2:$D$643,4,0)</f>
        <v>#N/A</v>
      </c>
      <c r="F343" s="46"/>
      <c r="G343" s="46"/>
      <c r="H343" s="43" t="s">
        <v>781</v>
      </c>
      <c r="I343" s="44">
        <v>1540000</v>
      </c>
      <c r="J343" s="87">
        <v>45980</v>
      </c>
      <c r="K343" s="88">
        <v>0.41400462962962964</v>
      </c>
      <c r="L343" s="38">
        <f t="shared" si="12"/>
        <v>0</v>
      </c>
      <c r="M343" s="17">
        <f t="shared" si="13"/>
        <v>-1540000</v>
      </c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  <c r="AD343" s="33"/>
      <c r="AE343" s="33"/>
      <c r="AF343" s="33"/>
      <c r="AG343" s="33"/>
      <c r="AH343" s="33"/>
      <c r="AI343" s="33"/>
      <c r="AJ343" s="33"/>
      <c r="AK343" s="33"/>
      <c r="AL343" s="33"/>
      <c r="AM343" s="33"/>
      <c r="AN343" s="33"/>
      <c r="AO343" s="33"/>
    </row>
    <row r="344" spans="1:41" ht="90">
      <c r="A344" s="46"/>
      <c r="B344" s="46"/>
      <c r="C344" s="46" t="s">
        <v>1546</v>
      </c>
      <c r="D344" s="46" t="s">
        <v>61</v>
      </c>
      <c r="E344" s="111" t="str">
        <f>VLOOKUP(C344,KELAS!$A$2:$D$643,4,0)</f>
        <v>2 MARWAH</v>
      </c>
      <c r="F344" s="46"/>
      <c r="G344" s="46"/>
      <c r="H344" s="43" t="s">
        <v>783</v>
      </c>
      <c r="I344" s="44">
        <v>1540000</v>
      </c>
      <c r="J344" s="87">
        <v>45980</v>
      </c>
      <c r="K344" s="88">
        <v>0.45126157407407408</v>
      </c>
      <c r="L344" s="38">
        <f t="shared" si="12"/>
        <v>0</v>
      </c>
      <c r="M344" s="17">
        <f t="shared" si="13"/>
        <v>-1540000</v>
      </c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  <c r="AC344" s="33"/>
      <c r="AD344" s="33"/>
      <c r="AE344" s="33"/>
      <c r="AF344" s="33"/>
      <c r="AG344" s="33"/>
      <c r="AH344" s="33"/>
      <c r="AI344" s="33"/>
      <c r="AJ344" s="33"/>
      <c r="AK344" s="33"/>
      <c r="AL344" s="33"/>
      <c r="AM344" s="33"/>
      <c r="AN344" s="33"/>
      <c r="AO344" s="33"/>
    </row>
    <row r="345" spans="1:41" ht="90">
      <c r="A345" s="46"/>
      <c r="B345" s="46"/>
      <c r="C345" s="46" t="s">
        <v>2207</v>
      </c>
      <c r="D345" s="46" t="s">
        <v>61</v>
      </c>
      <c r="E345" s="111" t="str">
        <f>VLOOKUP(C345,KELAS!$A$2:$D$643,4,0)</f>
        <v>6 MEKKAH</v>
      </c>
      <c r="F345" s="46"/>
      <c r="G345" s="46"/>
      <c r="H345" s="43" t="s">
        <v>785</v>
      </c>
      <c r="I345" s="44">
        <v>1400000</v>
      </c>
      <c r="J345" s="87">
        <v>45980</v>
      </c>
      <c r="K345" s="88">
        <v>0.45307870370370368</v>
      </c>
      <c r="L345" s="38">
        <f t="shared" si="12"/>
        <v>0</v>
      </c>
      <c r="M345" s="17">
        <f t="shared" si="13"/>
        <v>-1400000</v>
      </c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  <c r="AD345" s="33"/>
      <c r="AE345" s="33"/>
      <c r="AF345" s="33"/>
      <c r="AG345" s="33"/>
      <c r="AH345" s="33"/>
      <c r="AI345" s="33"/>
      <c r="AJ345" s="33"/>
      <c r="AK345" s="33"/>
      <c r="AL345" s="33"/>
      <c r="AM345" s="33"/>
      <c r="AN345" s="33"/>
      <c r="AO345" s="33"/>
    </row>
    <row r="346" spans="1:41" ht="90">
      <c r="A346" s="46"/>
      <c r="B346" s="46"/>
      <c r="C346" s="46" t="s">
        <v>1612</v>
      </c>
      <c r="D346" s="46" t="s">
        <v>61</v>
      </c>
      <c r="E346" s="111" t="str">
        <f>VLOOKUP(C346,KELAS!$A$2:$D$643,4,0)</f>
        <v>3 MEKKAH</v>
      </c>
      <c r="F346" s="46"/>
      <c r="G346" s="46"/>
      <c r="H346" s="43" t="s">
        <v>787</v>
      </c>
      <c r="I346" s="44">
        <v>1400000</v>
      </c>
      <c r="J346" s="87">
        <v>45980</v>
      </c>
      <c r="K346" s="88">
        <v>0.82574074074074078</v>
      </c>
      <c r="L346" s="38">
        <f t="shared" si="12"/>
        <v>0</v>
      </c>
      <c r="M346" s="17">
        <f t="shared" si="13"/>
        <v>-1400000</v>
      </c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  <c r="AD346" s="33"/>
      <c r="AE346" s="33"/>
      <c r="AF346" s="33"/>
      <c r="AG346" s="33"/>
      <c r="AH346" s="33"/>
      <c r="AI346" s="33"/>
      <c r="AJ346" s="33"/>
      <c r="AK346" s="33"/>
      <c r="AL346" s="33"/>
      <c r="AM346" s="33"/>
      <c r="AN346" s="33"/>
      <c r="AO346" s="33"/>
    </row>
    <row r="347" spans="1:41" ht="105">
      <c r="A347" s="46"/>
      <c r="B347" s="46"/>
      <c r="C347" s="46" t="s">
        <v>1690</v>
      </c>
      <c r="D347" s="46" t="s">
        <v>61</v>
      </c>
      <c r="E347" s="111" t="str">
        <f>VLOOKUP(C347,KELAS!$A$2:$D$643,4,0)</f>
        <v>3 MADINAH</v>
      </c>
      <c r="F347" s="46"/>
      <c r="G347" s="46"/>
      <c r="H347" s="43" t="s">
        <v>789</v>
      </c>
      <c r="I347" s="44">
        <v>1400000</v>
      </c>
      <c r="J347" s="87">
        <v>45981</v>
      </c>
      <c r="K347" s="88">
        <v>0.27251157407407406</v>
      </c>
      <c r="L347" s="38">
        <f t="shared" si="12"/>
        <v>0</v>
      </c>
      <c r="M347" s="17">
        <f t="shared" si="13"/>
        <v>-1400000</v>
      </c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  <c r="AD347" s="33"/>
      <c r="AE347" s="33"/>
      <c r="AF347" s="33"/>
      <c r="AG347" s="33"/>
      <c r="AH347" s="33"/>
      <c r="AI347" s="33"/>
      <c r="AJ347" s="33"/>
      <c r="AK347" s="33"/>
      <c r="AL347" s="33"/>
      <c r="AM347" s="33"/>
      <c r="AN347" s="33"/>
      <c r="AO347" s="33"/>
    </row>
    <row r="348" spans="1:41" ht="120">
      <c r="A348" s="46"/>
      <c r="B348" s="46"/>
      <c r="C348" s="46" t="s">
        <v>2337</v>
      </c>
      <c r="D348" s="46" t="s">
        <v>61</v>
      </c>
      <c r="E348" s="111" t="str">
        <f>VLOOKUP(C348,KELAS!$A$2:$D$643,4,0)</f>
        <v>6 MINA</v>
      </c>
      <c r="F348" s="46"/>
      <c r="G348" s="46"/>
      <c r="H348" s="43" t="s">
        <v>791</v>
      </c>
      <c r="I348" s="44">
        <v>1400000</v>
      </c>
      <c r="J348" s="87">
        <v>45981</v>
      </c>
      <c r="K348" s="88">
        <v>0.27355324074074072</v>
      </c>
      <c r="L348" s="38">
        <f t="shared" si="12"/>
        <v>0</v>
      </c>
      <c r="M348" s="17">
        <f t="shared" si="13"/>
        <v>-1400000</v>
      </c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  <c r="AD348" s="33"/>
      <c r="AE348" s="33"/>
      <c r="AF348" s="33"/>
      <c r="AG348" s="33"/>
      <c r="AH348" s="33"/>
      <c r="AI348" s="33"/>
      <c r="AJ348" s="33"/>
      <c r="AK348" s="33"/>
      <c r="AL348" s="33"/>
      <c r="AM348" s="33"/>
      <c r="AN348" s="33"/>
      <c r="AO348" s="33"/>
    </row>
    <row r="349" spans="1:41" ht="90">
      <c r="A349" s="46"/>
      <c r="B349" s="46"/>
      <c r="C349" s="46" t="s">
        <v>1345</v>
      </c>
      <c r="D349" s="46" t="s">
        <v>61</v>
      </c>
      <c r="E349" s="111" t="str">
        <f>VLOOKUP(C349,KELAS!$A$2:$D$643,4,0)</f>
        <v>2 MEKKAH</v>
      </c>
      <c r="F349" s="46"/>
      <c r="G349" s="46"/>
      <c r="H349" s="43" t="s">
        <v>793</v>
      </c>
      <c r="I349" s="44">
        <v>1540000</v>
      </c>
      <c r="J349" s="87">
        <v>45981</v>
      </c>
      <c r="K349" s="88">
        <v>0.42978009259259259</v>
      </c>
      <c r="L349" s="38">
        <f t="shared" si="12"/>
        <v>0</v>
      </c>
      <c r="M349" s="17">
        <f t="shared" si="13"/>
        <v>-1540000</v>
      </c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  <c r="AD349" s="33"/>
      <c r="AE349" s="33"/>
      <c r="AF349" s="33"/>
      <c r="AG349" s="33"/>
      <c r="AH349" s="33"/>
      <c r="AI349" s="33"/>
      <c r="AJ349" s="33"/>
      <c r="AK349" s="33"/>
      <c r="AL349" s="33"/>
      <c r="AM349" s="33"/>
      <c r="AN349" s="33"/>
      <c r="AO349" s="33"/>
    </row>
    <row r="350" spans="1:41" ht="120">
      <c r="A350" s="46"/>
      <c r="B350" s="46"/>
      <c r="C350" s="46" t="s">
        <v>1630</v>
      </c>
      <c r="D350" s="46" t="s">
        <v>61</v>
      </c>
      <c r="E350" s="111" t="str">
        <f>VLOOKUP(C350,KELAS!$A$2:$D$643,4,0)</f>
        <v>3 MEKKAH</v>
      </c>
      <c r="F350" s="46"/>
      <c r="G350" s="46"/>
      <c r="H350" s="43" t="s">
        <v>795</v>
      </c>
      <c r="I350" s="44">
        <v>1400000</v>
      </c>
      <c r="J350" s="87">
        <v>45981</v>
      </c>
      <c r="K350" s="88">
        <v>0.48480324074074072</v>
      </c>
      <c r="L350" s="38">
        <f t="shared" si="12"/>
        <v>0</v>
      </c>
      <c r="M350" s="17">
        <f t="shared" si="13"/>
        <v>-1400000</v>
      </c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  <c r="AC350" s="33"/>
      <c r="AD350" s="33"/>
      <c r="AE350" s="33"/>
      <c r="AF350" s="33"/>
      <c r="AG350" s="33"/>
      <c r="AH350" s="33"/>
      <c r="AI350" s="33"/>
      <c r="AJ350" s="33"/>
      <c r="AK350" s="33"/>
      <c r="AL350" s="33"/>
      <c r="AM350" s="33"/>
      <c r="AN350" s="33"/>
      <c r="AO350" s="33"/>
    </row>
    <row r="351" spans="1:41" ht="75">
      <c r="A351" s="46"/>
      <c r="B351" s="46"/>
      <c r="C351" s="46" t="s">
        <v>2370</v>
      </c>
      <c r="D351" s="46" t="s">
        <v>61</v>
      </c>
      <c r="E351" s="111" t="e">
        <f>VLOOKUP(C351,KELAS!$A$2:$D$643,4,0)</f>
        <v>#N/A</v>
      </c>
      <c r="F351" s="46"/>
      <c r="G351" s="46"/>
      <c r="H351" s="43" t="s">
        <v>797</v>
      </c>
      <c r="I351" s="44">
        <v>8400000</v>
      </c>
      <c r="J351" s="87">
        <v>45981</v>
      </c>
      <c r="K351" s="88">
        <v>0.78925925925925922</v>
      </c>
      <c r="L351" s="38">
        <f t="shared" si="12"/>
        <v>0</v>
      </c>
      <c r="M351" s="17">
        <f t="shared" si="13"/>
        <v>-8400000</v>
      </c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  <c r="AC351" s="33"/>
      <c r="AD351" s="33"/>
      <c r="AE351" s="33"/>
      <c r="AF351" s="33"/>
      <c r="AG351" s="33"/>
      <c r="AH351" s="33"/>
      <c r="AI351" s="33"/>
      <c r="AJ351" s="33"/>
      <c r="AK351" s="33"/>
      <c r="AL351" s="33"/>
      <c r="AM351" s="33"/>
      <c r="AN351" s="33"/>
      <c r="AO351" s="33"/>
    </row>
    <row r="352" spans="1:41" ht="75">
      <c r="A352" s="46"/>
      <c r="B352" s="46"/>
      <c r="C352" s="46" t="s">
        <v>2371</v>
      </c>
      <c r="D352" s="46" t="s">
        <v>61</v>
      </c>
      <c r="E352" s="111" t="e">
        <f>VLOOKUP(C352,KELAS!$A$2:$D$643,4,0)</f>
        <v>#N/A</v>
      </c>
      <c r="F352" s="46"/>
      <c r="G352" s="46"/>
      <c r="H352" s="43" t="s">
        <v>799</v>
      </c>
      <c r="I352" s="44">
        <v>8400000</v>
      </c>
      <c r="J352" s="87">
        <v>45981</v>
      </c>
      <c r="K352" s="88">
        <v>0.79399305555555555</v>
      </c>
      <c r="L352" s="38">
        <f t="shared" ref="L352:L415" si="14">SUM(N352:AP352)</f>
        <v>0</v>
      </c>
      <c r="M352" s="17">
        <f t="shared" ref="M352:M415" si="15">L352-I352</f>
        <v>-8400000</v>
      </c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  <c r="AC352" s="33"/>
      <c r="AD352" s="33"/>
      <c r="AE352" s="33"/>
      <c r="AF352" s="33"/>
      <c r="AG352" s="33"/>
      <c r="AH352" s="33"/>
      <c r="AI352" s="33"/>
      <c r="AJ352" s="33"/>
      <c r="AK352" s="33"/>
      <c r="AL352" s="33"/>
      <c r="AM352" s="33"/>
      <c r="AN352" s="33"/>
      <c r="AO352" s="33"/>
    </row>
    <row r="353" spans="1:41" ht="105">
      <c r="A353" s="46"/>
      <c r="B353" s="46"/>
      <c r="C353" s="46" t="s">
        <v>1557</v>
      </c>
      <c r="D353" s="46" t="s">
        <v>61</v>
      </c>
      <c r="E353" s="111" t="str">
        <f>VLOOKUP(C353,KELAS!$A$2:$D$643,4,0)</f>
        <v>2 MARWAH</v>
      </c>
      <c r="F353" s="46"/>
      <c r="G353" s="46"/>
      <c r="H353" s="43" t="s">
        <v>801</v>
      </c>
      <c r="I353" s="44">
        <v>1540000</v>
      </c>
      <c r="J353" s="87">
        <v>45982</v>
      </c>
      <c r="K353" s="88">
        <v>0.36978009259259259</v>
      </c>
      <c r="L353" s="38">
        <f t="shared" si="14"/>
        <v>0</v>
      </c>
      <c r="M353" s="17">
        <f t="shared" si="15"/>
        <v>-1540000</v>
      </c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  <c r="AC353" s="33"/>
      <c r="AD353" s="33"/>
      <c r="AE353" s="33"/>
      <c r="AF353" s="33"/>
      <c r="AG353" s="33"/>
      <c r="AH353" s="33"/>
      <c r="AI353" s="33"/>
      <c r="AJ353" s="33"/>
      <c r="AK353" s="33"/>
      <c r="AL353" s="33"/>
      <c r="AM353" s="33"/>
      <c r="AN353" s="33"/>
      <c r="AO353" s="33"/>
    </row>
    <row r="354" spans="1:41" ht="120">
      <c r="A354" s="46"/>
      <c r="B354" s="46"/>
      <c r="C354" s="46" t="s">
        <v>1339</v>
      </c>
      <c r="D354" s="46" t="s">
        <v>61</v>
      </c>
      <c r="E354" s="111" t="str">
        <f>VLOOKUP(C354,KELAS!$A$2:$D$643,4,0)</f>
        <v>1 MARWAH/TAHFIDZ</v>
      </c>
      <c r="F354" s="46"/>
      <c r="G354" s="46"/>
      <c r="H354" s="43" t="s">
        <v>803</v>
      </c>
      <c r="I354" s="44">
        <v>1617000</v>
      </c>
      <c r="J354" s="87">
        <v>45982</v>
      </c>
      <c r="K354" s="88">
        <v>0.3699189814814815</v>
      </c>
      <c r="L354" s="38">
        <f t="shared" si="14"/>
        <v>0</v>
      </c>
      <c r="M354" s="17">
        <f t="shared" si="15"/>
        <v>-1617000</v>
      </c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  <c r="AC354" s="33"/>
      <c r="AD354" s="33"/>
      <c r="AE354" s="33"/>
      <c r="AF354" s="33"/>
      <c r="AG354" s="33"/>
      <c r="AH354" s="33"/>
      <c r="AI354" s="33"/>
      <c r="AJ354" s="33"/>
      <c r="AK354" s="33"/>
      <c r="AL354" s="33"/>
      <c r="AM354" s="33"/>
      <c r="AN354" s="33"/>
      <c r="AO354" s="33"/>
    </row>
    <row r="355" spans="1:41" ht="120">
      <c r="A355" s="46"/>
      <c r="B355" s="46"/>
      <c r="C355" s="46" t="s">
        <v>1655</v>
      </c>
      <c r="D355" s="46" t="s">
        <v>61</v>
      </c>
      <c r="E355" s="111" t="str">
        <f>VLOOKUP(C355,KELAS!$A$2:$D$643,4,0)</f>
        <v>3 MADINAH</v>
      </c>
      <c r="F355" s="46"/>
      <c r="G355" s="46"/>
      <c r="H355" s="43" t="s">
        <v>805</v>
      </c>
      <c r="I355" s="44">
        <v>1450000</v>
      </c>
      <c r="J355" s="87">
        <v>45982</v>
      </c>
      <c r="K355" s="88">
        <v>0.78040509259259261</v>
      </c>
      <c r="L355" s="38">
        <f t="shared" si="14"/>
        <v>0</v>
      </c>
      <c r="M355" s="17">
        <f t="shared" si="15"/>
        <v>-1450000</v>
      </c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  <c r="AC355" s="33"/>
      <c r="AD355" s="33"/>
      <c r="AE355" s="33"/>
      <c r="AF355" s="33"/>
      <c r="AG355" s="33"/>
      <c r="AH355" s="33"/>
      <c r="AI355" s="33"/>
      <c r="AJ355" s="33"/>
      <c r="AK355" s="33"/>
      <c r="AL355" s="33"/>
      <c r="AM355" s="33"/>
      <c r="AN355" s="33"/>
      <c r="AO355" s="33"/>
    </row>
    <row r="356" spans="1:41" ht="75">
      <c r="A356" s="46"/>
      <c r="B356" s="46"/>
      <c r="C356" s="46" t="s">
        <v>1198</v>
      </c>
      <c r="D356" s="46" t="s">
        <v>61</v>
      </c>
      <c r="E356" s="111" t="str">
        <f>VLOOKUP(C356,KELAS!$A$2:$D$643,4,0)</f>
        <v>1 MADINAH</v>
      </c>
      <c r="F356" s="46"/>
      <c r="G356" s="46"/>
      <c r="H356" s="43" t="s">
        <v>807</v>
      </c>
      <c r="I356" s="44">
        <v>1617000</v>
      </c>
      <c r="J356" s="87">
        <v>45983</v>
      </c>
      <c r="K356" s="88">
        <v>0.20343749999999999</v>
      </c>
      <c r="L356" s="38">
        <f t="shared" si="14"/>
        <v>0</v>
      </c>
      <c r="M356" s="17">
        <f t="shared" si="15"/>
        <v>-1617000</v>
      </c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  <c r="AC356" s="33"/>
      <c r="AD356" s="33"/>
      <c r="AE356" s="33"/>
      <c r="AF356" s="33"/>
      <c r="AG356" s="33"/>
      <c r="AH356" s="33"/>
      <c r="AI356" s="33"/>
      <c r="AJ356" s="33"/>
      <c r="AK356" s="33"/>
      <c r="AL356" s="33"/>
      <c r="AM356" s="33"/>
      <c r="AN356" s="33"/>
      <c r="AO356" s="33"/>
    </row>
    <row r="357" spans="1:41" ht="75">
      <c r="A357" s="46"/>
      <c r="B357" s="46"/>
      <c r="C357" s="46" t="s">
        <v>1198</v>
      </c>
      <c r="D357" s="46" t="s">
        <v>61</v>
      </c>
      <c r="E357" s="111" t="str">
        <f>VLOOKUP(C357,KELAS!$A$2:$D$643,4,0)</f>
        <v>1 MADINAH</v>
      </c>
      <c r="F357" s="46"/>
      <c r="G357" s="46"/>
      <c r="H357" s="43" t="s">
        <v>809</v>
      </c>
      <c r="I357" s="44">
        <v>1617000</v>
      </c>
      <c r="J357" s="87">
        <v>45983</v>
      </c>
      <c r="K357" s="88">
        <v>0.20399305555555555</v>
      </c>
      <c r="L357" s="38">
        <f t="shared" si="14"/>
        <v>0</v>
      </c>
      <c r="M357" s="17">
        <f t="shared" si="15"/>
        <v>-1617000</v>
      </c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  <c r="AC357" s="33"/>
      <c r="AD357" s="33"/>
      <c r="AE357" s="33"/>
      <c r="AF357" s="33"/>
      <c r="AG357" s="33"/>
      <c r="AH357" s="33"/>
      <c r="AI357" s="33"/>
      <c r="AJ357" s="33"/>
      <c r="AK357" s="33"/>
      <c r="AL357" s="33"/>
      <c r="AM357" s="33"/>
      <c r="AN357" s="33"/>
      <c r="AO357" s="33"/>
    </row>
    <row r="358" spans="1:41" ht="75">
      <c r="A358" s="46"/>
      <c r="B358" s="46"/>
      <c r="C358" s="46" t="s">
        <v>1628</v>
      </c>
      <c r="D358" s="46" t="s">
        <v>61</v>
      </c>
      <c r="E358" s="111" t="str">
        <f>VLOOKUP(C358,KELAS!$A$2:$D$643,4,0)</f>
        <v>3 MEKKAH</v>
      </c>
      <c r="F358" s="46"/>
      <c r="G358" s="46"/>
      <c r="H358" s="43" t="s">
        <v>811</v>
      </c>
      <c r="I358" s="44">
        <v>1450000</v>
      </c>
      <c r="J358" s="87">
        <v>45983</v>
      </c>
      <c r="K358" s="88">
        <v>0.41642361111111109</v>
      </c>
      <c r="L358" s="38">
        <f t="shared" si="14"/>
        <v>0</v>
      </c>
      <c r="M358" s="17">
        <f t="shared" si="15"/>
        <v>-1450000</v>
      </c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  <c r="AC358" s="33"/>
      <c r="AD358" s="33"/>
      <c r="AE358" s="33"/>
      <c r="AF358" s="33"/>
      <c r="AG358" s="33"/>
      <c r="AH358" s="33"/>
      <c r="AI358" s="33"/>
      <c r="AJ358" s="33"/>
      <c r="AK358" s="33"/>
      <c r="AL358" s="33"/>
      <c r="AM358" s="33"/>
      <c r="AN358" s="33"/>
      <c r="AO358" s="33"/>
    </row>
    <row r="359" spans="1:41" ht="105">
      <c r="A359" s="46"/>
      <c r="B359" s="46"/>
      <c r="C359" s="46" t="s">
        <v>1269</v>
      </c>
      <c r="D359" s="46" t="s">
        <v>61</v>
      </c>
      <c r="E359" s="111" t="str">
        <f>VLOOKUP(C359,KELAS!$A$2:$D$643,4,0)</f>
        <v>1 MINA</v>
      </c>
      <c r="F359" s="46"/>
      <c r="G359" s="46"/>
      <c r="H359" s="43" t="s">
        <v>813</v>
      </c>
      <c r="I359" s="44">
        <v>1617000</v>
      </c>
      <c r="J359" s="87">
        <v>45984</v>
      </c>
      <c r="K359" s="88">
        <v>0.78855324074074074</v>
      </c>
      <c r="L359" s="38">
        <f t="shared" si="14"/>
        <v>0</v>
      </c>
      <c r="M359" s="17">
        <f t="shared" si="15"/>
        <v>-1617000</v>
      </c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  <c r="AC359" s="33"/>
      <c r="AD359" s="33"/>
      <c r="AE359" s="33"/>
      <c r="AF359" s="33"/>
      <c r="AG359" s="33"/>
      <c r="AH359" s="33"/>
      <c r="AI359" s="33"/>
      <c r="AJ359" s="33"/>
      <c r="AK359" s="33"/>
      <c r="AL359" s="33"/>
      <c r="AM359" s="33"/>
      <c r="AN359" s="33"/>
      <c r="AO359" s="33"/>
    </row>
    <row r="360" spans="1:41" ht="105">
      <c r="A360" s="46"/>
      <c r="B360" s="46"/>
      <c r="C360" s="46" t="s">
        <v>1803</v>
      </c>
      <c r="D360" s="46" t="s">
        <v>61</v>
      </c>
      <c r="E360" s="111" t="str">
        <f>VLOOKUP(C360,KELAS!$A$2:$D$643,4,0)</f>
        <v>3 MARWAH</v>
      </c>
      <c r="F360" s="46"/>
      <c r="G360" s="46"/>
      <c r="H360" s="43" t="s">
        <v>815</v>
      </c>
      <c r="I360" s="44">
        <v>1400000</v>
      </c>
      <c r="J360" s="87">
        <v>45985</v>
      </c>
      <c r="K360" s="88">
        <v>0.32648148148148148</v>
      </c>
      <c r="L360" s="38">
        <f t="shared" si="14"/>
        <v>0</v>
      </c>
      <c r="M360" s="17">
        <f t="shared" si="15"/>
        <v>-1400000</v>
      </c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  <c r="AC360" s="33"/>
      <c r="AD360" s="33"/>
      <c r="AE360" s="33"/>
      <c r="AF360" s="33"/>
      <c r="AG360" s="33"/>
      <c r="AH360" s="33"/>
      <c r="AI360" s="33"/>
      <c r="AJ360" s="33"/>
      <c r="AK360" s="33"/>
      <c r="AL360" s="33"/>
      <c r="AM360" s="33"/>
      <c r="AN360" s="33"/>
      <c r="AO360" s="33"/>
    </row>
    <row r="361" spans="1:41" ht="105">
      <c r="A361" s="46"/>
      <c r="B361" s="46"/>
      <c r="C361" s="46" t="s">
        <v>1360</v>
      </c>
      <c r="D361" s="46" t="s">
        <v>61</v>
      </c>
      <c r="E361" s="111" t="str">
        <f>VLOOKUP(C361,KELAS!$A$2:$D$643,4,0)</f>
        <v>2 MEKKAH</v>
      </c>
      <c r="F361" s="46"/>
      <c r="G361" s="46"/>
      <c r="H361" s="43" t="s">
        <v>817</v>
      </c>
      <c r="I361" s="44">
        <v>1540000</v>
      </c>
      <c r="J361" s="87">
        <v>45985</v>
      </c>
      <c r="K361" s="88">
        <v>0.40317129629629628</v>
      </c>
      <c r="L361" s="38">
        <f t="shared" si="14"/>
        <v>0</v>
      </c>
      <c r="M361" s="17">
        <f t="shared" si="15"/>
        <v>-1540000</v>
      </c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  <c r="AC361" s="33"/>
      <c r="AD361" s="33"/>
      <c r="AE361" s="33"/>
      <c r="AF361" s="33"/>
      <c r="AG361" s="33"/>
      <c r="AH361" s="33"/>
      <c r="AI361" s="33"/>
      <c r="AJ361" s="33"/>
      <c r="AK361" s="33"/>
      <c r="AL361" s="33"/>
      <c r="AM361" s="33"/>
      <c r="AN361" s="33"/>
      <c r="AO361" s="33"/>
    </row>
    <row r="362" spans="1:41" ht="90">
      <c r="A362" s="46"/>
      <c r="B362" s="46"/>
      <c r="C362" s="46" t="s">
        <v>2372</v>
      </c>
      <c r="D362" s="46" t="s">
        <v>61</v>
      </c>
      <c r="E362" s="111" t="e">
        <f>VLOOKUP(C362,KELAS!$A$2:$D$643,4,0)</f>
        <v>#N/A</v>
      </c>
      <c r="F362" s="46"/>
      <c r="G362" s="46"/>
      <c r="H362" s="43" t="s">
        <v>819</v>
      </c>
      <c r="I362" s="44">
        <v>1450000</v>
      </c>
      <c r="J362" s="87">
        <v>45985</v>
      </c>
      <c r="K362" s="88">
        <v>0.40515046296296298</v>
      </c>
      <c r="L362" s="38">
        <f t="shared" si="14"/>
        <v>0</v>
      </c>
      <c r="M362" s="17">
        <f t="shared" si="15"/>
        <v>-1450000</v>
      </c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  <c r="AC362" s="33"/>
      <c r="AD362" s="33"/>
      <c r="AE362" s="33"/>
      <c r="AF362" s="33"/>
      <c r="AG362" s="33"/>
      <c r="AH362" s="33"/>
      <c r="AI362" s="33"/>
      <c r="AJ362" s="33"/>
      <c r="AK362" s="33"/>
      <c r="AL362" s="33"/>
      <c r="AM362" s="33"/>
      <c r="AN362" s="33"/>
      <c r="AO362" s="33"/>
    </row>
    <row r="363" spans="1:41" ht="90">
      <c r="A363" s="46"/>
      <c r="B363" s="46"/>
      <c r="C363" s="46" t="s">
        <v>1297</v>
      </c>
      <c r="D363" s="46" t="s">
        <v>61</v>
      </c>
      <c r="E363" s="111" t="str">
        <f>VLOOKUP(C363,KELAS!$A$2:$D$643,4,0)</f>
        <v>1 MINA</v>
      </c>
      <c r="F363" s="46"/>
      <c r="G363" s="46"/>
      <c r="H363" s="43" t="s">
        <v>821</v>
      </c>
      <c r="I363" s="44">
        <v>1617000</v>
      </c>
      <c r="J363" s="87">
        <v>45985</v>
      </c>
      <c r="K363" s="88">
        <v>0.42552083333333335</v>
      </c>
      <c r="L363" s="38">
        <f t="shared" si="14"/>
        <v>0</v>
      </c>
      <c r="M363" s="17">
        <f t="shared" si="15"/>
        <v>-1617000</v>
      </c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  <c r="AC363" s="33"/>
      <c r="AD363" s="33"/>
      <c r="AE363" s="33"/>
      <c r="AF363" s="33"/>
      <c r="AG363" s="33"/>
      <c r="AH363" s="33"/>
      <c r="AI363" s="33"/>
      <c r="AJ363" s="33"/>
      <c r="AK363" s="33"/>
      <c r="AL363" s="33"/>
      <c r="AM363" s="33"/>
      <c r="AN363" s="33"/>
      <c r="AO363" s="33"/>
    </row>
    <row r="364" spans="1:41" ht="105">
      <c r="A364" s="46"/>
      <c r="B364" s="46"/>
      <c r="C364" s="46" t="s">
        <v>2203</v>
      </c>
      <c r="D364" s="46" t="s">
        <v>61</v>
      </c>
      <c r="E364" s="111" t="str">
        <f>VLOOKUP(C364,KELAS!$A$2:$D$643,4,0)</f>
        <v>6 MEKKAH</v>
      </c>
      <c r="F364" s="46"/>
      <c r="G364" s="46"/>
      <c r="H364" s="43" t="s">
        <v>823</v>
      </c>
      <c r="I364" s="44">
        <v>1400000</v>
      </c>
      <c r="J364" s="87">
        <v>45985</v>
      </c>
      <c r="K364" s="88">
        <v>0.56999999999999995</v>
      </c>
      <c r="L364" s="38">
        <f t="shared" si="14"/>
        <v>0</v>
      </c>
      <c r="M364" s="17">
        <f t="shared" si="15"/>
        <v>-1400000</v>
      </c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  <c r="AC364" s="33"/>
      <c r="AD364" s="33"/>
      <c r="AE364" s="33"/>
      <c r="AF364" s="33"/>
      <c r="AG364" s="33"/>
      <c r="AH364" s="33"/>
      <c r="AI364" s="33"/>
      <c r="AJ364" s="33"/>
      <c r="AK364" s="33"/>
      <c r="AL364" s="33"/>
      <c r="AM364" s="33"/>
      <c r="AN364" s="33"/>
      <c r="AO364" s="33"/>
    </row>
    <row r="365" spans="1:41" ht="105">
      <c r="A365" s="46"/>
      <c r="B365" s="46"/>
      <c r="C365" s="46" t="s">
        <v>1277</v>
      </c>
      <c r="D365" s="46" t="s">
        <v>61</v>
      </c>
      <c r="E365" s="111" t="str">
        <f>VLOOKUP(C365,KELAS!$A$2:$D$643,4,0)</f>
        <v>1 MINA</v>
      </c>
      <c r="F365" s="46"/>
      <c r="G365" s="46"/>
      <c r="H365" s="43" t="s">
        <v>825</v>
      </c>
      <c r="I365" s="44">
        <v>1617000</v>
      </c>
      <c r="J365" s="87">
        <v>45985</v>
      </c>
      <c r="K365" s="88">
        <v>0.57103009259259263</v>
      </c>
      <c r="L365" s="38">
        <f t="shared" si="14"/>
        <v>0</v>
      </c>
      <c r="M365" s="17">
        <f t="shared" si="15"/>
        <v>-1617000</v>
      </c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  <c r="AC365" s="33"/>
      <c r="AD365" s="33"/>
      <c r="AE365" s="33"/>
      <c r="AF365" s="33"/>
      <c r="AG365" s="33"/>
      <c r="AH365" s="33"/>
      <c r="AI365" s="33"/>
      <c r="AJ365" s="33"/>
      <c r="AK365" s="33"/>
      <c r="AL365" s="33"/>
      <c r="AM365" s="33"/>
      <c r="AN365" s="33"/>
      <c r="AO365" s="33"/>
    </row>
    <row r="366" spans="1:41" ht="105">
      <c r="A366" s="46"/>
      <c r="B366" s="46"/>
      <c r="C366" s="46" t="s">
        <v>1942</v>
      </c>
      <c r="D366" s="46" t="s">
        <v>61</v>
      </c>
      <c r="E366" s="111" t="str">
        <f>VLOOKUP(C366,KELAS!$A$2:$D$643,4,0)</f>
        <v>4 MADINAH</v>
      </c>
      <c r="F366" s="46"/>
      <c r="G366" s="46"/>
      <c r="H366" s="43" t="s">
        <v>827</v>
      </c>
      <c r="I366" s="44">
        <v>1450000</v>
      </c>
      <c r="J366" s="87">
        <v>45985</v>
      </c>
      <c r="K366" s="88">
        <v>0.63361111111111112</v>
      </c>
      <c r="L366" s="38">
        <f t="shared" si="14"/>
        <v>0</v>
      </c>
      <c r="M366" s="17">
        <f t="shared" si="15"/>
        <v>-1450000</v>
      </c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  <c r="AC366" s="33"/>
      <c r="AD366" s="33"/>
      <c r="AE366" s="33"/>
      <c r="AF366" s="33"/>
      <c r="AG366" s="33"/>
      <c r="AH366" s="33"/>
      <c r="AI366" s="33"/>
      <c r="AJ366" s="33"/>
      <c r="AK366" s="33"/>
      <c r="AL366" s="33"/>
      <c r="AM366" s="33"/>
      <c r="AN366" s="33"/>
      <c r="AO366" s="33"/>
    </row>
    <row r="367" spans="1:41" ht="120">
      <c r="A367" s="46"/>
      <c r="B367" s="46"/>
      <c r="C367" s="46" t="s">
        <v>2373</v>
      </c>
      <c r="D367" s="46" t="s">
        <v>61</v>
      </c>
      <c r="E367" s="111" t="e">
        <f>VLOOKUP(C367,KELAS!$A$2:$D$643,4,0)</f>
        <v>#N/A</v>
      </c>
      <c r="F367" s="46"/>
      <c r="G367" s="46"/>
      <c r="H367" s="43" t="s">
        <v>829</v>
      </c>
      <c r="I367" s="44">
        <v>1400000</v>
      </c>
      <c r="J367" s="87">
        <v>45985</v>
      </c>
      <c r="K367" s="88">
        <v>0.64659722222222227</v>
      </c>
      <c r="L367" s="38">
        <f t="shared" si="14"/>
        <v>0</v>
      </c>
      <c r="M367" s="17">
        <f t="shared" si="15"/>
        <v>-1400000</v>
      </c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  <c r="AC367" s="33"/>
      <c r="AD367" s="33"/>
      <c r="AE367" s="33"/>
      <c r="AF367" s="33"/>
      <c r="AG367" s="33"/>
      <c r="AH367" s="33"/>
      <c r="AI367" s="33"/>
      <c r="AJ367" s="33"/>
      <c r="AK367" s="33"/>
      <c r="AL367" s="33"/>
      <c r="AM367" s="33"/>
      <c r="AN367" s="33"/>
      <c r="AO367" s="33"/>
    </row>
    <row r="368" spans="1:41" ht="75">
      <c r="A368" s="46"/>
      <c r="B368" s="46"/>
      <c r="C368" s="46" t="s">
        <v>2374</v>
      </c>
      <c r="D368" s="46" t="s">
        <v>61</v>
      </c>
      <c r="E368" s="111" t="str">
        <f>VLOOKUP(C368,KELAS!$A$2:$D$643,4,0)</f>
        <v>6 MADINAH</v>
      </c>
      <c r="F368" s="46"/>
      <c r="G368" s="46"/>
      <c r="H368" s="43" t="s">
        <v>153</v>
      </c>
      <c r="I368" s="44">
        <v>1400000</v>
      </c>
      <c r="J368" s="87">
        <v>45986</v>
      </c>
      <c r="K368" s="88">
        <v>0.20729166666666668</v>
      </c>
      <c r="L368" s="38">
        <f t="shared" si="14"/>
        <v>0</v>
      </c>
      <c r="M368" s="17">
        <f t="shared" si="15"/>
        <v>-1400000</v>
      </c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  <c r="AC368" s="33"/>
      <c r="AD368" s="33"/>
      <c r="AE368" s="33"/>
      <c r="AF368" s="33"/>
      <c r="AG368" s="33"/>
      <c r="AH368" s="33"/>
      <c r="AI368" s="33"/>
      <c r="AJ368" s="33"/>
      <c r="AK368" s="33"/>
      <c r="AL368" s="33"/>
      <c r="AM368" s="33"/>
      <c r="AN368" s="33"/>
      <c r="AO368" s="33"/>
    </row>
    <row r="369" spans="1:41" ht="105">
      <c r="A369" s="46"/>
      <c r="B369" s="46"/>
      <c r="C369" s="46" t="s">
        <v>1914</v>
      </c>
      <c r="D369" s="46" t="s">
        <v>61</v>
      </c>
      <c r="E369" s="111" t="str">
        <f>VLOOKUP(C369,KELAS!$A$2:$D$643,4,0)</f>
        <v>4 MADINAH</v>
      </c>
      <c r="F369" s="46"/>
      <c r="G369" s="46"/>
      <c r="H369" s="43" t="s">
        <v>832</v>
      </c>
      <c r="I369" s="44">
        <v>1450000</v>
      </c>
      <c r="J369" s="87">
        <v>45986</v>
      </c>
      <c r="K369" s="88">
        <v>0.23412037037037037</v>
      </c>
      <c r="L369" s="38">
        <f t="shared" si="14"/>
        <v>0</v>
      </c>
      <c r="M369" s="17">
        <f t="shared" si="15"/>
        <v>-1450000</v>
      </c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  <c r="AC369" s="33"/>
      <c r="AD369" s="33"/>
      <c r="AE369" s="33"/>
      <c r="AF369" s="33"/>
      <c r="AG369" s="33"/>
      <c r="AH369" s="33"/>
      <c r="AI369" s="33"/>
      <c r="AJ369" s="33"/>
      <c r="AK369" s="33"/>
      <c r="AL369" s="33"/>
      <c r="AM369" s="33"/>
      <c r="AN369" s="33"/>
      <c r="AO369" s="33"/>
    </row>
    <row r="370" spans="1:41" ht="90">
      <c r="A370" s="46"/>
      <c r="B370" s="46"/>
      <c r="C370" s="46" t="s">
        <v>2144</v>
      </c>
      <c r="D370" s="46" t="s">
        <v>61</v>
      </c>
      <c r="E370" s="111" t="str">
        <f>VLOOKUP(C370,KELAS!$A$2:$D$643,4,0)</f>
        <v>5 MINA</v>
      </c>
      <c r="F370" s="46"/>
      <c r="G370" s="46"/>
      <c r="H370" s="43" t="s">
        <v>834</v>
      </c>
      <c r="I370" s="44">
        <v>1400000</v>
      </c>
      <c r="J370" s="87">
        <v>45986</v>
      </c>
      <c r="K370" s="88">
        <v>0.26126157407407408</v>
      </c>
      <c r="L370" s="38">
        <f t="shared" si="14"/>
        <v>0</v>
      </c>
      <c r="M370" s="17">
        <f t="shared" si="15"/>
        <v>-1400000</v>
      </c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  <c r="AC370" s="33"/>
      <c r="AD370" s="33"/>
      <c r="AE370" s="33"/>
      <c r="AF370" s="33"/>
      <c r="AG370" s="33"/>
      <c r="AH370" s="33"/>
      <c r="AI370" s="33"/>
      <c r="AJ370" s="33"/>
      <c r="AK370" s="33"/>
      <c r="AL370" s="33"/>
      <c r="AM370" s="33"/>
      <c r="AN370" s="33"/>
      <c r="AO370" s="33"/>
    </row>
    <row r="371" spans="1:41" ht="105">
      <c r="A371" s="46"/>
      <c r="B371" s="46"/>
      <c r="C371" s="46" t="s">
        <v>1380</v>
      </c>
      <c r="D371" s="46" t="s">
        <v>61</v>
      </c>
      <c r="E371" s="111" t="str">
        <f>VLOOKUP(C371,KELAS!$A$2:$D$643,4,0)</f>
        <v>2 MEKKAH</v>
      </c>
      <c r="F371" s="46"/>
      <c r="G371" s="46"/>
      <c r="H371" s="43" t="s">
        <v>836</v>
      </c>
      <c r="I371" s="44">
        <v>1540000</v>
      </c>
      <c r="J371" s="87">
        <v>45986</v>
      </c>
      <c r="K371" s="88">
        <v>0.26931712962962961</v>
      </c>
      <c r="L371" s="38">
        <f t="shared" si="14"/>
        <v>0</v>
      </c>
      <c r="M371" s="17">
        <f t="shared" si="15"/>
        <v>-1540000</v>
      </c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  <c r="AC371" s="33"/>
      <c r="AD371" s="33"/>
      <c r="AE371" s="33"/>
      <c r="AF371" s="33"/>
      <c r="AG371" s="33"/>
      <c r="AH371" s="33"/>
      <c r="AI371" s="33"/>
      <c r="AJ371" s="33"/>
      <c r="AK371" s="33"/>
      <c r="AL371" s="33"/>
      <c r="AM371" s="33"/>
      <c r="AN371" s="33"/>
      <c r="AO371" s="33"/>
    </row>
    <row r="372" spans="1:41" ht="75">
      <c r="A372" s="46"/>
      <c r="B372" s="46"/>
      <c r="C372" s="46" t="s">
        <v>1677</v>
      </c>
      <c r="D372" s="46" t="s">
        <v>61</v>
      </c>
      <c r="E372" s="111" t="str">
        <f>VLOOKUP(C372,KELAS!$A$2:$D$643,4,0)</f>
        <v>3 MADINAH</v>
      </c>
      <c r="F372" s="46"/>
      <c r="G372" s="46"/>
      <c r="H372" s="43" t="s">
        <v>64</v>
      </c>
      <c r="I372" s="44">
        <v>1450000</v>
      </c>
      <c r="J372" s="87">
        <v>45986</v>
      </c>
      <c r="K372" s="88">
        <v>0.28974537037037035</v>
      </c>
      <c r="L372" s="38">
        <f t="shared" si="14"/>
        <v>0</v>
      </c>
      <c r="M372" s="17">
        <f t="shared" si="15"/>
        <v>-1450000</v>
      </c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  <c r="AC372" s="33"/>
      <c r="AD372" s="33"/>
      <c r="AE372" s="33"/>
      <c r="AF372" s="33"/>
      <c r="AG372" s="33"/>
      <c r="AH372" s="33"/>
      <c r="AI372" s="33"/>
      <c r="AJ372" s="33"/>
      <c r="AK372" s="33"/>
      <c r="AL372" s="33"/>
      <c r="AM372" s="33"/>
      <c r="AN372" s="33"/>
      <c r="AO372" s="33"/>
    </row>
    <row r="373" spans="1:41" ht="105">
      <c r="A373" s="46"/>
      <c r="B373" s="46"/>
      <c r="C373" s="46" t="s">
        <v>1192</v>
      </c>
      <c r="D373" s="46" t="s">
        <v>61</v>
      </c>
      <c r="E373" s="111" t="str">
        <f>VLOOKUP(C373,KELAS!$A$2:$D$643,4,0)</f>
        <v>1 MADINAH</v>
      </c>
      <c r="F373" s="46"/>
      <c r="G373" s="46"/>
      <c r="H373" s="43" t="s">
        <v>839</v>
      </c>
      <c r="I373" s="44">
        <v>1617000</v>
      </c>
      <c r="J373" s="87">
        <v>45986</v>
      </c>
      <c r="K373" s="88">
        <v>0.30204861111111109</v>
      </c>
      <c r="L373" s="38">
        <f t="shared" si="14"/>
        <v>0</v>
      </c>
      <c r="M373" s="17">
        <f t="shared" si="15"/>
        <v>-1617000</v>
      </c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  <c r="AD373" s="33"/>
      <c r="AE373" s="33"/>
      <c r="AF373" s="33"/>
      <c r="AG373" s="33"/>
      <c r="AH373" s="33"/>
      <c r="AI373" s="33"/>
      <c r="AJ373" s="33"/>
      <c r="AK373" s="33"/>
      <c r="AL373" s="33"/>
      <c r="AM373" s="33"/>
      <c r="AN373" s="33"/>
      <c r="AO373" s="33"/>
    </row>
    <row r="374" spans="1:41" ht="90">
      <c r="A374" s="46"/>
      <c r="B374" s="46"/>
      <c r="C374" s="46" t="s">
        <v>1447</v>
      </c>
      <c r="D374" s="46" t="s">
        <v>61</v>
      </c>
      <c r="E374" s="111" t="str">
        <f>VLOOKUP(C374,KELAS!$A$2:$D$643,4,0)</f>
        <v>2 MADINAH</v>
      </c>
      <c r="F374" s="46"/>
      <c r="G374" s="46"/>
      <c r="H374" s="43" t="s">
        <v>841</v>
      </c>
      <c r="I374" s="44">
        <v>1540000</v>
      </c>
      <c r="J374" s="87">
        <v>45986</v>
      </c>
      <c r="K374" s="88">
        <v>0.30814814814814817</v>
      </c>
      <c r="L374" s="38">
        <f t="shared" si="14"/>
        <v>0</v>
      </c>
      <c r="M374" s="17">
        <f t="shared" si="15"/>
        <v>-1540000</v>
      </c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  <c r="AC374" s="33"/>
      <c r="AD374" s="33"/>
      <c r="AE374" s="33"/>
      <c r="AF374" s="33"/>
      <c r="AG374" s="33"/>
      <c r="AH374" s="33"/>
      <c r="AI374" s="33"/>
      <c r="AJ374" s="33"/>
      <c r="AK374" s="33"/>
      <c r="AL374" s="33"/>
      <c r="AM374" s="33"/>
      <c r="AN374" s="33"/>
      <c r="AO374" s="33"/>
    </row>
    <row r="375" spans="1:41" ht="90">
      <c r="A375" s="46"/>
      <c r="B375" s="46"/>
      <c r="C375" s="46" t="s">
        <v>1567</v>
      </c>
      <c r="D375" s="46" t="s">
        <v>61</v>
      </c>
      <c r="E375" s="111" t="str">
        <f>VLOOKUP(C375,KELAS!$A$2:$D$643,4,0)</f>
        <v>2 MARWAH</v>
      </c>
      <c r="F375" s="46"/>
      <c r="G375" s="46"/>
      <c r="H375" s="43" t="s">
        <v>843</v>
      </c>
      <c r="I375" s="44">
        <v>1540000</v>
      </c>
      <c r="J375" s="87">
        <v>45986</v>
      </c>
      <c r="K375" s="88">
        <v>0.30913194444444442</v>
      </c>
      <c r="L375" s="38">
        <f t="shared" si="14"/>
        <v>0</v>
      </c>
      <c r="M375" s="17">
        <f t="shared" si="15"/>
        <v>-1540000</v>
      </c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  <c r="AC375" s="33"/>
      <c r="AD375" s="33"/>
      <c r="AE375" s="33"/>
      <c r="AF375" s="33"/>
      <c r="AG375" s="33"/>
      <c r="AH375" s="33"/>
      <c r="AI375" s="33"/>
      <c r="AJ375" s="33"/>
      <c r="AK375" s="33"/>
      <c r="AL375" s="33"/>
      <c r="AM375" s="33"/>
      <c r="AN375" s="33"/>
      <c r="AO375" s="33"/>
    </row>
    <row r="376" spans="1:41" ht="90">
      <c r="A376" s="46"/>
      <c r="B376" s="46"/>
      <c r="C376" s="46" t="s">
        <v>1337</v>
      </c>
      <c r="D376" s="46" t="s">
        <v>61</v>
      </c>
      <c r="E376" s="111" t="str">
        <f>VLOOKUP(C376,KELAS!$A$2:$D$643,4,0)</f>
        <v>1 MARWAH/TAHFIDZ</v>
      </c>
      <c r="F376" s="46"/>
      <c r="G376" s="46"/>
      <c r="H376" s="43" t="s">
        <v>845</v>
      </c>
      <c r="I376" s="44">
        <v>1617000</v>
      </c>
      <c r="J376" s="87">
        <v>45986</v>
      </c>
      <c r="K376" s="88">
        <v>0.35631944444444447</v>
      </c>
      <c r="L376" s="38">
        <f t="shared" si="14"/>
        <v>0</v>
      </c>
      <c r="M376" s="17">
        <f t="shared" si="15"/>
        <v>-1617000</v>
      </c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  <c r="AC376" s="33"/>
      <c r="AD376" s="33"/>
      <c r="AE376" s="33"/>
      <c r="AF376" s="33"/>
      <c r="AG376" s="33"/>
      <c r="AH376" s="33"/>
      <c r="AI376" s="33"/>
      <c r="AJ376" s="33"/>
      <c r="AK376" s="33"/>
      <c r="AL376" s="33"/>
      <c r="AM376" s="33"/>
      <c r="AN376" s="33"/>
      <c r="AO376" s="33"/>
    </row>
    <row r="377" spans="1:41" ht="105">
      <c r="A377" s="46"/>
      <c r="B377" s="46"/>
      <c r="C377" s="46" t="s">
        <v>2070</v>
      </c>
      <c r="D377" s="46" t="s">
        <v>61</v>
      </c>
      <c r="E377" s="111" t="str">
        <f>VLOOKUP(C377,KELAS!$A$2:$D$643,4,0)</f>
        <v>5 MADINAH</v>
      </c>
      <c r="F377" s="46"/>
      <c r="G377" s="46"/>
      <c r="H377" s="43" t="s">
        <v>847</v>
      </c>
      <c r="I377" s="44">
        <v>1400000</v>
      </c>
      <c r="J377" s="87">
        <v>45986</v>
      </c>
      <c r="K377" s="88">
        <v>0.35846064814814815</v>
      </c>
      <c r="L377" s="38">
        <f t="shared" si="14"/>
        <v>0</v>
      </c>
      <c r="M377" s="17">
        <f t="shared" si="15"/>
        <v>-1400000</v>
      </c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  <c r="AC377" s="33"/>
      <c r="AD377" s="33"/>
      <c r="AE377" s="33"/>
      <c r="AF377" s="33"/>
      <c r="AG377" s="33"/>
      <c r="AH377" s="33"/>
      <c r="AI377" s="33"/>
      <c r="AJ377" s="33"/>
      <c r="AK377" s="33"/>
      <c r="AL377" s="33"/>
      <c r="AM377" s="33"/>
      <c r="AN377" s="33"/>
      <c r="AO377" s="33"/>
    </row>
    <row r="378" spans="1:41" ht="120">
      <c r="A378" s="46"/>
      <c r="B378" s="46"/>
      <c r="C378" s="46" t="s">
        <v>2072</v>
      </c>
      <c r="D378" s="46" t="s">
        <v>61</v>
      </c>
      <c r="E378" s="111" t="str">
        <f>VLOOKUP(C378,KELAS!$A$2:$D$643,4,0)</f>
        <v>5 MADINAH</v>
      </c>
      <c r="F378" s="46"/>
      <c r="G378" s="46"/>
      <c r="H378" s="43" t="s">
        <v>849</v>
      </c>
      <c r="I378" s="44">
        <v>1400000</v>
      </c>
      <c r="J378" s="87">
        <v>45986</v>
      </c>
      <c r="K378" s="88">
        <v>0.3590740740740741</v>
      </c>
      <c r="L378" s="38">
        <f t="shared" si="14"/>
        <v>0</v>
      </c>
      <c r="M378" s="17">
        <f t="shared" si="15"/>
        <v>-1400000</v>
      </c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  <c r="AC378" s="33"/>
      <c r="AD378" s="33"/>
      <c r="AE378" s="33"/>
      <c r="AF378" s="33"/>
      <c r="AG378" s="33"/>
      <c r="AH378" s="33"/>
      <c r="AI378" s="33"/>
      <c r="AJ378" s="33"/>
      <c r="AK378" s="33"/>
      <c r="AL378" s="33"/>
      <c r="AM378" s="33"/>
      <c r="AN378" s="33"/>
      <c r="AO378" s="33"/>
    </row>
    <row r="379" spans="1:41" ht="120">
      <c r="A379" s="46"/>
      <c r="B379" s="46"/>
      <c r="C379" s="46" t="s">
        <v>1916</v>
      </c>
      <c r="D379" s="46" t="s">
        <v>61</v>
      </c>
      <c r="E379" s="111" t="str">
        <f>VLOOKUP(C379,KELAS!$A$2:$D$643,4,0)</f>
        <v>4 MADINAH</v>
      </c>
      <c r="F379" s="46"/>
      <c r="G379" s="46"/>
      <c r="H379" s="43" t="s">
        <v>851</v>
      </c>
      <c r="I379" s="44">
        <v>1450000</v>
      </c>
      <c r="J379" s="87">
        <v>45986</v>
      </c>
      <c r="K379" s="88">
        <v>0.35975694444444445</v>
      </c>
      <c r="L379" s="38">
        <f t="shared" si="14"/>
        <v>0</v>
      </c>
      <c r="M379" s="17">
        <f t="shared" si="15"/>
        <v>-1450000</v>
      </c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  <c r="AC379" s="33"/>
      <c r="AD379" s="33"/>
      <c r="AE379" s="33"/>
      <c r="AF379" s="33"/>
      <c r="AG379" s="33"/>
      <c r="AH379" s="33"/>
      <c r="AI379" s="33"/>
      <c r="AJ379" s="33"/>
      <c r="AK379" s="33"/>
      <c r="AL379" s="33"/>
      <c r="AM379" s="33"/>
      <c r="AN379" s="33"/>
      <c r="AO379" s="33"/>
    </row>
    <row r="380" spans="1:41" ht="105">
      <c r="A380" s="46"/>
      <c r="B380" s="46"/>
      <c r="C380" s="46" t="s">
        <v>2375</v>
      </c>
      <c r="D380" s="46" t="s">
        <v>61</v>
      </c>
      <c r="E380" s="111" t="e">
        <f>VLOOKUP(C380,KELAS!$A$2:$D$643,4,0)</f>
        <v>#N/A</v>
      </c>
      <c r="F380" s="46"/>
      <c r="G380" s="46"/>
      <c r="H380" s="43" t="s">
        <v>853</v>
      </c>
      <c r="I380" s="44">
        <v>1400000</v>
      </c>
      <c r="J380" s="87">
        <v>45986</v>
      </c>
      <c r="K380" s="88">
        <v>0.3606597222222222</v>
      </c>
      <c r="L380" s="38">
        <f t="shared" si="14"/>
        <v>0</v>
      </c>
      <c r="M380" s="17">
        <f t="shared" si="15"/>
        <v>-1400000</v>
      </c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  <c r="AC380" s="33"/>
      <c r="AD380" s="33"/>
      <c r="AE380" s="33"/>
      <c r="AF380" s="33"/>
      <c r="AG380" s="33"/>
      <c r="AH380" s="33"/>
      <c r="AI380" s="33"/>
      <c r="AJ380" s="33"/>
      <c r="AK380" s="33"/>
      <c r="AL380" s="33"/>
      <c r="AM380" s="33"/>
      <c r="AN380" s="33"/>
      <c r="AO380" s="33"/>
    </row>
    <row r="381" spans="1:41" ht="105">
      <c r="A381" s="46"/>
      <c r="B381" s="46"/>
      <c r="C381" s="46" t="s">
        <v>1463</v>
      </c>
      <c r="D381" s="46" t="s">
        <v>61</v>
      </c>
      <c r="E381" s="111" t="str">
        <f>VLOOKUP(C381,KELAS!$A$2:$D$643,4,0)</f>
        <v>2 MADINAH</v>
      </c>
      <c r="F381" s="46"/>
      <c r="G381" s="46"/>
      <c r="H381" s="43" t="s">
        <v>855</v>
      </c>
      <c r="I381" s="44">
        <v>1540000</v>
      </c>
      <c r="J381" s="87">
        <v>45986</v>
      </c>
      <c r="K381" s="88">
        <v>0.37493055555555554</v>
      </c>
      <c r="L381" s="38">
        <f t="shared" si="14"/>
        <v>0</v>
      </c>
      <c r="M381" s="17">
        <f t="shared" si="15"/>
        <v>-1540000</v>
      </c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  <c r="AD381" s="33"/>
      <c r="AE381" s="33"/>
      <c r="AF381" s="33"/>
      <c r="AG381" s="33"/>
      <c r="AH381" s="33"/>
      <c r="AI381" s="33"/>
      <c r="AJ381" s="33"/>
      <c r="AK381" s="33"/>
      <c r="AL381" s="33"/>
      <c r="AM381" s="33"/>
      <c r="AN381" s="33"/>
      <c r="AO381" s="33"/>
    </row>
    <row r="382" spans="1:41" ht="120">
      <c r="A382" s="46"/>
      <c r="B382" s="46"/>
      <c r="C382" s="46" t="s">
        <v>1837</v>
      </c>
      <c r="D382" s="46" t="s">
        <v>61</v>
      </c>
      <c r="E382" s="111" t="str">
        <f>VLOOKUP(C382,KELAS!$A$2:$D$643,4,0)</f>
        <v>4 MEKKAH</v>
      </c>
      <c r="F382" s="46"/>
      <c r="G382" s="46"/>
      <c r="H382" s="43" t="s">
        <v>857</v>
      </c>
      <c r="I382" s="44">
        <v>1450000</v>
      </c>
      <c r="J382" s="87">
        <v>45986</v>
      </c>
      <c r="K382" s="88">
        <v>0.38809027777777777</v>
      </c>
      <c r="L382" s="38">
        <f t="shared" si="14"/>
        <v>0</v>
      </c>
      <c r="M382" s="17">
        <f t="shared" si="15"/>
        <v>-1450000</v>
      </c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  <c r="AC382" s="33"/>
      <c r="AD382" s="33"/>
      <c r="AE382" s="33"/>
      <c r="AF382" s="33"/>
      <c r="AG382" s="33"/>
      <c r="AH382" s="33"/>
      <c r="AI382" s="33"/>
      <c r="AJ382" s="33"/>
      <c r="AK382" s="33"/>
      <c r="AL382" s="33"/>
      <c r="AM382" s="33"/>
      <c r="AN382" s="33"/>
      <c r="AO382" s="33"/>
    </row>
    <row r="383" spans="1:41" ht="120">
      <c r="A383" s="46"/>
      <c r="B383" s="46"/>
      <c r="C383" s="46" t="s">
        <v>1551</v>
      </c>
      <c r="D383" s="46" t="s">
        <v>61</v>
      </c>
      <c r="E383" s="111" t="str">
        <f>VLOOKUP(C383,KELAS!$A$2:$D$643,4,0)</f>
        <v>2 MARWAH</v>
      </c>
      <c r="F383" s="46"/>
      <c r="G383" s="46"/>
      <c r="H383" s="43" t="s">
        <v>859</v>
      </c>
      <c r="I383" s="44">
        <v>1540000</v>
      </c>
      <c r="J383" s="87">
        <v>45986</v>
      </c>
      <c r="K383" s="88">
        <v>0.39101851851851854</v>
      </c>
      <c r="L383" s="38">
        <f t="shared" si="14"/>
        <v>0</v>
      </c>
      <c r="M383" s="17">
        <f t="shared" si="15"/>
        <v>-1540000</v>
      </c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  <c r="AC383" s="33"/>
      <c r="AD383" s="33"/>
      <c r="AE383" s="33"/>
      <c r="AF383" s="33"/>
      <c r="AG383" s="33"/>
      <c r="AH383" s="33"/>
      <c r="AI383" s="33"/>
      <c r="AJ383" s="33"/>
      <c r="AK383" s="33"/>
      <c r="AL383" s="33"/>
      <c r="AM383" s="33"/>
      <c r="AN383" s="33"/>
      <c r="AO383" s="33"/>
    </row>
    <row r="384" spans="1:41" ht="105">
      <c r="A384" s="46"/>
      <c r="B384" s="46"/>
      <c r="C384" s="46" t="s">
        <v>1182</v>
      </c>
      <c r="D384" s="46" t="s">
        <v>61</v>
      </c>
      <c r="E384" s="111" t="str">
        <f>VLOOKUP(C384,KELAS!$A$2:$D$643,4,0)</f>
        <v>1 MADINAH</v>
      </c>
      <c r="F384" s="46"/>
      <c r="G384" s="46"/>
      <c r="H384" s="43" t="s">
        <v>861</v>
      </c>
      <c r="I384" s="44">
        <v>1617000</v>
      </c>
      <c r="J384" s="87">
        <v>45986</v>
      </c>
      <c r="K384" s="88">
        <v>0.41965277777777776</v>
      </c>
      <c r="L384" s="38">
        <f t="shared" si="14"/>
        <v>0</v>
      </c>
      <c r="M384" s="17">
        <f t="shared" si="15"/>
        <v>-1617000</v>
      </c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  <c r="AC384" s="33"/>
      <c r="AD384" s="33"/>
      <c r="AE384" s="33"/>
      <c r="AF384" s="33"/>
      <c r="AG384" s="33"/>
      <c r="AH384" s="33"/>
      <c r="AI384" s="33"/>
      <c r="AJ384" s="33"/>
      <c r="AK384" s="33"/>
      <c r="AL384" s="33"/>
      <c r="AM384" s="33"/>
      <c r="AN384" s="33"/>
      <c r="AO384" s="33"/>
    </row>
    <row r="385" spans="1:41" ht="105">
      <c r="A385" s="46"/>
      <c r="B385" s="46"/>
      <c r="C385" s="46" t="s">
        <v>1731</v>
      </c>
      <c r="D385" s="46" t="s">
        <v>61</v>
      </c>
      <c r="E385" s="111" t="str">
        <f>VLOOKUP(C385,KELAS!$A$2:$D$643,4,0)</f>
        <v>3 MINA</v>
      </c>
      <c r="F385" s="46"/>
      <c r="G385" s="46"/>
      <c r="H385" s="43" t="s">
        <v>863</v>
      </c>
      <c r="I385" s="44">
        <v>1450000</v>
      </c>
      <c r="J385" s="87">
        <v>45986</v>
      </c>
      <c r="K385" s="88">
        <v>0.42994212962962963</v>
      </c>
      <c r="L385" s="38">
        <f t="shared" si="14"/>
        <v>0</v>
      </c>
      <c r="M385" s="17">
        <f t="shared" si="15"/>
        <v>-1450000</v>
      </c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  <c r="AC385" s="33"/>
      <c r="AD385" s="33"/>
      <c r="AE385" s="33"/>
      <c r="AF385" s="33"/>
      <c r="AG385" s="33"/>
      <c r="AH385" s="33"/>
      <c r="AI385" s="33"/>
      <c r="AJ385" s="33"/>
      <c r="AK385" s="33"/>
      <c r="AL385" s="33"/>
      <c r="AM385" s="33"/>
      <c r="AN385" s="33"/>
      <c r="AO385" s="33"/>
    </row>
    <row r="386" spans="1:41" ht="105">
      <c r="A386" s="46"/>
      <c r="B386" s="46"/>
      <c r="C386" s="46" t="s">
        <v>1733</v>
      </c>
      <c r="D386" s="46" t="s">
        <v>61</v>
      </c>
      <c r="E386" s="111" t="str">
        <f>VLOOKUP(C386,KELAS!$A$2:$D$643,4,0)</f>
        <v>3 MINA</v>
      </c>
      <c r="F386" s="46"/>
      <c r="G386" s="46"/>
      <c r="H386" s="43" t="s">
        <v>865</v>
      </c>
      <c r="I386" s="44">
        <v>1450000</v>
      </c>
      <c r="J386" s="87">
        <v>45986</v>
      </c>
      <c r="K386" s="88">
        <v>0.43033564814814818</v>
      </c>
      <c r="L386" s="38">
        <f t="shared" si="14"/>
        <v>0</v>
      </c>
      <c r="M386" s="17">
        <f t="shared" si="15"/>
        <v>-1450000</v>
      </c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  <c r="AC386" s="33"/>
      <c r="AD386" s="33"/>
      <c r="AE386" s="33"/>
      <c r="AF386" s="33"/>
      <c r="AG386" s="33"/>
      <c r="AH386" s="33"/>
      <c r="AI386" s="33"/>
      <c r="AJ386" s="33"/>
      <c r="AK386" s="33"/>
      <c r="AL386" s="33"/>
      <c r="AM386" s="33"/>
      <c r="AN386" s="33"/>
      <c r="AO386" s="33"/>
    </row>
    <row r="387" spans="1:41" ht="105">
      <c r="A387" s="46"/>
      <c r="B387" s="46"/>
      <c r="C387" s="46" t="s">
        <v>2376</v>
      </c>
      <c r="D387" s="46" t="s">
        <v>61</v>
      </c>
      <c r="E387" s="111" t="e">
        <f>VLOOKUP(C387,KELAS!$A$2:$D$643,4,0)</f>
        <v>#N/A</v>
      </c>
      <c r="F387" s="46"/>
      <c r="G387" s="46"/>
      <c r="H387" s="43" t="s">
        <v>867</v>
      </c>
      <c r="I387" s="44">
        <v>1450000</v>
      </c>
      <c r="J387" s="87">
        <v>45986</v>
      </c>
      <c r="K387" s="88">
        <v>0.43234953703703705</v>
      </c>
      <c r="L387" s="38">
        <f t="shared" si="14"/>
        <v>0</v>
      </c>
      <c r="M387" s="17">
        <f t="shared" si="15"/>
        <v>-1450000</v>
      </c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  <c r="AC387" s="33"/>
      <c r="AD387" s="33"/>
      <c r="AE387" s="33"/>
      <c r="AF387" s="33"/>
      <c r="AG387" s="33"/>
      <c r="AH387" s="33"/>
      <c r="AI387" s="33"/>
      <c r="AJ387" s="33"/>
      <c r="AK387" s="33"/>
      <c r="AL387" s="33"/>
      <c r="AM387" s="33"/>
      <c r="AN387" s="33"/>
      <c r="AO387" s="33"/>
    </row>
    <row r="388" spans="1:41" ht="105">
      <c r="A388" s="46"/>
      <c r="B388" s="46"/>
      <c r="C388" s="46" t="s">
        <v>1158</v>
      </c>
      <c r="D388" s="46" t="s">
        <v>61</v>
      </c>
      <c r="E388" s="111" t="str">
        <f>VLOOKUP(C388,KELAS!$A$2:$D$643,4,0)</f>
        <v>1 MEKKAH</v>
      </c>
      <c r="F388" s="46"/>
      <c r="G388" s="46"/>
      <c r="H388" s="43" t="s">
        <v>869</v>
      </c>
      <c r="I388" s="44">
        <v>1617000</v>
      </c>
      <c r="J388" s="87">
        <v>45986</v>
      </c>
      <c r="K388" s="88">
        <v>0.45531250000000001</v>
      </c>
      <c r="L388" s="38">
        <f t="shared" si="14"/>
        <v>0</v>
      </c>
      <c r="M388" s="17">
        <f t="shared" si="15"/>
        <v>-1617000</v>
      </c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  <c r="AE388" s="33"/>
      <c r="AF388" s="33"/>
      <c r="AG388" s="33"/>
      <c r="AH388" s="33"/>
      <c r="AI388" s="33"/>
      <c r="AJ388" s="33"/>
      <c r="AK388" s="33"/>
      <c r="AL388" s="33"/>
      <c r="AM388" s="33"/>
      <c r="AN388" s="33"/>
      <c r="AO388" s="33"/>
    </row>
    <row r="389" spans="1:41" ht="105">
      <c r="A389" s="46"/>
      <c r="B389" s="46"/>
      <c r="C389" s="46" t="s">
        <v>1162</v>
      </c>
      <c r="D389" s="46" t="s">
        <v>61</v>
      </c>
      <c r="E389" s="111" t="str">
        <f>VLOOKUP(C389,KELAS!$A$2:$D$643,4,0)</f>
        <v>1 MEKKAH</v>
      </c>
      <c r="F389" s="46"/>
      <c r="G389" s="46"/>
      <c r="H389" s="43" t="s">
        <v>128</v>
      </c>
      <c r="I389" s="44">
        <v>1617000</v>
      </c>
      <c r="J389" s="87">
        <v>45986</v>
      </c>
      <c r="K389" s="88">
        <v>0.4649537037037037</v>
      </c>
      <c r="L389" s="38">
        <f t="shared" si="14"/>
        <v>0</v>
      </c>
      <c r="M389" s="17">
        <f t="shared" si="15"/>
        <v>-1617000</v>
      </c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  <c r="AF389" s="33"/>
      <c r="AG389" s="33"/>
      <c r="AH389" s="33"/>
      <c r="AI389" s="33"/>
      <c r="AJ389" s="33"/>
      <c r="AK389" s="33"/>
      <c r="AL389" s="33"/>
      <c r="AM389" s="33"/>
      <c r="AN389" s="33"/>
      <c r="AO389" s="33"/>
    </row>
    <row r="390" spans="1:41" ht="90">
      <c r="A390" s="46"/>
      <c r="B390" s="46"/>
      <c r="C390" s="46" t="s">
        <v>1878</v>
      </c>
      <c r="D390" s="46" t="s">
        <v>61</v>
      </c>
      <c r="E390" s="111" t="str">
        <f>VLOOKUP(C390,KELAS!$A$2:$D$643,4,0)</f>
        <v>4 MEKKAH</v>
      </c>
      <c r="F390" s="46"/>
      <c r="G390" s="46"/>
      <c r="H390" s="43" t="s">
        <v>872</v>
      </c>
      <c r="I390" s="44">
        <v>1617000</v>
      </c>
      <c r="J390" s="87">
        <v>45986</v>
      </c>
      <c r="K390" s="88">
        <v>0.47930555555555554</v>
      </c>
      <c r="L390" s="38">
        <f t="shared" si="14"/>
        <v>0</v>
      </c>
      <c r="M390" s="17">
        <f t="shared" si="15"/>
        <v>-1617000</v>
      </c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  <c r="AC390" s="33"/>
      <c r="AD390" s="33"/>
      <c r="AE390" s="33"/>
      <c r="AF390" s="33"/>
      <c r="AG390" s="33"/>
      <c r="AH390" s="33"/>
      <c r="AI390" s="33"/>
      <c r="AJ390" s="33"/>
      <c r="AK390" s="33"/>
      <c r="AL390" s="33"/>
      <c r="AM390" s="33"/>
      <c r="AN390" s="33"/>
      <c r="AO390" s="33"/>
    </row>
    <row r="391" spans="1:41" ht="120">
      <c r="A391" s="46"/>
      <c r="B391" s="46"/>
      <c r="C391" s="46" t="s">
        <v>1702</v>
      </c>
      <c r="D391" s="46" t="s">
        <v>61</v>
      </c>
      <c r="E391" s="111" t="str">
        <f>VLOOKUP(C391,KELAS!$A$2:$D$643,4,0)</f>
        <v>3 MADINAH</v>
      </c>
      <c r="F391" s="46"/>
      <c r="G391" s="46"/>
      <c r="H391" s="43" t="s">
        <v>874</v>
      </c>
      <c r="I391" s="44">
        <v>2800000</v>
      </c>
      <c r="J391" s="87">
        <v>45986</v>
      </c>
      <c r="K391" s="88">
        <v>0.48474537037037035</v>
      </c>
      <c r="L391" s="38">
        <f t="shared" si="14"/>
        <v>0</v>
      </c>
      <c r="M391" s="17">
        <f t="shared" si="15"/>
        <v>-2800000</v>
      </c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  <c r="AC391" s="33"/>
      <c r="AD391" s="33"/>
      <c r="AE391" s="33"/>
      <c r="AF391" s="33"/>
      <c r="AG391" s="33"/>
      <c r="AH391" s="33"/>
      <c r="AI391" s="33"/>
      <c r="AJ391" s="33"/>
      <c r="AK391" s="33"/>
      <c r="AL391" s="33"/>
      <c r="AM391" s="33"/>
      <c r="AN391" s="33"/>
      <c r="AO391" s="33"/>
    </row>
    <row r="392" spans="1:41" ht="120">
      <c r="A392" s="46"/>
      <c r="B392" s="46"/>
      <c r="C392" s="46" t="s">
        <v>1236</v>
      </c>
      <c r="D392" s="46" t="s">
        <v>61</v>
      </c>
      <c r="E392" s="111" t="str">
        <f>VLOOKUP(C392,KELAS!$A$2:$D$643,4,0)</f>
        <v>1 MINA</v>
      </c>
      <c r="F392" s="46"/>
      <c r="G392" s="46"/>
      <c r="H392" s="43" t="s">
        <v>876</v>
      </c>
      <c r="I392" s="44">
        <v>3234000</v>
      </c>
      <c r="J392" s="87">
        <v>45986</v>
      </c>
      <c r="K392" s="88">
        <v>0.49584490740740739</v>
      </c>
      <c r="L392" s="38">
        <f t="shared" si="14"/>
        <v>0</v>
      </c>
      <c r="M392" s="17">
        <f t="shared" si="15"/>
        <v>-3234000</v>
      </c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  <c r="AC392" s="33"/>
      <c r="AD392" s="33"/>
      <c r="AE392" s="33"/>
      <c r="AF392" s="33"/>
      <c r="AG392" s="33"/>
      <c r="AH392" s="33"/>
      <c r="AI392" s="33"/>
      <c r="AJ392" s="33"/>
      <c r="AK392" s="33"/>
      <c r="AL392" s="33"/>
      <c r="AM392" s="33"/>
      <c r="AN392" s="33"/>
      <c r="AO392" s="33"/>
    </row>
    <row r="393" spans="1:41" ht="105">
      <c r="A393" s="46"/>
      <c r="B393" s="46"/>
      <c r="C393" s="46" t="s">
        <v>1253</v>
      </c>
      <c r="D393" s="46" t="s">
        <v>61</v>
      </c>
      <c r="E393" s="111" t="str">
        <f>VLOOKUP(C393,KELAS!$A$2:$D$643,4,0)</f>
        <v>1 MINA</v>
      </c>
      <c r="F393" s="46"/>
      <c r="G393" s="46"/>
      <c r="H393" s="43" t="s">
        <v>878</v>
      </c>
      <c r="I393" s="44">
        <v>1617000</v>
      </c>
      <c r="J393" s="87">
        <v>45986</v>
      </c>
      <c r="K393" s="88">
        <v>0.50608796296296299</v>
      </c>
      <c r="L393" s="38">
        <f t="shared" si="14"/>
        <v>0</v>
      </c>
      <c r="M393" s="17">
        <f t="shared" si="15"/>
        <v>-1617000</v>
      </c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  <c r="AC393" s="33"/>
      <c r="AD393" s="33"/>
      <c r="AE393" s="33"/>
      <c r="AF393" s="33"/>
      <c r="AG393" s="33"/>
      <c r="AH393" s="33"/>
      <c r="AI393" s="33"/>
      <c r="AJ393" s="33"/>
      <c r="AK393" s="33"/>
      <c r="AL393" s="33"/>
      <c r="AM393" s="33"/>
      <c r="AN393" s="33"/>
      <c r="AO393" s="33"/>
    </row>
    <row r="394" spans="1:41" ht="105">
      <c r="A394" s="46"/>
      <c r="B394" s="46"/>
      <c r="C394" s="46" t="s">
        <v>1356</v>
      </c>
      <c r="D394" s="46" t="s">
        <v>61</v>
      </c>
      <c r="E394" s="111" t="str">
        <f>VLOOKUP(C394,KELAS!$A$2:$D$643,4,0)</f>
        <v>2 MEKKAH</v>
      </c>
      <c r="F394" s="46"/>
      <c r="G394" s="46"/>
      <c r="H394" s="43" t="s">
        <v>880</v>
      </c>
      <c r="I394" s="44">
        <v>1540000</v>
      </c>
      <c r="J394" s="87">
        <v>45986</v>
      </c>
      <c r="K394" s="88">
        <v>0.53581018518518519</v>
      </c>
      <c r="L394" s="38">
        <f t="shared" si="14"/>
        <v>0</v>
      </c>
      <c r="M394" s="17">
        <f t="shared" si="15"/>
        <v>-1540000</v>
      </c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  <c r="AC394" s="33"/>
      <c r="AD394" s="33"/>
      <c r="AE394" s="33"/>
      <c r="AF394" s="33"/>
      <c r="AG394" s="33"/>
      <c r="AH394" s="33"/>
      <c r="AI394" s="33"/>
      <c r="AJ394" s="33"/>
      <c r="AK394" s="33"/>
      <c r="AL394" s="33"/>
      <c r="AM394" s="33"/>
      <c r="AN394" s="33"/>
      <c r="AO394" s="33"/>
    </row>
    <row r="395" spans="1:41" ht="90">
      <c r="A395" s="46"/>
      <c r="B395" s="46"/>
      <c r="C395" s="46" t="s">
        <v>2127</v>
      </c>
      <c r="D395" s="46" t="s">
        <v>61</v>
      </c>
      <c r="E395" s="111" t="str">
        <f>VLOOKUP(C395,KELAS!$A$2:$D$643,4,0)</f>
        <v>5 MINA</v>
      </c>
      <c r="F395" s="46"/>
      <c r="G395" s="46"/>
      <c r="H395" s="43" t="s">
        <v>882</v>
      </c>
      <c r="I395" s="44">
        <v>1400000</v>
      </c>
      <c r="J395" s="87">
        <v>45986</v>
      </c>
      <c r="K395" s="88">
        <v>0.53746527777777775</v>
      </c>
      <c r="L395" s="38">
        <f t="shared" si="14"/>
        <v>0</v>
      </c>
      <c r="M395" s="17">
        <f t="shared" si="15"/>
        <v>-1400000</v>
      </c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  <c r="AC395" s="33"/>
      <c r="AD395" s="33"/>
      <c r="AE395" s="33"/>
      <c r="AF395" s="33"/>
      <c r="AG395" s="33"/>
      <c r="AH395" s="33"/>
      <c r="AI395" s="33"/>
      <c r="AJ395" s="33"/>
      <c r="AK395" s="33"/>
      <c r="AL395" s="33"/>
      <c r="AM395" s="33"/>
      <c r="AN395" s="33"/>
      <c r="AO395" s="33"/>
    </row>
    <row r="396" spans="1:41" ht="105">
      <c r="A396" s="46"/>
      <c r="B396" s="46"/>
      <c r="C396" s="46" t="s">
        <v>1610</v>
      </c>
      <c r="D396" s="46" t="s">
        <v>61</v>
      </c>
      <c r="E396" s="111" t="str">
        <f>VLOOKUP(C396,KELAS!$A$2:$D$643,4,0)</f>
        <v>3 MEKKAH</v>
      </c>
      <c r="F396" s="46"/>
      <c r="G396" s="46"/>
      <c r="H396" s="43" t="s">
        <v>884</v>
      </c>
      <c r="I396" s="44">
        <v>1400000</v>
      </c>
      <c r="J396" s="87">
        <v>45986</v>
      </c>
      <c r="K396" s="88">
        <v>0.58261574074074074</v>
      </c>
      <c r="L396" s="38">
        <f t="shared" si="14"/>
        <v>0</v>
      </c>
      <c r="M396" s="17">
        <f t="shared" si="15"/>
        <v>-1400000</v>
      </c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  <c r="AC396" s="33"/>
      <c r="AD396" s="33"/>
      <c r="AE396" s="33"/>
      <c r="AF396" s="33"/>
      <c r="AG396" s="33"/>
      <c r="AH396" s="33"/>
      <c r="AI396" s="33"/>
      <c r="AJ396" s="33"/>
      <c r="AK396" s="33"/>
      <c r="AL396" s="33"/>
      <c r="AM396" s="33"/>
      <c r="AN396" s="33"/>
      <c r="AO396" s="33"/>
    </row>
    <row r="397" spans="1:41" ht="105">
      <c r="A397" s="46"/>
      <c r="B397" s="46"/>
      <c r="C397" s="46" t="s">
        <v>1855</v>
      </c>
      <c r="D397" s="46" t="s">
        <v>61</v>
      </c>
      <c r="E397" s="111" t="str">
        <f>VLOOKUP(C397,KELAS!$A$2:$D$643,4,0)</f>
        <v>4 MEKKAH</v>
      </c>
      <c r="F397" s="46"/>
      <c r="G397" s="46"/>
      <c r="H397" s="43" t="s">
        <v>886</v>
      </c>
      <c r="I397" s="44">
        <v>1450000</v>
      </c>
      <c r="J397" s="87">
        <v>45986</v>
      </c>
      <c r="K397" s="88">
        <v>0.60043981481481479</v>
      </c>
      <c r="L397" s="38">
        <f t="shared" si="14"/>
        <v>0</v>
      </c>
      <c r="M397" s="17">
        <f t="shared" si="15"/>
        <v>-1450000</v>
      </c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  <c r="AE397" s="33"/>
      <c r="AF397" s="33"/>
      <c r="AG397" s="33"/>
      <c r="AH397" s="33"/>
      <c r="AI397" s="33"/>
      <c r="AJ397" s="33"/>
      <c r="AK397" s="33"/>
      <c r="AL397" s="33"/>
      <c r="AM397" s="33"/>
      <c r="AN397" s="33"/>
      <c r="AO397" s="33"/>
    </row>
    <row r="398" spans="1:41" ht="105">
      <c r="A398" s="46"/>
      <c r="B398" s="46"/>
      <c r="C398" s="46" t="s">
        <v>1172</v>
      </c>
      <c r="D398" s="46" t="s">
        <v>61</v>
      </c>
      <c r="E398" s="111" t="str">
        <f>VLOOKUP(C398,KELAS!$A$2:$D$643,4,0)</f>
        <v>1 MADINAH</v>
      </c>
      <c r="F398" s="46"/>
      <c r="G398" s="46"/>
      <c r="H398" s="43" t="s">
        <v>145</v>
      </c>
      <c r="I398" s="44">
        <v>1617000</v>
      </c>
      <c r="J398" s="87">
        <v>45986</v>
      </c>
      <c r="K398" s="88">
        <v>0.60328703703703701</v>
      </c>
      <c r="L398" s="38">
        <f t="shared" si="14"/>
        <v>0</v>
      </c>
      <c r="M398" s="17">
        <f t="shared" si="15"/>
        <v>-1617000</v>
      </c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  <c r="AC398" s="33"/>
      <c r="AD398" s="33"/>
      <c r="AE398" s="33"/>
      <c r="AF398" s="33"/>
      <c r="AG398" s="33"/>
      <c r="AH398" s="33"/>
      <c r="AI398" s="33"/>
      <c r="AJ398" s="33"/>
      <c r="AK398" s="33"/>
      <c r="AL398" s="33"/>
      <c r="AM398" s="33"/>
      <c r="AN398" s="33"/>
      <c r="AO398" s="33"/>
    </row>
    <row r="399" spans="1:41" ht="120">
      <c r="A399" s="46"/>
      <c r="B399" s="46"/>
      <c r="C399" s="46" t="s">
        <v>2377</v>
      </c>
      <c r="D399" s="46" t="s">
        <v>61</v>
      </c>
      <c r="E399" s="111" t="e">
        <f>VLOOKUP(C399,KELAS!$A$2:$D$643,4,0)</f>
        <v>#N/A</v>
      </c>
      <c r="F399" s="46"/>
      <c r="G399" s="46"/>
      <c r="H399" s="43" t="s">
        <v>889</v>
      </c>
      <c r="I399" s="44">
        <v>1400000</v>
      </c>
      <c r="J399" s="87">
        <v>45986</v>
      </c>
      <c r="K399" s="88">
        <v>0.61869212962962961</v>
      </c>
      <c r="L399" s="38">
        <f t="shared" si="14"/>
        <v>0</v>
      </c>
      <c r="M399" s="17">
        <f t="shared" si="15"/>
        <v>-1400000</v>
      </c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  <c r="AC399" s="33"/>
      <c r="AD399" s="33"/>
      <c r="AE399" s="33"/>
      <c r="AF399" s="33"/>
      <c r="AG399" s="33"/>
      <c r="AH399" s="33"/>
      <c r="AI399" s="33"/>
      <c r="AJ399" s="33"/>
      <c r="AK399" s="33"/>
      <c r="AL399" s="33"/>
      <c r="AM399" s="33"/>
      <c r="AN399" s="33"/>
      <c r="AO399" s="33"/>
    </row>
    <row r="400" spans="1:41" ht="120">
      <c r="A400" s="46"/>
      <c r="B400" s="46"/>
      <c r="C400" s="46" t="s">
        <v>1561</v>
      </c>
      <c r="D400" s="46" t="s">
        <v>61</v>
      </c>
      <c r="E400" s="111" t="str">
        <f>VLOOKUP(C400,KELAS!$A$2:$D$643,4,0)</f>
        <v>2 MARWAH</v>
      </c>
      <c r="F400" s="46"/>
      <c r="G400" s="46"/>
      <c r="H400" s="43" t="s">
        <v>891</v>
      </c>
      <c r="I400" s="44">
        <v>1540000</v>
      </c>
      <c r="J400" s="87">
        <v>45986</v>
      </c>
      <c r="K400" s="88">
        <v>0.64940972222222226</v>
      </c>
      <c r="L400" s="38">
        <f t="shared" si="14"/>
        <v>0</v>
      </c>
      <c r="M400" s="17">
        <f t="shared" si="15"/>
        <v>-1540000</v>
      </c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  <c r="AC400" s="33"/>
      <c r="AD400" s="33"/>
      <c r="AE400" s="33"/>
      <c r="AF400" s="33"/>
      <c r="AG400" s="33"/>
      <c r="AH400" s="33"/>
      <c r="AI400" s="33"/>
      <c r="AJ400" s="33"/>
      <c r="AK400" s="33"/>
      <c r="AL400" s="33"/>
      <c r="AM400" s="33"/>
      <c r="AN400" s="33"/>
      <c r="AO400" s="33"/>
    </row>
    <row r="401" spans="1:41" ht="90">
      <c r="A401" s="46"/>
      <c r="B401" s="46"/>
      <c r="C401" s="46" t="s">
        <v>2124</v>
      </c>
      <c r="D401" s="46" t="s">
        <v>61</v>
      </c>
      <c r="E401" s="111" t="str">
        <f>VLOOKUP(C401,KELAS!$A$2:$D$643,4,0)</f>
        <v>5 MINA</v>
      </c>
      <c r="F401" s="46"/>
      <c r="G401" s="46"/>
      <c r="H401" s="43" t="s">
        <v>893</v>
      </c>
      <c r="I401" s="44">
        <v>1400000</v>
      </c>
      <c r="J401" s="87">
        <v>45986</v>
      </c>
      <c r="K401" s="88">
        <v>0.70001157407407411</v>
      </c>
      <c r="L401" s="38">
        <f t="shared" si="14"/>
        <v>0</v>
      </c>
      <c r="M401" s="17">
        <f t="shared" si="15"/>
        <v>-1400000</v>
      </c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  <c r="AC401" s="33"/>
      <c r="AD401" s="33"/>
      <c r="AE401" s="33"/>
      <c r="AF401" s="33"/>
      <c r="AG401" s="33"/>
      <c r="AH401" s="33"/>
      <c r="AI401" s="33"/>
      <c r="AJ401" s="33"/>
      <c r="AK401" s="33"/>
      <c r="AL401" s="33"/>
      <c r="AM401" s="33"/>
      <c r="AN401" s="33"/>
      <c r="AO401" s="33"/>
    </row>
    <row r="402" spans="1:41" ht="75">
      <c r="A402" s="46"/>
      <c r="B402" s="46"/>
      <c r="C402" s="46" t="s">
        <v>1137</v>
      </c>
      <c r="D402" s="46" t="s">
        <v>61</v>
      </c>
      <c r="E402" s="111" t="e">
        <f>VLOOKUP(C402,KELAS!$A$2:$D$643,4,0)</f>
        <v>#N/A</v>
      </c>
      <c r="F402" s="46"/>
      <c r="G402" s="46"/>
      <c r="H402" s="43" t="s">
        <v>895</v>
      </c>
      <c r="I402" s="44">
        <v>1600000</v>
      </c>
      <c r="J402" s="87">
        <v>45986</v>
      </c>
      <c r="K402" s="88">
        <v>0.70053240740740741</v>
      </c>
      <c r="L402" s="38">
        <f t="shared" si="14"/>
        <v>0</v>
      </c>
      <c r="M402" s="17">
        <f t="shared" si="15"/>
        <v>-1600000</v>
      </c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  <c r="AC402" s="33"/>
      <c r="AD402" s="33"/>
      <c r="AE402" s="33"/>
      <c r="AF402" s="33"/>
      <c r="AG402" s="33"/>
      <c r="AH402" s="33"/>
      <c r="AI402" s="33"/>
      <c r="AJ402" s="33"/>
      <c r="AK402" s="33"/>
      <c r="AL402" s="33"/>
      <c r="AM402" s="33"/>
      <c r="AN402" s="33"/>
      <c r="AO402" s="33"/>
    </row>
    <row r="403" spans="1:41" ht="120">
      <c r="A403" s="46"/>
      <c r="B403" s="46"/>
      <c r="C403" s="46" t="s">
        <v>2312</v>
      </c>
      <c r="D403" s="46" t="s">
        <v>61</v>
      </c>
      <c r="E403" s="111" t="str">
        <f>VLOOKUP(C403,KELAS!$A$2:$D$643,4,0)</f>
        <v>6 MINA</v>
      </c>
      <c r="F403" s="46"/>
      <c r="G403" s="46"/>
      <c r="H403" s="43" t="s">
        <v>897</v>
      </c>
      <c r="I403" s="44">
        <v>1400000</v>
      </c>
      <c r="J403" s="87">
        <v>45986</v>
      </c>
      <c r="K403" s="88">
        <v>0.71307870370370374</v>
      </c>
      <c r="L403" s="38">
        <f t="shared" si="14"/>
        <v>0</v>
      </c>
      <c r="M403" s="17">
        <f t="shared" si="15"/>
        <v>-1400000</v>
      </c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  <c r="AC403" s="33"/>
      <c r="AD403" s="33"/>
      <c r="AE403" s="33"/>
      <c r="AF403" s="33"/>
      <c r="AG403" s="33"/>
      <c r="AH403" s="33"/>
      <c r="AI403" s="33"/>
      <c r="AJ403" s="33"/>
      <c r="AK403" s="33"/>
      <c r="AL403" s="33"/>
      <c r="AM403" s="33"/>
      <c r="AN403" s="33"/>
      <c r="AO403" s="33"/>
    </row>
    <row r="404" spans="1:41" ht="105">
      <c r="A404" s="46"/>
      <c r="B404" s="46"/>
      <c r="C404" s="46" t="s">
        <v>1654</v>
      </c>
      <c r="D404" s="46" t="s">
        <v>61</v>
      </c>
      <c r="E404" s="111" t="str">
        <f>VLOOKUP(C404,KELAS!$A$2:$D$643,4,0)</f>
        <v>3 MEKKAH</v>
      </c>
      <c r="F404" s="46"/>
      <c r="G404" s="46"/>
      <c r="H404" s="43" t="s">
        <v>899</v>
      </c>
      <c r="I404" s="44">
        <v>1400000</v>
      </c>
      <c r="J404" s="87">
        <v>45986</v>
      </c>
      <c r="K404" s="88">
        <v>0.79216435185185186</v>
      </c>
      <c r="L404" s="38">
        <f t="shared" si="14"/>
        <v>0</v>
      </c>
      <c r="M404" s="17">
        <f t="shared" si="15"/>
        <v>-1400000</v>
      </c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  <c r="AC404" s="33"/>
      <c r="AD404" s="33"/>
      <c r="AE404" s="33"/>
      <c r="AF404" s="33"/>
      <c r="AG404" s="33"/>
      <c r="AH404" s="33"/>
      <c r="AI404" s="33"/>
      <c r="AJ404" s="33"/>
      <c r="AK404" s="33"/>
      <c r="AL404" s="33"/>
      <c r="AM404" s="33"/>
      <c r="AN404" s="33"/>
      <c r="AO404" s="33"/>
    </row>
    <row r="405" spans="1:41" ht="105">
      <c r="A405" s="46"/>
      <c r="B405" s="46"/>
      <c r="C405" s="46" t="s">
        <v>1321</v>
      </c>
      <c r="D405" s="46" t="s">
        <v>61</v>
      </c>
      <c r="E405" s="111" t="str">
        <f>VLOOKUP(C405,KELAS!$A$2:$D$643,4,0)</f>
        <v>1 MARWAH/TAHFIDZ</v>
      </c>
      <c r="F405" s="46"/>
      <c r="G405" s="46"/>
      <c r="H405" s="43" t="s">
        <v>901</v>
      </c>
      <c r="I405" s="44">
        <v>1617000</v>
      </c>
      <c r="J405" s="87">
        <v>45986</v>
      </c>
      <c r="K405" s="88">
        <v>0.79714120370370367</v>
      </c>
      <c r="L405" s="38">
        <f t="shared" si="14"/>
        <v>0</v>
      </c>
      <c r="M405" s="17">
        <f t="shared" si="15"/>
        <v>-1617000</v>
      </c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  <c r="AC405" s="33"/>
      <c r="AD405" s="33"/>
      <c r="AE405" s="33"/>
      <c r="AF405" s="33"/>
      <c r="AG405" s="33"/>
      <c r="AH405" s="33"/>
      <c r="AI405" s="33"/>
      <c r="AJ405" s="33"/>
      <c r="AK405" s="33"/>
      <c r="AL405" s="33"/>
      <c r="AM405" s="33"/>
      <c r="AN405" s="33"/>
      <c r="AO405" s="33"/>
    </row>
    <row r="406" spans="1:41" ht="105">
      <c r="A406" s="46"/>
      <c r="B406" s="46"/>
      <c r="C406" s="46" t="s">
        <v>1745</v>
      </c>
      <c r="D406" s="46" t="s">
        <v>61</v>
      </c>
      <c r="E406" s="111" t="str">
        <f>VLOOKUP(C406,KELAS!$A$2:$D$643,4,0)</f>
        <v>3 MINA</v>
      </c>
      <c r="F406" s="46"/>
      <c r="G406" s="46"/>
      <c r="H406" s="43" t="s">
        <v>63</v>
      </c>
      <c r="I406" s="44">
        <v>1450000</v>
      </c>
      <c r="J406" s="87">
        <v>45986</v>
      </c>
      <c r="K406" s="88">
        <v>0.79927083333333337</v>
      </c>
      <c r="L406" s="38">
        <f t="shared" si="14"/>
        <v>0</v>
      </c>
      <c r="M406" s="17">
        <f t="shared" si="15"/>
        <v>-1450000</v>
      </c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  <c r="AC406" s="33"/>
      <c r="AD406" s="33"/>
      <c r="AE406" s="33"/>
      <c r="AF406" s="33"/>
      <c r="AG406" s="33"/>
      <c r="AH406" s="33"/>
      <c r="AI406" s="33"/>
      <c r="AJ406" s="33"/>
      <c r="AK406" s="33"/>
      <c r="AL406" s="33"/>
      <c r="AM406" s="33"/>
      <c r="AN406" s="33"/>
      <c r="AO406" s="33"/>
    </row>
    <row r="407" spans="1:41" ht="90">
      <c r="A407" s="46"/>
      <c r="B407" s="46"/>
      <c r="C407" s="46" t="s">
        <v>1263</v>
      </c>
      <c r="D407" s="46" t="s">
        <v>61</v>
      </c>
      <c r="E407" s="111" t="str">
        <f>VLOOKUP(C407,KELAS!$A$2:$D$643,4,0)</f>
        <v>1 MINA</v>
      </c>
      <c r="F407" s="46"/>
      <c r="G407" s="46"/>
      <c r="H407" s="43" t="s">
        <v>904</v>
      </c>
      <c r="I407" s="44">
        <v>1617000</v>
      </c>
      <c r="J407" s="87">
        <v>45986</v>
      </c>
      <c r="K407" s="88">
        <v>0.81940972222222219</v>
      </c>
      <c r="L407" s="38">
        <f t="shared" si="14"/>
        <v>0</v>
      </c>
      <c r="M407" s="17">
        <f t="shared" si="15"/>
        <v>-1617000</v>
      </c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  <c r="AC407" s="33"/>
      <c r="AD407" s="33"/>
      <c r="AE407" s="33"/>
      <c r="AF407" s="33"/>
      <c r="AG407" s="33"/>
      <c r="AH407" s="33"/>
      <c r="AI407" s="33"/>
      <c r="AJ407" s="33"/>
      <c r="AK407" s="33"/>
      <c r="AL407" s="33"/>
      <c r="AM407" s="33"/>
      <c r="AN407" s="33"/>
      <c r="AO407" s="33"/>
    </row>
    <row r="408" spans="1:41" ht="105">
      <c r="A408" s="46"/>
      <c r="B408" s="46"/>
      <c r="C408" s="46" t="s">
        <v>2275</v>
      </c>
      <c r="D408" s="46" t="s">
        <v>61</v>
      </c>
      <c r="E408" s="111" t="str">
        <f>VLOOKUP(C408,KELAS!$A$2:$D$643,4,0)</f>
        <v>6 MINA</v>
      </c>
      <c r="F408" s="46"/>
      <c r="G408" s="46"/>
      <c r="H408" s="43" t="s">
        <v>113</v>
      </c>
      <c r="I408" s="44">
        <v>1400000</v>
      </c>
      <c r="J408" s="87">
        <v>45986</v>
      </c>
      <c r="K408" s="88">
        <v>0.84244212962962961</v>
      </c>
      <c r="L408" s="38">
        <f t="shared" si="14"/>
        <v>0</v>
      </c>
      <c r="M408" s="17">
        <f t="shared" si="15"/>
        <v>-1400000</v>
      </c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  <c r="AC408" s="33"/>
      <c r="AD408" s="33"/>
      <c r="AE408" s="33"/>
      <c r="AF408" s="33"/>
      <c r="AG408" s="33"/>
      <c r="AH408" s="33"/>
      <c r="AI408" s="33"/>
      <c r="AJ408" s="33"/>
      <c r="AK408" s="33"/>
      <c r="AL408" s="33"/>
      <c r="AM408" s="33"/>
      <c r="AN408" s="33"/>
      <c r="AO408" s="33"/>
    </row>
    <row r="409" spans="1:41" ht="90">
      <c r="A409" s="46"/>
      <c r="B409" s="46"/>
      <c r="C409" s="46" t="s">
        <v>1514</v>
      </c>
      <c r="D409" s="46" t="s">
        <v>61</v>
      </c>
      <c r="E409" s="111" t="str">
        <f>VLOOKUP(C409,KELAS!$A$2:$D$643,4,0)</f>
        <v>2 MINA</v>
      </c>
      <c r="F409" s="46"/>
      <c r="G409" s="46"/>
      <c r="H409" s="43" t="s">
        <v>65</v>
      </c>
      <c r="I409" s="44">
        <v>1540000</v>
      </c>
      <c r="J409" s="87">
        <v>45986</v>
      </c>
      <c r="K409" s="88">
        <v>0.85270833333333329</v>
      </c>
      <c r="L409" s="38">
        <f t="shared" si="14"/>
        <v>0</v>
      </c>
      <c r="M409" s="17">
        <f t="shared" si="15"/>
        <v>-1540000</v>
      </c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  <c r="AC409" s="33"/>
      <c r="AD409" s="33"/>
      <c r="AE409" s="33"/>
      <c r="AF409" s="33"/>
      <c r="AG409" s="33"/>
      <c r="AH409" s="33"/>
      <c r="AI409" s="33"/>
      <c r="AJ409" s="33"/>
      <c r="AK409" s="33"/>
      <c r="AL409" s="33"/>
      <c r="AM409" s="33"/>
      <c r="AN409" s="33"/>
      <c r="AO409" s="33"/>
    </row>
    <row r="410" spans="1:41" ht="75">
      <c r="A410" s="46"/>
      <c r="B410" s="46"/>
      <c r="C410" s="46" t="s">
        <v>1122</v>
      </c>
      <c r="D410" s="46" t="s">
        <v>61</v>
      </c>
      <c r="E410" s="111" t="str">
        <f>VLOOKUP(C410,KELAS!$A$2:$D$643,4,0)</f>
        <v>1 MEKKAH</v>
      </c>
      <c r="F410" s="46"/>
      <c r="G410" s="46"/>
      <c r="H410" s="43" t="s">
        <v>182</v>
      </c>
      <c r="I410" s="44">
        <v>1617000</v>
      </c>
      <c r="J410" s="87">
        <v>45986</v>
      </c>
      <c r="K410" s="88">
        <v>0.87329861111111107</v>
      </c>
      <c r="L410" s="38">
        <f t="shared" si="14"/>
        <v>0</v>
      </c>
      <c r="M410" s="17">
        <f t="shared" si="15"/>
        <v>-1617000</v>
      </c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  <c r="AC410" s="33"/>
      <c r="AD410" s="33"/>
      <c r="AE410" s="33"/>
      <c r="AF410" s="33"/>
      <c r="AG410" s="33"/>
      <c r="AH410" s="33"/>
      <c r="AI410" s="33"/>
      <c r="AJ410" s="33"/>
      <c r="AK410" s="33"/>
      <c r="AL410" s="33"/>
      <c r="AM410" s="33"/>
      <c r="AN410" s="33"/>
      <c r="AO410" s="33"/>
    </row>
    <row r="411" spans="1:41" ht="105">
      <c r="A411" s="46"/>
      <c r="B411" s="46"/>
      <c r="C411" s="46" t="s">
        <v>1777</v>
      </c>
      <c r="D411" s="46" t="s">
        <v>61</v>
      </c>
      <c r="E411" s="111" t="str">
        <f>VLOOKUP(C411,KELAS!$A$2:$D$643,4,0)</f>
        <v>3 MARWAH</v>
      </c>
      <c r="F411" s="46"/>
      <c r="G411" s="46"/>
      <c r="H411" s="43" t="s">
        <v>909</v>
      </c>
      <c r="I411" s="44">
        <v>700000</v>
      </c>
      <c r="J411" s="87">
        <v>45987</v>
      </c>
      <c r="K411" s="88">
        <v>0.23689814814814814</v>
      </c>
      <c r="L411" s="38">
        <f t="shared" si="14"/>
        <v>0</v>
      </c>
      <c r="M411" s="17">
        <f t="shared" si="15"/>
        <v>-700000</v>
      </c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  <c r="AC411" s="33"/>
      <c r="AD411" s="33"/>
      <c r="AE411" s="33"/>
      <c r="AF411" s="33"/>
      <c r="AG411" s="33"/>
      <c r="AH411" s="33"/>
      <c r="AI411" s="33"/>
      <c r="AJ411" s="33"/>
      <c r="AK411" s="33"/>
      <c r="AL411" s="33"/>
      <c r="AM411" s="33"/>
      <c r="AN411" s="33"/>
      <c r="AO411" s="33"/>
    </row>
    <row r="412" spans="1:41" ht="90">
      <c r="A412" s="46"/>
      <c r="B412" s="46"/>
      <c r="C412" s="46" t="s">
        <v>1861</v>
      </c>
      <c r="D412" s="46" t="s">
        <v>61</v>
      </c>
      <c r="E412" s="111" t="str">
        <f>VLOOKUP(C412,KELAS!$A$2:$D$643,4,0)</f>
        <v>4 MEKKAH</v>
      </c>
      <c r="F412" s="46"/>
      <c r="G412" s="46"/>
      <c r="H412" s="43" t="s">
        <v>117</v>
      </c>
      <c r="I412" s="44">
        <v>1450000</v>
      </c>
      <c r="J412" s="87">
        <v>45987</v>
      </c>
      <c r="K412" s="88">
        <v>0.24090277777777777</v>
      </c>
      <c r="L412" s="38">
        <f t="shared" si="14"/>
        <v>0</v>
      </c>
      <c r="M412" s="17">
        <f t="shared" si="15"/>
        <v>-1450000</v>
      </c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  <c r="AC412" s="33"/>
      <c r="AD412" s="33"/>
      <c r="AE412" s="33"/>
      <c r="AF412" s="33"/>
      <c r="AG412" s="33"/>
      <c r="AH412" s="33"/>
      <c r="AI412" s="33"/>
      <c r="AJ412" s="33"/>
      <c r="AK412" s="33"/>
      <c r="AL412" s="33"/>
      <c r="AM412" s="33"/>
      <c r="AN412" s="33"/>
      <c r="AO412" s="33"/>
    </row>
    <row r="413" spans="1:41" ht="120">
      <c r="A413" s="46"/>
      <c r="B413" s="46"/>
      <c r="C413" s="46" t="s">
        <v>2159</v>
      </c>
      <c r="D413" s="46" t="s">
        <v>61</v>
      </c>
      <c r="E413" s="111" t="str">
        <f>VLOOKUP(C413,KELAS!$A$2:$D$643,4,0)</f>
        <v>5 MINA</v>
      </c>
      <c r="F413" s="46"/>
      <c r="G413" s="46"/>
      <c r="H413" s="43" t="s">
        <v>912</v>
      </c>
      <c r="I413" s="44">
        <v>1400000</v>
      </c>
      <c r="J413" s="87">
        <v>45987</v>
      </c>
      <c r="K413" s="88">
        <v>0.25760416666666669</v>
      </c>
      <c r="L413" s="38">
        <f t="shared" si="14"/>
        <v>0</v>
      </c>
      <c r="M413" s="17">
        <f t="shared" si="15"/>
        <v>-1400000</v>
      </c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  <c r="AD413" s="33"/>
      <c r="AE413" s="33"/>
      <c r="AF413" s="33"/>
      <c r="AG413" s="33"/>
      <c r="AH413" s="33"/>
      <c r="AI413" s="33"/>
      <c r="AJ413" s="33"/>
      <c r="AK413" s="33"/>
      <c r="AL413" s="33"/>
      <c r="AM413" s="33"/>
      <c r="AN413" s="33"/>
      <c r="AO413" s="33"/>
    </row>
    <row r="414" spans="1:41" ht="105">
      <c r="A414" s="46"/>
      <c r="B414" s="46"/>
      <c r="C414" s="46" t="s">
        <v>2378</v>
      </c>
      <c r="D414" s="46" t="s">
        <v>61</v>
      </c>
      <c r="E414" s="111" t="e">
        <f>VLOOKUP(C414,KELAS!$A$2:$D$643,4,0)</f>
        <v>#N/A</v>
      </c>
      <c r="F414" s="46"/>
      <c r="G414" s="46"/>
      <c r="H414" s="43" t="s">
        <v>180</v>
      </c>
      <c r="I414" s="44">
        <v>1450000</v>
      </c>
      <c r="J414" s="87">
        <v>45987</v>
      </c>
      <c r="K414" s="88">
        <v>0.30462962962962964</v>
      </c>
      <c r="L414" s="38">
        <f t="shared" si="14"/>
        <v>0</v>
      </c>
      <c r="M414" s="17">
        <f t="shared" si="15"/>
        <v>-1450000</v>
      </c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  <c r="AC414" s="33"/>
      <c r="AD414" s="33"/>
      <c r="AE414" s="33"/>
      <c r="AF414" s="33"/>
      <c r="AG414" s="33"/>
      <c r="AH414" s="33"/>
      <c r="AI414" s="33"/>
      <c r="AJ414" s="33"/>
      <c r="AK414" s="33"/>
      <c r="AL414" s="33"/>
      <c r="AM414" s="33"/>
      <c r="AN414" s="33"/>
      <c r="AO414" s="33"/>
    </row>
    <row r="415" spans="1:41" ht="105">
      <c r="A415" s="46"/>
      <c r="B415" s="46"/>
      <c r="C415" s="46" t="s">
        <v>2379</v>
      </c>
      <c r="D415" s="46" t="s">
        <v>61</v>
      </c>
      <c r="E415" s="111" t="str">
        <f>VLOOKUP(C415,KELAS!$A$2:$D$643,4,0)</f>
        <v>4 MADINAH</v>
      </c>
      <c r="F415" s="46"/>
      <c r="G415" s="46"/>
      <c r="H415" s="43" t="s">
        <v>181</v>
      </c>
      <c r="I415" s="44">
        <v>1450000</v>
      </c>
      <c r="J415" s="87">
        <v>45987</v>
      </c>
      <c r="K415" s="88">
        <v>0.30499999999999999</v>
      </c>
      <c r="L415" s="38">
        <f t="shared" si="14"/>
        <v>0</v>
      </c>
      <c r="M415" s="17">
        <f t="shared" si="15"/>
        <v>-1450000</v>
      </c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  <c r="AC415" s="33"/>
      <c r="AD415" s="33"/>
      <c r="AE415" s="33"/>
      <c r="AF415" s="33"/>
      <c r="AG415" s="33"/>
      <c r="AH415" s="33"/>
      <c r="AI415" s="33"/>
      <c r="AJ415" s="33"/>
      <c r="AK415" s="33"/>
      <c r="AL415" s="33"/>
      <c r="AM415" s="33"/>
      <c r="AN415" s="33"/>
      <c r="AO415" s="33"/>
    </row>
    <row r="416" spans="1:41" ht="105">
      <c r="A416" s="46"/>
      <c r="B416" s="46"/>
      <c r="C416" s="46" t="s">
        <v>1851</v>
      </c>
      <c r="D416" s="46" t="s">
        <v>61</v>
      </c>
      <c r="E416" s="111" t="str">
        <f>VLOOKUP(C416,KELAS!$A$2:$D$643,4,0)</f>
        <v>4 MEKKAH</v>
      </c>
      <c r="F416" s="46"/>
      <c r="G416" s="46"/>
      <c r="H416" s="43" t="s">
        <v>916</v>
      </c>
      <c r="I416" s="44">
        <v>1400000</v>
      </c>
      <c r="J416" s="87">
        <v>45987</v>
      </c>
      <c r="K416" s="88">
        <v>0.30622685185185183</v>
      </c>
      <c r="L416" s="38">
        <f t="shared" ref="L416:L479" si="16">SUM(N416:AP416)</f>
        <v>0</v>
      </c>
      <c r="M416" s="17">
        <f t="shared" ref="M416:M479" si="17">L416-I416</f>
        <v>-1400000</v>
      </c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  <c r="AC416" s="33"/>
      <c r="AD416" s="33"/>
      <c r="AE416" s="33"/>
      <c r="AF416" s="33"/>
      <c r="AG416" s="33"/>
      <c r="AH416" s="33"/>
      <c r="AI416" s="33"/>
      <c r="AJ416" s="33"/>
      <c r="AK416" s="33"/>
      <c r="AL416" s="33"/>
      <c r="AM416" s="33"/>
      <c r="AN416" s="33"/>
      <c r="AO416" s="33"/>
    </row>
    <row r="417" spans="1:41" ht="75">
      <c r="A417" s="46"/>
      <c r="B417" s="46"/>
      <c r="C417" s="46" t="s">
        <v>2297</v>
      </c>
      <c r="D417" s="46" t="s">
        <v>61</v>
      </c>
      <c r="E417" s="111" t="str">
        <f>VLOOKUP(C417,KELAS!$A$2:$D$643,4,0)</f>
        <v>6 MINA</v>
      </c>
      <c r="F417" s="46"/>
      <c r="G417" s="46"/>
      <c r="H417" s="43" t="s">
        <v>179</v>
      </c>
      <c r="I417" s="44">
        <v>1400000</v>
      </c>
      <c r="J417" s="87">
        <v>45987</v>
      </c>
      <c r="K417" s="88">
        <v>0.31181712962962965</v>
      </c>
      <c r="L417" s="38">
        <f t="shared" si="16"/>
        <v>0</v>
      </c>
      <c r="M417" s="17">
        <f t="shared" si="17"/>
        <v>-1400000</v>
      </c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  <c r="AC417" s="33"/>
      <c r="AD417" s="33"/>
      <c r="AE417" s="33"/>
      <c r="AF417" s="33"/>
      <c r="AG417" s="33"/>
      <c r="AH417" s="33"/>
      <c r="AI417" s="33"/>
      <c r="AJ417" s="33"/>
      <c r="AK417" s="33"/>
      <c r="AL417" s="33"/>
      <c r="AM417" s="33"/>
      <c r="AN417" s="33"/>
      <c r="AO417" s="33"/>
    </row>
    <row r="418" spans="1:41" ht="105">
      <c r="A418" s="46"/>
      <c r="B418" s="46"/>
      <c r="C418" s="46" t="s">
        <v>2021</v>
      </c>
      <c r="D418" s="46" t="s">
        <v>61</v>
      </c>
      <c r="E418" s="111" t="str">
        <f>VLOOKUP(C418,KELAS!$A$2:$D$643,4,0)</f>
        <v>5 MEKKAH</v>
      </c>
      <c r="F418" s="46"/>
      <c r="G418" s="46"/>
      <c r="H418" s="43" t="s">
        <v>919</v>
      </c>
      <c r="I418" s="44">
        <v>1400000</v>
      </c>
      <c r="J418" s="87">
        <v>45987</v>
      </c>
      <c r="K418" s="88">
        <v>0.33004629629629628</v>
      </c>
      <c r="L418" s="38">
        <f t="shared" si="16"/>
        <v>0</v>
      </c>
      <c r="M418" s="17">
        <f t="shared" si="17"/>
        <v>-1400000</v>
      </c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  <c r="AC418" s="33"/>
      <c r="AD418" s="33"/>
      <c r="AE418" s="33"/>
      <c r="AF418" s="33"/>
      <c r="AG418" s="33"/>
      <c r="AH418" s="33"/>
      <c r="AI418" s="33"/>
      <c r="AJ418" s="33"/>
      <c r="AK418" s="33"/>
      <c r="AL418" s="33"/>
      <c r="AM418" s="33"/>
      <c r="AN418" s="33"/>
      <c r="AO418" s="33"/>
    </row>
    <row r="419" spans="1:41" ht="90">
      <c r="A419" s="46"/>
      <c r="B419" s="46"/>
      <c r="C419" s="46" t="s">
        <v>1496</v>
      </c>
      <c r="D419" s="46" t="s">
        <v>61</v>
      </c>
      <c r="E419" s="111" t="str">
        <f>VLOOKUP(C419,KELAS!$A$2:$D$643,4,0)</f>
        <v>2 MINA</v>
      </c>
      <c r="F419" s="46"/>
      <c r="G419" s="46"/>
      <c r="H419" s="43" t="s">
        <v>67</v>
      </c>
      <c r="I419" s="44">
        <v>1540000</v>
      </c>
      <c r="J419" s="87">
        <v>45987</v>
      </c>
      <c r="K419" s="88">
        <v>0.34649305555555554</v>
      </c>
      <c r="L419" s="38">
        <f t="shared" si="16"/>
        <v>0</v>
      </c>
      <c r="M419" s="17">
        <f t="shared" si="17"/>
        <v>-1540000</v>
      </c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  <c r="AC419" s="33"/>
      <c r="AD419" s="33"/>
      <c r="AE419" s="33"/>
      <c r="AF419" s="33"/>
      <c r="AG419" s="33"/>
      <c r="AH419" s="33"/>
      <c r="AI419" s="33"/>
      <c r="AJ419" s="33"/>
      <c r="AK419" s="33"/>
      <c r="AL419" s="33"/>
      <c r="AM419" s="33"/>
      <c r="AN419" s="33"/>
      <c r="AO419" s="33"/>
    </row>
    <row r="420" spans="1:41" ht="75">
      <c r="A420" s="46"/>
      <c r="B420" s="46"/>
      <c r="C420" s="46" t="s">
        <v>2025</v>
      </c>
      <c r="D420" s="46" t="s">
        <v>61</v>
      </c>
      <c r="E420" s="111" t="str">
        <f>VLOOKUP(C420,KELAS!$A$2:$D$643,4,0)</f>
        <v>5 MEKKAH</v>
      </c>
      <c r="F420" s="46"/>
      <c r="G420" s="46"/>
      <c r="H420" s="43" t="s">
        <v>66</v>
      </c>
      <c r="I420" s="44">
        <v>1400000</v>
      </c>
      <c r="J420" s="87">
        <v>45987</v>
      </c>
      <c r="K420" s="88">
        <v>0.34684027777777776</v>
      </c>
      <c r="L420" s="38">
        <f t="shared" si="16"/>
        <v>0</v>
      </c>
      <c r="M420" s="17">
        <f t="shared" si="17"/>
        <v>-1400000</v>
      </c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  <c r="AC420" s="33"/>
      <c r="AD420" s="33"/>
      <c r="AE420" s="33"/>
      <c r="AF420" s="33"/>
      <c r="AG420" s="33"/>
      <c r="AH420" s="33"/>
      <c r="AI420" s="33"/>
      <c r="AJ420" s="33"/>
      <c r="AK420" s="33"/>
      <c r="AL420" s="33"/>
      <c r="AM420" s="33"/>
      <c r="AN420" s="33"/>
      <c r="AO420" s="33"/>
    </row>
    <row r="421" spans="1:41" ht="90">
      <c r="A421" s="46"/>
      <c r="B421" s="46"/>
      <c r="C421" s="46" t="s">
        <v>1886</v>
      </c>
      <c r="D421" s="46" t="s">
        <v>61</v>
      </c>
      <c r="E421" s="111" t="str">
        <f>VLOOKUP(C421,KELAS!$A$2:$D$643,4,0)</f>
        <v>4 MADINAH</v>
      </c>
      <c r="F421" s="46"/>
      <c r="G421" s="46"/>
      <c r="H421" s="43" t="s">
        <v>923</v>
      </c>
      <c r="I421" s="44">
        <v>1450000</v>
      </c>
      <c r="J421" s="87">
        <v>45987</v>
      </c>
      <c r="K421" s="88">
        <v>0.35076388888888888</v>
      </c>
      <c r="L421" s="38">
        <f t="shared" si="16"/>
        <v>0</v>
      </c>
      <c r="M421" s="17">
        <f t="shared" si="17"/>
        <v>-1450000</v>
      </c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  <c r="AC421" s="33"/>
      <c r="AD421" s="33"/>
      <c r="AE421" s="33"/>
      <c r="AF421" s="33"/>
      <c r="AG421" s="33"/>
      <c r="AH421" s="33"/>
      <c r="AI421" s="33"/>
      <c r="AJ421" s="33"/>
      <c r="AK421" s="33"/>
      <c r="AL421" s="33"/>
      <c r="AM421" s="33"/>
      <c r="AN421" s="33"/>
      <c r="AO421" s="33"/>
    </row>
    <row r="422" spans="1:41" ht="105">
      <c r="A422" s="46"/>
      <c r="B422" s="46"/>
      <c r="C422" s="46" t="s">
        <v>2380</v>
      </c>
      <c r="D422" s="46" t="s">
        <v>61</v>
      </c>
      <c r="E422" s="111" t="e">
        <f>VLOOKUP(C422,KELAS!$A$2:$D$643,4,0)</f>
        <v>#N/A</v>
      </c>
      <c r="F422" s="46"/>
      <c r="G422" s="46"/>
      <c r="H422" s="43" t="s">
        <v>925</v>
      </c>
      <c r="I422" s="44">
        <v>2800000</v>
      </c>
      <c r="J422" s="87">
        <v>45987</v>
      </c>
      <c r="K422" s="88">
        <v>0.3982175925925926</v>
      </c>
      <c r="L422" s="38">
        <f t="shared" si="16"/>
        <v>0</v>
      </c>
      <c r="M422" s="17">
        <f t="shared" si="17"/>
        <v>-2800000</v>
      </c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  <c r="AC422" s="33"/>
      <c r="AD422" s="33"/>
      <c r="AE422" s="33"/>
      <c r="AF422" s="33"/>
      <c r="AG422" s="33"/>
      <c r="AH422" s="33"/>
      <c r="AI422" s="33"/>
      <c r="AJ422" s="33"/>
      <c r="AK422" s="33"/>
      <c r="AL422" s="33"/>
      <c r="AM422" s="33"/>
      <c r="AN422" s="33"/>
      <c r="AO422" s="33"/>
    </row>
    <row r="423" spans="1:41" ht="120">
      <c r="A423" s="46"/>
      <c r="B423" s="46"/>
      <c r="C423" s="46" t="s">
        <v>1317</v>
      </c>
      <c r="D423" s="46" t="s">
        <v>61</v>
      </c>
      <c r="E423" s="111" t="str">
        <f>VLOOKUP(C423,KELAS!$A$2:$D$643,4,0)</f>
        <v>1 MARWAH/TAHFIDZ</v>
      </c>
      <c r="F423" s="46"/>
      <c r="G423" s="46"/>
      <c r="H423" s="43" t="s">
        <v>927</v>
      </c>
      <c r="I423" s="44">
        <v>1617000</v>
      </c>
      <c r="J423" s="87">
        <v>45987</v>
      </c>
      <c r="K423" s="88">
        <v>0.4009490740740741</v>
      </c>
      <c r="L423" s="38">
        <f t="shared" si="16"/>
        <v>0</v>
      </c>
      <c r="M423" s="17">
        <f t="shared" si="17"/>
        <v>-1617000</v>
      </c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  <c r="AC423" s="33"/>
      <c r="AD423" s="33"/>
      <c r="AE423" s="33"/>
      <c r="AF423" s="33"/>
      <c r="AG423" s="33"/>
      <c r="AH423" s="33"/>
      <c r="AI423" s="33"/>
      <c r="AJ423" s="33"/>
      <c r="AK423" s="33"/>
      <c r="AL423" s="33"/>
      <c r="AM423" s="33"/>
      <c r="AN423" s="33"/>
      <c r="AO423" s="33"/>
    </row>
    <row r="424" spans="1:41" ht="120">
      <c r="A424" s="46"/>
      <c r="B424" s="46"/>
      <c r="C424" s="46" t="s">
        <v>1805</v>
      </c>
      <c r="D424" s="46" t="s">
        <v>61</v>
      </c>
      <c r="E424" s="111" t="str">
        <f>VLOOKUP(C424,KELAS!$A$2:$D$643,4,0)</f>
        <v>3 MARWAH</v>
      </c>
      <c r="F424" s="46"/>
      <c r="G424" s="46"/>
      <c r="H424" s="43" t="s">
        <v>929</v>
      </c>
      <c r="I424" s="44">
        <v>1450000</v>
      </c>
      <c r="J424" s="87">
        <v>45987</v>
      </c>
      <c r="K424" s="88">
        <v>0.43703703703703706</v>
      </c>
      <c r="L424" s="38">
        <f t="shared" si="16"/>
        <v>0</v>
      </c>
      <c r="M424" s="17">
        <f t="shared" si="17"/>
        <v>-1450000</v>
      </c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  <c r="AC424" s="33"/>
      <c r="AD424" s="33"/>
      <c r="AE424" s="33"/>
      <c r="AF424" s="33"/>
      <c r="AG424" s="33"/>
      <c r="AH424" s="33"/>
      <c r="AI424" s="33"/>
      <c r="AJ424" s="33"/>
      <c r="AK424" s="33"/>
      <c r="AL424" s="33"/>
      <c r="AM424" s="33"/>
      <c r="AN424" s="33"/>
      <c r="AO424" s="33"/>
    </row>
    <row r="425" spans="1:41" ht="90">
      <c r="A425" s="46"/>
      <c r="B425" s="46"/>
      <c r="C425" s="46" t="s">
        <v>1118</v>
      </c>
      <c r="D425" s="46" t="s">
        <v>61</v>
      </c>
      <c r="E425" s="111" t="str">
        <f>VLOOKUP(C425,KELAS!$A$2:$D$643,4,0)</f>
        <v>1 MEKKAH</v>
      </c>
      <c r="F425" s="46"/>
      <c r="G425" s="46"/>
      <c r="H425" s="43" t="s">
        <v>931</v>
      </c>
      <c r="I425" s="44">
        <v>1617000</v>
      </c>
      <c r="J425" s="87">
        <v>45987</v>
      </c>
      <c r="K425" s="88">
        <v>0.4757986111111111</v>
      </c>
      <c r="L425" s="38">
        <f t="shared" si="16"/>
        <v>0</v>
      </c>
      <c r="M425" s="17">
        <f t="shared" si="17"/>
        <v>-1617000</v>
      </c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  <c r="AC425" s="33"/>
      <c r="AD425" s="33"/>
      <c r="AE425" s="33"/>
      <c r="AF425" s="33"/>
      <c r="AG425" s="33"/>
      <c r="AH425" s="33"/>
      <c r="AI425" s="33"/>
      <c r="AJ425" s="33"/>
      <c r="AK425" s="33"/>
      <c r="AL425" s="33"/>
      <c r="AM425" s="33"/>
      <c r="AN425" s="33"/>
      <c r="AO425" s="33"/>
    </row>
    <row r="426" spans="1:41" ht="105">
      <c r="A426" s="46"/>
      <c r="B426" s="46"/>
      <c r="C426" s="46" t="s">
        <v>1599</v>
      </c>
      <c r="D426" s="46" t="s">
        <v>61</v>
      </c>
      <c r="E426" s="111" t="str">
        <f>VLOOKUP(C426,KELAS!$A$2:$D$643,4,0)</f>
        <v>3 MEKKAH</v>
      </c>
      <c r="F426" s="46"/>
      <c r="G426" s="46"/>
      <c r="H426" s="43" t="s">
        <v>933</v>
      </c>
      <c r="I426" s="44">
        <v>2800000</v>
      </c>
      <c r="J426" s="87">
        <v>45987</v>
      </c>
      <c r="K426" s="88">
        <v>0.47855324074074074</v>
      </c>
      <c r="L426" s="38">
        <f t="shared" si="16"/>
        <v>0</v>
      </c>
      <c r="M426" s="17">
        <f t="shared" si="17"/>
        <v>-2800000</v>
      </c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  <c r="AC426" s="33"/>
      <c r="AD426" s="33"/>
      <c r="AE426" s="33"/>
      <c r="AF426" s="33"/>
      <c r="AG426" s="33"/>
      <c r="AH426" s="33"/>
      <c r="AI426" s="33"/>
      <c r="AJ426" s="33"/>
      <c r="AK426" s="33"/>
      <c r="AL426" s="33"/>
      <c r="AM426" s="33"/>
      <c r="AN426" s="33"/>
      <c r="AO426" s="33"/>
    </row>
    <row r="427" spans="1:41" ht="105">
      <c r="A427" s="46"/>
      <c r="B427" s="46"/>
      <c r="C427" s="46" t="s">
        <v>1132</v>
      </c>
      <c r="D427" s="46" t="s">
        <v>61</v>
      </c>
      <c r="E427" s="111" t="str">
        <f>VLOOKUP(C427,KELAS!$A$2:$D$643,4,0)</f>
        <v>1 MEKKAH</v>
      </c>
      <c r="F427" s="46"/>
      <c r="G427" s="46"/>
      <c r="H427" s="43" t="s">
        <v>935</v>
      </c>
      <c r="I427" s="44">
        <v>1617000</v>
      </c>
      <c r="J427" s="87">
        <v>45987</v>
      </c>
      <c r="K427" s="88">
        <v>0.53158564814814813</v>
      </c>
      <c r="L427" s="38">
        <f t="shared" si="16"/>
        <v>0</v>
      </c>
      <c r="M427" s="17">
        <f t="shared" si="17"/>
        <v>-1617000</v>
      </c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  <c r="AC427" s="33"/>
      <c r="AD427" s="33"/>
      <c r="AE427" s="33"/>
      <c r="AF427" s="33"/>
      <c r="AG427" s="33"/>
      <c r="AH427" s="33"/>
      <c r="AI427" s="33"/>
      <c r="AJ427" s="33"/>
      <c r="AK427" s="33"/>
      <c r="AL427" s="33"/>
      <c r="AM427" s="33"/>
      <c r="AN427" s="33"/>
      <c r="AO427" s="33"/>
    </row>
    <row r="428" spans="1:41" ht="105">
      <c r="A428" s="46"/>
      <c r="B428" s="46"/>
      <c r="C428" s="46" t="s">
        <v>1500</v>
      </c>
      <c r="D428" s="46" t="s">
        <v>61</v>
      </c>
      <c r="E428" s="111" t="str">
        <f>VLOOKUP(C428,KELAS!$A$2:$D$643,4,0)</f>
        <v>2 MINA</v>
      </c>
      <c r="F428" s="46"/>
      <c r="G428" s="46"/>
      <c r="H428" s="43" t="s">
        <v>937</v>
      </c>
      <c r="I428" s="44">
        <v>1540000</v>
      </c>
      <c r="J428" s="87">
        <v>45987</v>
      </c>
      <c r="K428" s="88">
        <v>0.53228009259259257</v>
      </c>
      <c r="L428" s="38">
        <f t="shared" si="16"/>
        <v>0</v>
      </c>
      <c r="M428" s="17">
        <f t="shared" si="17"/>
        <v>-1540000</v>
      </c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  <c r="AC428" s="33"/>
      <c r="AD428" s="33"/>
      <c r="AE428" s="33"/>
      <c r="AF428" s="33"/>
      <c r="AG428" s="33"/>
      <c r="AH428" s="33"/>
      <c r="AI428" s="33"/>
      <c r="AJ428" s="33"/>
      <c r="AK428" s="33"/>
      <c r="AL428" s="33"/>
      <c r="AM428" s="33"/>
      <c r="AN428" s="33"/>
      <c r="AO428" s="33"/>
    </row>
    <row r="429" spans="1:41" ht="105">
      <c r="A429" s="46"/>
      <c r="B429" s="46"/>
      <c r="C429" s="46" t="s">
        <v>1772</v>
      </c>
      <c r="D429" s="46" t="s">
        <v>61</v>
      </c>
      <c r="E429" s="111" t="str">
        <f>VLOOKUP(C429,KELAS!$A$2:$D$643,4,0)</f>
        <v>3 MARWAH</v>
      </c>
      <c r="F429" s="46"/>
      <c r="G429" s="46"/>
      <c r="H429" s="43" t="s">
        <v>76</v>
      </c>
      <c r="I429" s="44">
        <v>1450000</v>
      </c>
      <c r="J429" s="87">
        <v>45987</v>
      </c>
      <c r="K429" s="88">
        <v>0.53597222222222218</v>
      </c>
      <c r="L429" s="38">
        <f t="shared" si="16"/>
        <v>0</v>
      </c>
      <c r="M429" s="17">
        <f t="shared" si="17"/>
        <v>-1450000</v>
      </c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  <c r="AC429" s="33"/>
      <c r="AD429" s="33"/>
      <c r="AE429" s="33"/>
      <c r="AF429" s="33"/>
      <c r="AG429" s="33"/>
      <c r="AH429" s="33"/>
      <c r="AI429" s="33"/>
      <c r="AJ429" s="33"/>
      <c r="AK429" s="33"/>
      <c r="AL429" s="33"/>
      <c r="AM429" s="33"/>
      <c r="AN429" s="33"/>
      <c r="AO429" s="33"/>
    </row>
    <row r="430" spans="1:41" ht="90">
      <c r="A430" s="46"/>
      <c r="B430" s="46"/>
      <c r="C430" s="46" t="s">
        <v>2381</v>
      </c>
      <c r="D430" s="46" t="s">
        <v>61</v>
      </c>
      <c r="E430" s="111" t="e">
        <f>VLOOKUP(C430,KELAS!$A$2:$D$643,4,0)</f>
        <v>#N/A</v>
      </c>
      <c r="F430" s="46"/>
      <c r="G430" s="46"/>
      <c r="H430" s="43" t="s">
        <v>940</v>
      </c>
      <c r="I430" s="44">
        <v>1400000</v>
      </c>
      <c r="J430" s="87">
        <v>45987</v>
      </c>
      <c r="K430" s="88">
        <v>0.55997685185185186</v>
      </c>
      <c r="L430" s="38">
        <f t="shared" si="16"/>
        <v>0</v>
      </c>
      <c r="M430" s="17">
        <f t="shared" si="17"/>
        <v>-1400000</v>
      </c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  <c r="AC430" s="33"/>
      <c r="AD430" s="33"/>
      <c r="AE430" s="33"/>
      <c r="AF430" s="33"/>
      <c r="AG430" s="33"/>
      <c r="AH430" s="33"/>
      <c r="AI430" s="33"/>
      <c r="AJ430" s="33"/>
      <c r="AK430" s="33"/>
      <c r="AL430" s="33"/>
      <c r="AM430" s="33"/>
      <c r="AN430" s="33"/>
      <c r="AO430" s="33"/>
    </row>
    <row r="431" spans="1:41" ht="90">
      <c r="A431" s="46"/>
      <c r="B431" s="46"/>
      <c r="C431" s="46" t="s">
        <v>2023</v>
      </c>
      <c r="D431" s="46" t="s">
        <v>61</v>
      </c>
      <c r="E431" s="111" t="str">
        <f>VLOOKUP(C431,KELAS!$A$2:$D$643,4,0)</f>
        <v>5 MEKKAH</v>
      </c>
      <c r="F431" s="46"/>
      <c r="G431" s="46"/>
      <c r="H431" s="43" t="s">
        <v>183</v>
      </c>
      <c r="I431" s="44">
        <v>1400000</v>
      </c>
      <c r="J431" s="87">
        <v>45987</v>
      </c>
      <c r="K431" s="88">
        <v>0.56109953703703708</v>
      </c>
      <c r="L431" s="38">
        <f t="shared" si="16"/>
        <v>0</v>
      </c>
      <c r="M431" s="17">
        <f t="shared" si="17"/>
        <v>-1400000</v>
      </c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  <c r="AC431" s="33"/>
      <c r="AD431" s="33"/>
      <c r="AE431" s="33"/>
      <c r="AF431" s="33"/>
      <c r="AG431" s="33"/>
      <c r="AH431" s="33"/>
      <c r="AI431" s="33"/>
      <c r="AJ431" s="33"/>
      <c r="AK431" s="33"/>
      <c r="AL431" s="33"/>
      <c r="AM431" s="33"/>
      <c r="AN431" s="33"/>
      <c r="AO431" s="33"/>
    </row>
    <row r="432" spans="1:41" ht="105">
      <c r="A432" s="46"/>
      <c r="B432" s="46"/>
      <c r="C432" s="46" t="s">
        <v>1204</v>
      </c>
      <c r="D432" s="46" t="s">
        <v>61</v>
      </c>
      <c r="E432" s="111" t="str">
        <f>VLOOKUP(C432,KELAS!$A$2:$D$643,4,0)</f>
        <v>1 MADINAH</v>
      </c>
      <c r="F432" s="46"/>
      <c r="G432" s="46"/>
      <c r="H432" s="43" t="s">
        <v>943</v>
      </c>
      <c r="I432" s="44">
        <v>1617000</v>
      </c>
      <c r="J432" s="87">
        <v>45987</v>
      </c>
      <c r="K432" s="88">
        <v>0.56307870370370372</v>
      </c>
      <c r="L432" s="38">
        <f t="shared" si="16"/>
        <v>0</v>
      </c>
      <c r="M432" s="17">
        <f t="shared" si="17"/>
        <v>-1617000</v>
      </c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  <c r="AC432" s="33"/>
      <c r="AD432" s="33"/>
      <c r="AE432" s="33"/>
      <c r="AF432" s="33"/>
      <c r="AG432" s="33"/>
      <c r="AH432" s="33"/>
      <c r="AI432" s="33"/>
      <c r="AJ432" s="33"/>
      <c r="AK432" s="33"/>
      <c r="AL432" s="33"/>
      <c r="AM432" s="33"/>
      <c r="AN432" s="33"/>
      <c r="AO432" s="33"/>
    </row>
    <row r="433" spans="1:41" ht="120">
      <c r="A433" s="46"/>
      <c r="B433" s="46"/>
      <c r="C433" s="46" t="s">
        <v>1662</v>
      </c>
      <c r="D433" s="46" t="s">
        <v>61</v>
      </c>
      <c r="E433" s="111" t="str">
        <f>VLOOKUP(C433,KELAS!$A$2:$D$643,4,0)</f>
        <v>3 MADINAH</v>
      </c>
      <c r="F433" s="46"/>
      <c r="G433" s="46"/>
      <c r="H433" s="43" t="s">
        <v>945</v>
      </c>
      <c r="I433" s="44">
        <v>1400000</v>
      </c>
      <c r="J433" s="87">
        <v>45987</v>
      </c>
      <c r="K433" s="88">
        <v>0.58879629629629626</v>
      </c>
      <c r="L433" s="38">
        <f t="shared" si="16"/>
        <v>0</v>
      </c>
      <c r="M433" s="17">
        <f t="shared" si="17"/>
        <v>-1400000</v>
      </c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  <c r="AC433" s="33"/>
      <c r="AD433" s="33"/>
      <c r="AE433" s="33"/>
      <c r="AF433" s="33"/>
      <c r="AG433" s="33"/>
      <c r="AH433" s="33"/>
      <c r="AI433" s="33"/>
      <c r="AJ433" s="33"/>
      <c r="AK433" s="33"/>
      <c r="AL433" s="33"/>
      <c r="AM433" s="33"/>
      <c r="AN433" s="33"/>
      <c r="AO433" s="33"/>
    </row>
    <row r="434" spans="1:41" ht="120">
      <c r="A434" s="46"/>
      <c r="B434" s="46"/>
      <c r="C434" s="46" t="s">
        <v>2332</v>
      </c>
      <c r="D434" s="46" t="s">
        <v>61</v>
      </c>
      <c r="E434" s="111" t="e">
        <f>VLOOKUP(C434,KELAS!$A$2:$D$643,4,0)</f>
        <v>#N/A</v>
      </c>
      <c r="F434" s="46"/>
      <c r="G434" s="46"/>
      <c r="H434" s="43" t="s">
        <v>947</v>
      </c>
      <c r="I434" s="44">
        <v>1540000</v>
      </c>
      <c r="J434" s="87">
        <v>45987</v>
      </c>
      <c r="K434" s="88">
        <v>0.61327546296296298</v>
      </c>
      <c r="L434" s="38">
        <f t="shared" si="16"/>
        <v>0</v>
      </c>
      <c r="M434" s="17">
        <f t="shared" si="17"/>
        <v>-1540000</v>
      </c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  <c r="AC434" s="33"/>
      <c r="AD434" s="33"/>
      <c r="AE434" s="33"/>
      <c r="AF434" s="33"/>
      <c r="AG434" s="33"/>
      <c r="AH434" s="33"/>
      <c r="AI434" s="33"/>
      <c r="AJ434" s="33"/>
      <c r="AK434" s="33"/>
      <c r="AL434" s="33"/>
      <c r="AM434" s="33"/>
      <c r="AN434" s="33"/>
      <c r="AO434" s="33"/>
    </row>
    <row r="435" spans="1:41" ht="75">
      <c r="A435" s="46"/>
      <c r="B435" s="46"/>
      <c r="C435" s="46" t="s">
        <v>2112</v>
      </c>
      <c r="D435" s="46" t="s">
        <v>61</v>
      </c>
      <c r="E435" s="111" t="str">
        <f>VLOOKUP(C435,KELAS!$A$2:$D$643,4,0)</f>
        <v>5 MINA</v>
      </c>
      <c r="F435" s="46"/>
      <c r="G435" s="46"/>
      <c r="H435" s="43" t="s">
        <v>949</v>
      </c>
      <c r="I435" s="44">
        <v>1400000</v>
      </c>
      <c r="J435" s="87">
        <v>45987</v>
      </c>
      <c r="K435" s="88">
        <v>0.62045138888888884</v>
      </c>
      <c r="L435" s="38">
        <f t="shared" si="16"/>
        <v>0</v>
      </c>
      <c r="M435" s="17">
        <f t="shared" si="17"/>
        <v>-1400000</v>
      </c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  <c r="AC435" s="33"/>
      <c r="AD435" s="33"/>
      <c r="AE435" s="33"/>
      <c r="AF435" s="33"/>
      <c r="AG435" s="33"/>
      <c r="AH435" s="33"/>
      <c r="AI435" s="33"/>
      <c r="AJ435" s="33"/>
      <c r="AK435" s="33"/>
      <c r="AL435" s="33"/>
      <c r="AM435" s="33"/>
      <c r="AN435" s="33"/>
      <c r="AO435" s="33"/>
    </row>
    <row r="436" spans="1:41" ht="75">
      <c r="A436" s="46"/>
      <c r="B436" s="46"/>
      <c r="C436" s="46" t="s">
        <v>2112</v>
      </c>
      <c r="D436" s="46" t="s">
        <v>61</v>
      </c>
      <c r="E436" s="111" t="str">
        <f>VLOOKUP(C436,KELAS!$A$2:$D$643,4,0)</f>
        <v>5 MINA</v>
      </c>
      <c r="F436" s="46"/>
      <c r="G436" s="46"/>
      <c r="H436" s="43" t="s">
        <v>951</v>
      </c>
      <c r="I436" s="44">
        <v>1400000</v>
      </c>
      <c r="J436" s="87">
        <v>45987</v>
      </c>
      <c r="K436" s="88">
        <v>0.62146990740740737</v>
      </c>
      <c r="L436" s="38">
        <f t="shared" si="16"/>
        <v>0</v>
      </c>
      <c r="M436" s="17">
        <f t="shared" si="17"/>
        <v>-1400000</v>
      </c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  <c r="AC436" s="33"/>
      <c r="AD436" s="33"/>
      <c r="AE436" s="33"/>
      <c r="AF436" s="33"/>
      <c r="AG436" s="33"/>
      <c r="AH436" s="33"/>
      <c r="AI436" s="33"/>
      <c r="AJ436" s="33"/>
      <c r="AK436" s="33"/>
      <c r="AL436" s="33"/>
      <c r="AM436" s="33"/>
      <c r="AN436" s="33"/>
      <c r="AO436" s="33"/>
    </row>
    <row r="437" spans="1:41" ht="75">
      <c r="A437" s="46"/>
      <c r="B437" s="46"/>
      <c r="C437" s="46" t="s">
        <v>1652</v>
      </c>
      <c r="D437" s="46" t="s">
        <v>61</v>
      </c>
      <c r="E437" s="111" t="str">
        <f>VLOOKUP(C437,KELAS!$A$2:$D$643,4,0)</f>
        <v>3 MEKKAH</v>
      </c>
      <c r="F437" s="46"/>
      <c r="G437" s="46"/>
      <c r="H437" s="43" t="s">
        <v>953</v>
      </c>
      <c r="I437" s="44">
        <v>1450000</v>
      </c>
      <c r="J437" s="87">
        <v>45987</v>
      </c>
      <c r="K437" s="88">
        <v>0.62247685185185186</v>
      </c>
      <c r="L437" s="38">
        <f t="shared" si="16"/>
        <v>0</v>
      </c>
      <c r="M437" s="17">
        <f t="shared" si="17"/>
        <v>-1450000</v>
      </c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  <c r="AC437" s="33"/>
      <c r="AD437" s="33"/>
      <c r="AE437" s="33"/>
      <c r="AF437" s="33"/>
      <c r="AG437" s="33"/>
      <c r="AH437" s="33"/>
      <c r="AI437" s="33"/>
      <c r="AJ437" s="33"/>
      <c r="AK437" s="33"/>
      <c r="AL437" s="33"/>
      <c r="AM437" s="33"/>
      <c r="AN437" s="33"/>
      <c r="AO437" s="33"/>
    </row>
    <row r="438" spans="1:41" ht="75">
      <c r="A438" s="46"/>
      <c r="B438" s="46"/>
      <c r="C438" s="46" t="s">
        <v>1652</v>
      </c>
      <c r="D438" s="46" t="s">
        <v>61</v>
      </c>
      <c r="E438" s="111" t="str">
        <f>VLOOKUP(C438,KELAS!$A$2:$D$643,4,0)</f>
        <v>3 MEKKAH</v>
      </c>
      <c r="F438" s="46"/>
      <c r="G438" s="46"/>
      <c r="H438" s="43" t="s">
        <v>955</v>
      </c>
      <c r="I438" s="44">
        <v>1450000</v>
      </c>
      <c r="J438" s="87">
        <v>45987</v>
      </c>
      <c r="K438" s="88">
        <v>0.62326388888888884</v>
      </c>
      <c r="L438" s="38">
        <f t="shared" si="16"/>
        <v>0</v>
      </c>
      <c r="M438" s="17">
        <f t="shared" si="17"/>
        <v>-1450000</v>
      </c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  <c r="AC438" s="33"/>
      <c r="AD438" s="33"/>
      <c r="AE438" s="33"/>
      <c r="AF438" s="33"/>
      <c r="AG438" s="33"/>
      <c r="AH438" s="33"/>
      <c r="AI438" s="33"/>
      <c r="AJ438" s="33"/>
      <c r="AK438" s="33"/>
      <c r="AL438" s="33"/>
      <c r="AM438" s="33"/>
      <c r="AN438" s="33"/>
      <c r="AO438" s="33"/>
    </row>
    <row r="439" spans="1:41" ht="75">
      <c r="A439" s="46"/>
      <c r="B439" s="46"/>
      <c r="C439" s="46" t="s">
        <v>1409</v>
      </c>
      <c r="D439" s="46" t="s">
        <v>61</v>
      </c>
      <c r="E439" s="111" t="str">
        <f>VLOOKUP(C439,KELAS!$A$2:$D$643,4,0)</f>
        <v>2 MADINAH</v>
      </c>
      <c r="F439" s="46"/>
      <c r="G439" s="46"/>
      <c r="H439" s="43" t="s">
        <v>957</v>
      </c>
      <c r="I439" s="44">
        <v>4620000</v>
      </c>
      <c r="J439" s="87">
        <v>45987</v>
      </c>
      <c r="K439" s="88">
        <v>0.62657407407407406</v>
      </c>
      <c r="L439" s="38">
        <f t="shared" si="16"/>
        <v>0</v>
      </c>
      <c r="M439" s="17">
        <f t="shared" si="17"/>
        <v>-4620000</v>
      </c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  <c r="AF439" s="33"/>
      <c r="AG439" s="33"/>
      <c r="AH439" s="33"/>
      <c r="AI439" s="33"/>
      <c r="AJ439" s="33"/>
      <c r="AK439" s="33"/>
      <c r="AL439" s="33"/>
      <c r="AM439" s="33"/>
      <c r="AN439" s="33"/>
      <c r="AO439" s="33"/>
    </row>
    <row r="440" spans="1:41" ht="105">
      <c r="A440" s="46"/>
      <c r="B440" s="46"/>
      <c r="C440" s="46" t="s">
        <v>1993</v>
      </c>
      <c r="D440" s="46" t="s">
        <v>61</v>
      </c>
      <c r="E440" s="111" t="str">
        <f>VLOOKUP(C440,KELAS!$A$2:$D$643,4,0)</f>
        <v>4 MINA</v>
      </c>
      <c r="F440" s="46"/>
      <c r="G440" s="46"/>
      <c r="H440" s="43" t="s">
        <v>959</v>
      </c>
      <c r="I440" s="44">
        <v>1450000</v>
      </c>
      <c r="J440" s="87">
        <v>45987</v>
      </c>
      <c r="K440" s="88">
        <v>0.67876157407407411</v>
      </c>
      <c r="L440" s="38">
        <f t="shared" si="16"/>
        <v>0</v>
      </c>
      <c r="M440" s="17">
        <f t="shared" si="17"/>
        <v>-1450000</v>
      </c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  <c r="AC440" s="33"/>
      <c r="AD440" s="33"/>
      <c r="AE440" s="33"/>
      <c r="AF440" s="33"/>
      <c r="AG440" s="33"/>
      <c r="AH440" s="33"/>
      <c r="AI440" s="33"/>
      <c r="AJ440" s="33"/>
      <c r="AK440" s="33"/>
      <c r="AL440" s="33"/>
      <c r="AM440" s="33"/>
      <c r="AN440" s="33"/>
      <c r="AO440" s="33"/>
    </row>
    <row r="441" spans="1:41" ht="105">
      <c r="A441" s="46"/>
      <c r="B441" s="46"/>
      <c r="C441" s="46" t="s">
        <v>1255</v>
      </c>
      <c r="D441" s="46" t="s">
        <v>61</v>
      </c>
      <c r="E441" s="111" t="str">
        <f>VLOOKUP(C441,KELAS!$A$2:$D$643,4,0)</f>
        <v>1 MINA</v>
      </c>
      <c r="F441" s="46"/>
      <c r="G441" s="46"/>
      <c r="H441" s="43" t="s">
        <v>961</v>
      </c>
      <c r="I441" s="44">
        <v>1617000</v>
      </c>
      <c r="J441" s="87">
        <v>45987</v>
      </c>
      <c r="K441" s="88">
        <v>0.69270833333333337</v>
      </c>
      <c r="L441" s="38">
        <f t="shared" si="16"/>
        <v>0</v>
      </c>
      <c r="M441" s="17">
        <f t="shared" si="17"/>
        <v>-1617000</v>
      </c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  <c r="AC441" s="33"/>
      <c r="AD441" s="33"/>
      <c r="AE441" s="33"/>
      <c r="AF441" s="33"/>
      <c r="AG441" s="33"/>
      <c r="AH441" s="33"/>
      <c r="AI441" s="33"/>
      <c r="AJ441" s="33"/>
      <c r="AK441" s="33"/>
      <c r="AL441" s="33"/>
      <c r="AM441" s="33"/>
      <c r="AN441" s="33"/>
      <c r="AO441" s="33"/>
    </row>
    <row r="442" spans="1:41" ht="105">
      <c r="A442" s="46"/>
      <c r="B442" s="46"/>
      <c r="C442" s="46" t="s">
        <v>2107</v>
      </c>
      <c r="D442" s="46" t="s">
        <v>61</v>
      </c>
      <c r="E442" s="111" t="str">
        <f>VLOOKUP(C442,KELAS!$A$2:$D$643,4,0)</f>
        <v>5 MADINAH</v>
      </c>
      <c r="F442" s="46"/>
      <c r="G442" s="46"/>
      <c r="H442" s="43" t="s">
        <v>963</v>
      </c>
      <c r="I442" s="44">
        <v>1400000</v>
      </c>
      <c r="J442" s="87">
        <v>45987</v>
      </c>
      <c r="K442" s="88">
        <v>0.69406250000000003</v>
      </c>
      <c r="L442" s="38">
        <f t="shared" si="16"/>
        <v>0</v>
      </c>
      <c r="M442" s="17">
        <f t="shared" si="17"/>
        <v>-1400000</v>
      </c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  <c r="AC442" s="33"/>
      <c r="AD442" s="33"/>
      <c r="AE442" s="33"/>
      <c r="AF442" s="33"/>
      <c r="AG442" s="33"/>
      <c r="AH442" s="33"/>
      <c r="AI442" s="33"/>
      <c r="AJ442" s="33"/>
      <c r="AK442" s="33"/>
      <c r="AL442" s="33"/>
      <c r="AM442" s="33"/>
      <c r="AN442" s="33"/>
      <c r="AO442" s="33"/>
    </row>
    <row r="443" spans="1:41" ht="75">
      <c r="A443" s="46"/>
      <c r="B443" s="46"/>
      <c r="C443" s="46" t="s">
        <v>1228</v>
      </c>
      <c r="D443" s="46" t="s">
        <v>61</v>
      </c>
      <c r="E443" s="111" t="str">
        <f>VLOOKUP(C443,KELAS!$A$2:$D$643,4,0)</f>
        <v>1 MADINAH</v>
      </c>
      <c r="F443" s="46"/>
      <c r="G443" s="46"/>
      <c r="H443" s="43" t="s">
        <v>965</v>
      </c>
      <c r="I443" s="44">
        <v>1617000</v>
      </c>
      <c r="J443" s="87">
        <v>45987</v>
      </c>
      <c r="K443" s="88">
        <v>0.73932870370370374</v>
      </c>
      <c r="L443" s="38">
        <f t="shared" si="16"/>
        <v>0</v>
      </c>
      <c r="M443" s="17">
        <f t="shared" si="17"/>
        <v>-1617000</v>
      </c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  <c r="AC443" s="33"/>
      <c r="AD443" s="33"/>
      <c r="AE443" s="33"/>
      <c r="AF443" s="33"/>
      <c r="AG443" s="33"/>
      <c r="AH443" s="33"/>
      <c r="AI443" s="33"/>
      <c r="AJ443" s="33"/>
      <c r="AK443" s="33"/>
      <c r="AL443" s="33"/>
      <c r="AM443" s="33"/>
      <c r="AN443" s="33"/>
      <c r="AO443" s="33"/>
    </row>
    <row r="444" spans="1:41" ht="90">
      <c r="A444" s="46"/>
      <c r="B444" s="46"/>
      <c r="C444" s="46" t="s">
        <v>1908</v>
      </c>
      <c r="D444" s="46" t="s">
        <v>61</v>
      </c>
      <c r="E444" s="111" t="str">
        <f>VLOOKUP(C444,KELAS!$A$2:$D$643,4,0)</f>
        <v>4 MADINAH</v>
      </c>
      <c r="F444" s="46"/>
      <c r="G444" s="46"/>
      <c r="H444" s="43" t="s">
        <v>967</v>
      </c>
      <c r="I444" s="44">
        <v>1450000</v>
      </c>
      <c r="J444" s="87">
        <v>45987</v>
      </c>
      <c r="K444" s="88">
        <v>0.74124999999999996</v>
      </c>
      <c r="L444" s="38">
        <f t="shared" si="16"/>
        <v>0</v>
      </c>
      <c r="M444" s="17">
        <f t="shared" si="17"/>
        <v>-1450000</v>
      </c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  <c r="AC444" s="33"/>
      <c r="AD444" s="33"/>
      <c r="AE444" s="33"/>
      <c r="AF444" s="33"/>
      <c r="AG444" s="33"/>
      <c r="AH444" s="33"/>
      <c r="AI444" s="33"/>
      <c r="AJ444" s="33"/>
      <c r="AK444" s="33"/>
      <c r="AL444" s="33"/>
      <c r="AM444" s="33"/>
      <c r="AN444" s="33"/>
      <c r="AO444" s="33"/>
    </row>
    <row r="445" spans="1:41" ht="105">
      <c r="A445" s="46"/>
      <c r="B445" s="46"/>
      <c r="C445" s="46" t="s">
        <v>1285</v>
      </c>
      <c r="D445" s="46" t="s">
        <v>61</v>
      </c>
      <c r="E445" s="111" t="str">
        <f>VLOOKUP(C445,KELAS!$A$2:$D$643,4,0)</f>
        <v>1 MINA</v>
      </c>
      <c r="F445" s="46"/>
      <c r="G445" s="46"/>
      <c r="H445" s="43" t="s">
        <v>969</v>
      </c>
      <c r="I445" s="44">
        <v>1617000</v>
      </c>
      <c r="J445" s="87">
        <v>45987</v>
      </c>
      <c r="K445" s="88">
        <v>0.84620370370370368</v>
      </c>
      <c r="L445" s="38">
        <f t="shared" si="16"/>
        <v>0</v>
      </c>
      <c r="M445" s="17">
        <f t="shared" si="17"/>
        <v>-1617000</v>
      </c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  <c r="AC445" s="33"/>
      <c r="AD445" s="33"/>
      <c r="AE445" s="33"/>
      <c r="AF445" s="33"/>
      <c r="AG445" s="33"/>
      <c r="AH445" s="33"/>
      <c r="AI445" s="33"/>
      <c r="AJ445" s="33"/>
      <c r="AK445" s="33"/>
      <c r="AL445" s="33"/>
      <c r="AM445" s="33"/>
      <c r="AN445" s="33"/>
      <c r="AO445" s="33"/>
    </row>
    <row r="446" spans="1:41" ht="90">
      <c r="A446" s="46"/>
      <c r="B446" s="46"/>
      <c r="C446" s="46" t="s">
        <v>2195</v>
      </c>
      <c r="D446" s="46" t="s">
        <v>61</v>
      </c>
      <c r="E446" s="111" t="str">
        <f>VLOOKUP(C446,KELAS!$A$2:$D$643,4,0)</f>
        <v>6 MEKKAH</v>
      </c>
      <c r="F446" s="46"/>
      <c r="G446" s="46"/>
      <c r="H446" s="43" t="s">
        <v>971</v>
      </c>
      <c r="I446" s="44">
        <v>1450000</v>
      </c>
      <c r="J446" s="87">
        <v>45987</v>
      </c>
      <c r="K446" s="88">
        <v>0.86019675925925931</v>
      </c>
      <c r="L446" s="38">
        <f t="shared" si="16"/>
        <v>0</v>
      </c>
      <c r="M446" s="17">
        <f t="shared" si="17"/>
        <v>-1450000</v>
      </c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  <c r="AC446" s="33"/>
      <c r="AD446" s="33"/>
      <c r="AE446" s="33"/>
      <c r="AF446" s="33"/>
      <c r="AG446" s="33"/>
      <c r="AH446" s="33"/>
      <c r="AI446" s="33"/>
      <c r="AJ446" s="33"/>
      <c r="AK446" s="33"/>
      <c r="AL446" s="33"/>
      <c r="AM446" s="33"/>
      <c r="AN446" s="33"/>
      <c r="AO446" s="33"/>
    </row>
    <row r="447" spans="1:41" ht="90">
      <c r="A447" s="46"/>
      <c r="B447" s="46"/>
      <c r="C447" s="46" t="s">
        <v>2382</v>
      </c>
      <c r="D447" s="46" t="s">
        <v>61</v>
      </c>
      <c r="E447" s="111" t="e">
        <f>VLOOKUP(C447,KELAS!$A$2:$D$643,4,0)</f>
        <v>#N/A</v>
      </c>
      <c r="F447" s="46"/>
      <c r="G447" s="46"/>
      <c r="H447" s="43" t="s">
        <v>973</v>
      </c>
      <c r="I447" s="44">
        <v>4620000</v>
      </c>
      <c r="J447" s="87">
        <v>45987</v>
      </c>
      <c r="K447" s="88">
        <v>0.90401620370370372</v>
      </c>
      <c r="L447" s="38">
        <f t="shared" si="16"/>
        <v>0</v>
      </c>
      <c r="M447" s="17">
        <f t="shared" si="17"/>
        <v>-4620000</v>
      </c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  <c r="AC447" s="33"/>
      <c r="AD447" s="33"/>
      <c r="AE447" s="33"/>
      <c r="AF447" s="33"/>
      <c r="AG447" s="33"/>
      <c r="AH447" s="33"/>
      <c r="AI447" s="33"/>
      <c r="AJ447" s="33"/>
      <c r="AK447" s="33"/>
      <c r="AL447" s="33"/>
      <c r="AM447" s="33"/>
      <c r="AN447" s="33"/>
      <c r="AO447" s="33"/>
    </row>
    <row r="448" spans="1:41" ht="105">
      <c r="A448" s="46"/>
      <c r="B448" s="46"/>
      <c r="C448" s="46" t="s">
        <v>2362</v>
      </c>
      <c r="D448" s="46" t="s">
        <v>61</v>
      </c>
      <c r="E448" s="111" t="e">
        <f>VLOOKUP(C448,KELAS!$A$2:$D$643,4,0)</f>
        <v>#N/A</v>
      </c>
      <c r="F448" s="46"/>
      <c r="G448" s="46"/>
      <c r="H448" s="43" t="s">
        <v>132</v>
      </c>
      <c r="I448" s="44">
        <v>1400000</v>
      </c>
      <c r="J448" s="87">
        <v>45987</v>
      </c>
      <c r="K448" s="88">
        <v>0.98283564814814817</v>
      </c>
      <c r="L448" s="38">
        <f t="shared" si="16"/>
        <v>0</v>
      </c>
      <c r="M448" s="17">
        <f t="shared" si="17"/>
        <v>-1400000</v>
      </c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  <c r="AC448" s="33"/>
      <c r="AD448" s="33"/>
      <c r="AE448" s="33"/>
      <c r="AF448" s="33"/>
      <c r="AG448" s="33"/>
      <c r="AH448" s="33"/>
      <c r="AI448" s="33"/>
      <c r="AJ448" s="33"/>
      <c r="AK448" s="33"/>
      <c r="AL448" s="33"/>
      <c r="AM448" s="33"/>
      <c r="AN448" s="33"/>
      <c r="AO448" s="33"/>
    </row>
    <row r="449" spans="1:41" ht="90">
      <c r="A449" s="46"/>
      <c r="B449" s="46"/>
      <c r="C449" s="46" t="s">
        <v>1559</v>
      </c>
      <c r="D449" s="46" t="s">
        <v>61</v>
      </c>
      <c r="E449" s="111" t="str">
        <f>VLOOKUP(C449,KELAS!$A$2:$D$643,4,0)</f>
        <v>2 MARWAH</v>
      </c>
      <c r="F449" s="46"/>
      <c r="G449" s="46"/>
      <c r="H449" s="43" t="s">
        <v>976</v>
      </c>
      <c r="I449" s="44">
        <v>1540000</v>
      </c>
      <c r="J449" s="87">
        <v>45988</v>
      </c>
      <c r="K449" s="88">
        <v>0.26157407407407407</v>
      </c>
      <c r="L449" s="38">
        <f t="shared" si="16"/>
        <v>0</v>
      </c>
      <c r="M449" s="17">
        <f t="shared" si="17"/>
        <v>-1540000</v>
      </c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  <c r="AC449" s="33"/>
      <c r="AD449" s="33"/>
      <c r="AE449" s="33"/>
      <c r="AF449" s="33"/>
      <c r="AG449" s="33"/>
      <c r="AH449" s="33"/>
      <c r="AI449" s="33"/>
      <c r="AJ449" s="33"/>
      <c r="AK449" s="33"/>
      <c r="AL449" s="33"/>
      <c r="AM449" s="33"/>
      <c r="AN449" s="33"/>
      <c r="AO449" s="33"/>
    </row>
    <row r="450" spans="1:41" ht="105">
      <c r="A450" s="46"/>
      <c r="B450" s="46"/>
      <c r="C450" s="46" t="s">
        <v>1667</v>
      </c>
      <c r="D450" s="46" t="s">
        <v>61</v>
      </c>
      <c r="E450" s="111" t="str">
        <f>VLOOKUP(C450,KELAS!$A$2:$D$643,4,0)</f>
        <v>3 MADINAH</v>
      </c>
      <c r="F450" s="46"/>
      <c r="G450" s="46"/>
      <c r="H450" s="43" t="s">
        <v>978</v>
      </c>
      <c r="I450" s="44">
        <v>1450000</v>
      </c>
      <c r="J450" s="87">
        <v>45988</v>
      </c>
      <c r="K450" s="88">
        <v>0.3376736111111111</v>
      </c>
      <c r="L450" s="38">
        <f t="shared" si="16"/>
        <v>0</v>
      </c>
      <c r="M450" s="17">
        <f t="shared" si="17"/>
        <v>-1450000</v>
      </c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  <c r="AC450" s="33"/>
      <c r="AD450" s="33"/>
      <c r="AE450" s="33"/>
      <c r="AF450" s="33"/>
      <c r="AG450" s="33"/>
      <c r="AH450" s="33"/>
      <c r="AI450" s="33"/>
      <c r="AJ450" s="33"/>
      <c r="AK450" s="33"/>
      <c r="AL450" s="33"/>
      <c r="AM450" s="33"/>
      <c r="AN450" s="33"/>
      <c r="AO450" s="33"/>
    </row>
    <row r="451" spans="1:41" ht="75">
      <c r="A451" s="46"/>
      <c r="B451" s="46"/>
      <c r="C451" s="46" t="s">
        <v>1105</v>
      </c>
      <c r="D451" s="46" t="s">
        <v>61</v>
      </c>
      <c r="E451" s="111" t="str">
        <f>VLOOKUP(C451,KELAS!$A$2:$D$643,4,0)</f>
        <v>1 MEKKAH</v>
      </c>
      <c r="F451" s="46"/>
      <c r="G451" s="46"/>
      <c r="H451" s="43" t="s">
        <v>176</v>
      </c>
      <c r="I451" s="44">
        <v>808500</v>
      </c>
      <c r="J451" s="87">
        <v>45988</v>
      </c>
      <c r="K451" s="88">
        <v>0.33935185185185185</v>
      </c>
      <c r="L451" s="38">
        <f t="shared" si="16"/>
        <v>0</v>
      </c>
      <c r="M451" s="17">
        <f t="shared" si="17"/>
        <v>-808500</v>
      </c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  <c r="AC451" s="33"/>
      <c r="AD451" s="33"/>
      <c r="AE451" s="33"/>
      <c r="AF451" s="33"/>
      <c r="AG451" s="33"/>
      <c r="AH451" s="33"/>
      <c r="AI451" s="33"/>
      <c r="AJ451" s="33"/>
      <c r="AK451" s="33"/>
      <c r="AL451" s="33"/>
      <c r="AM451" s="33"/>
      <c r="AN451" s="33"/>
      <c r="AO451" s="33"/>
    </row>
    <row r="452" spans="1:41" ht="105">
      <c r="A452" s="46"/>
      <c r="B452" s="46"/>
      <c r="C452" s="46" t="s">
        <v>2229</v>
      </c>
      <c r="D452" s="46" t="s">
        <v>61</v>
      </c>
      <c r="E452" s="111" t="str">
        <f>VLOOKUP(C452,KELAS!$A$2:$D$643,4,0)</f>
        <v>6 MADINAH</v>
      </c>
      <c r="F452" s="46"/>
      <c r="G452" s="46"/>
      <c r="H452" s="43" t="s">
        <v>981</v>
      </c>
      <c r="I452" s="44">
        <v>1400000</v>
      </c>
      <c r="J452" s="87">
        <v>45988</v>
      </c>
      <c r="K452" s="88">
        <v>0.3515625</v>
      </c>
      <c r="L452" s="38">
        <f t="shared" si="16"/>
        <v>0</v>
      </c>
      <c r="M452" s="17">
        <f t="shared" si="17"/>
        <v>-1400000</v>
      </c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  <c r="AC452" s="33"/>
      <c r="AD452" s="33"/>
      <c r="AE452" s="33"/>
      <c r="AF452" s="33"/>
      <c r="AG452" s="33"/>
      <c r="AH452" s="33"/>
      <c r="AI452" s="33"/>
      <c r="AJ452" s="33"/>
      <c r="AK452" s="33"/>
      <c r="AL452" s="33"/>
      <c r="AM452" s="33"/>
      <c r="AN452" s="33"/>
      <c r="AO452" s="33"/>
    </row>
    <row r="453" spans="1:41" ht="90">
      <c r="A453" s="46"/>
      <c r="B453" s="46"/>
      <c r="C453" s="46" t="s">
        <v>1486</v>
      </c>
      <c r="D453" s="46" t="s">
        <v>61</v>
      </c>
      <c r="E453" s="111" t="str">
        <f>VLOOKUP(C453,KELAS!$A$2:$D$643,4,0)</f>
        <v>2 MINA</v>
      </c>
      <c r="F453" s="46"/>
      <c r="G453" s="46"/>
      <c r="H453" s="43" t="s">
        <v>983</v>
      </c>
      <c r="I453" s="44">
        <v>770000</v>
      </c>
      <c r="J453" s="87">
        <v>45988</v>
      </c>
      <c r="K453" s="88">
        <v>0.37247685185185186</v>
      </c>
      <c r="L453" s="38">
        <f t="shared" si="16"/>
        <v>0</v>
      </c>
      <c r="M453" s="17">
        <f t="shared" si="17"/>
        <v>-770000</v>
      </c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  <c r="AC453" s="33"/>
      <c r="AD453" s="33"/>
      <c r="AE453" s="33"/>
      <c r="AF453" s="33"/>
      <c r="AG453" s="33"/>
      <c r="AH453" s="33"/>
      <c r="AI453" s="33"/>
      <c r="AJ453" s="33"/>
      <c r="AK453" s="33"/>
      <c r="AL453" s="33"/>
      <c r="AM453" s="33"/>
      <c r="AN453" s="33"/>
      <c r="AO453" s="33"/>
    </row>
    <row r="454" spans="1:41" ht="105">
      <c r="A454" s="46"/>
      <c r="B454" s="46"/>
      <c r="C454" s="46" t="s">
        <v>1130</v>
      </c>
      <c r="D454" s="46" t="s">
        <v>61</v>
      </c>
      <c r="E454" s="111" t="str">
        <f>VLOOKUP(C454,KELAS!$A$2:$D$643,4,0)</f>
        <v>1 MEKKAH</v>
      </c>
      <c r="F454" s="46"/>
      <c r="G454" s="46"/>
      <c r="H454" s="43" t="s">
        <v>985</v>
      </c>
      <c r="I454" s="44">
        <v>2425500</v>
      </c>
      <c r="J454" s="87">
        <v>45988</v>
      </c>
      <c r="K454" s="88">
        <v>0.37821759259259258</v>
      </c>
      <c r="L454" s="38">
        <f t="shared" si="16"/>
        <v>0</v>
      </c>
      <c r="M454" s="17">
        <f t="shared" si="17"/>
        <v>-2425500</v>
      </c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  <c r="AC454" s="33"/>
      <c r="AD454" s="33"/>
      <c r="AE454" s="33"/>
      <c r="AF454" s="33"/>
      <c r="AG454" s="33"/>
      <c r="AH454" s="33"/>
      <c r="AI454" s="33"/>
      <c r="AJ454" s="33"/>
      <c r="AK454" s="33"/>
      <c r="AL454" s="33"/>
      <c r="AM454" s="33"/>
      <c r="AN454" s="33"/>
      <c r="AO454" s="33"/>
    </row>
    <row r="455" spans="1:41" ht="75">
      <c r="A455" s="46"/>
      <c r="B455" s="46"/>
      <c r="C455" s="46" t="s">
        <v>1210</v>
      </c>
      <c r="D455" s="46" t="s">
        <v>61</v>
      </c>
      <c r="E455" s="111" t="str">
        <f>VLOOKUP(C455,KELAS!$A$2:$D$643,4,0)</f>
        <v>1 MADINAH</v>
      </c>
      <c r="F455" s="46"/>
      <c r="G455" s="46"/>
      <c r="H455" s="43" t="s">
        <v>146</v>
      </c>
      <c r="I455" s="44">
        <v>1617000</v>
      </c>
      <c r="J455" s="87">
        <v>45988</v>
      </c>
      <c r="K455" s="88">
        <v>0.40218749999999998</v>
      </c>
      <c r="L455" s="38">
        <f t="shared" si="16"/>
        <v>0</v>
      </c>
      <c r="M455" s="17">
        <f t="shared" si="17"/>
        <v>-1617000</v>
      </c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  <c r="AC455" s="33"/>
      <c r="AD455" s="33"/>
      <c r="AE455" s="33"/>
      <c r="AF455" s="33"/>
      <c r="AG455" s="33"/>
      <c r="AH455" s="33"/>
      <c r="AI455" s="33"/>
      <c r="AJ455" s="33"/>
      <c r="AK455" s="33"/>
      <c r="AL455" s="33"/>
      <c r="AM455" s="33"/>
      <c r="AN455" s="33"/>
      <c r="AO455" s="33"/>
    </row>
    <row r="456" spans="1:41" ht="105">
      <c r="A456" s="46"/>
      <c r="B456" s="46"/>
      <c r="C456" s="46" t="s">
        <v>2293</v>
      </c>
      <c r="D456" s="46" t="s">
        <v>61</v>
      </c>
      <c r="E456" s="111" t="str">
        <f>VLOOKUP(C456,KELAS!$A$2:$D$643,4,0)</f>
        <v>6 MINA</v>
      </c>
      <c r="F456" s="46"/>
      <c r="G456" s="46"/>
      <c r="H456" s="43" t="s">
        <v>988</v>
      </c>
      <c r="I456" s="44">
        <v>1450000</v>
      </c>
      <c r="J456" s="87">
        <v>45988</v>
      </c>
      <c r="K456" s="88">
        <v>0.44634259259259257</v>
      </c>
      <c r="L456" s="38">
        <f t="shared" si="16"/>
        <v>0</v>
      </c>
      <c r="M456" s="17">
        <f t="shared" si="17"/>
        <v>-1450000</v>
      </c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  <c r="AC456" s="33"/>
      <c r="AD456" s="33"/>
      <c r="AE456" s="33"/>
      <c r="AF456" s="33"/>
      <c r="AG456" s="33"/>
      <c r="AH456" s="33"/>
      <c r="AI456" s="33"/>
      <c r="AJ456" s="33"/>
      <c r="AK456" s="33"/>
      <c r="AL456" s="33"/>
      <c r="AM456" s="33"/>
      <c r="AN456" s="33"/>
      <c r="AO456" s="33"/>
    </row>
    <row r="457" spans="1:41" ht="90">
      <c r="A457" s="46"/>
      <c r="B457" s="46"/>
      <c r="C457" s="46" t="s">
        <v>1998</v>
      </c>
      <c r="D457" s="46" t="s">
        <v>61</v>
      </c>
      <c r="E457" s="111" t="str">
        <f>VLOOKUP(C457,KELAS!$A$2:$D$643,4,0)</f>
        <v>4 MINA</v>
      </c>
      <c r="F457" s="46"/>
      <c r="G457" s="46"/>
      <c r="H457" s="43" t="s">
        <v>990</v>
      </c>
      <c r="I457" s="44">
        <v>1450000</v>
      </c>
      <c r="J457" s="87">
        <v>45988</v>
      </c>
      <c r="K457" s="88">
        <v>0.45063657407407409</v>
      </c>
      <c r="L457" s="38">
        <f t="shared" si="16"/>
        <v>0</v>
      </c>
      <c r="M457" s="17">
        <f t="shared" si="17"/>
        <v>-1450000</v>
      </c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  <c r="AF457" s="33"/>
      <c r="AG457" s="33"/>
      <c r="AH457" s="33"/>
      <c r="AI457" s="33"/>
      <c r="AJ457" s="33"/>
      <c r="AK457" s="33"/>
      <c r="AL457" s="33"/>
      <c r="AM457" s="33"/>
      <c r="AN457" s="33"/>
      <c r="AO457" s="33"/>
    </row>
    <row r="458" spans="1:41" ht="90">
      <c r="A458" s="46"/>
      <c r="B458" s="46"/>
      <c r="C458" s="46" t="s">
        <v>1414</v>
      </c>
      <c r="D458" s="46" t="s">
        <v>61</v>
      </c>
      <c r="E458" s="111" t="str">
        <f>VLOOKUP(C458,KELAS!$A$2:$D$643,4,0)</f>
        <v>2 MADINAH</v>
      </c>
      <c r="F458" s="46"/>
      <c r="G458" s="46"/>
      <c r="H458" s="43" t="s">
        <v>992</v>
      </c>
      <c r="I458" s="44">
        <v>1540000</v>
      </c>
      <c r="J458" s="87">
        <v>45988</v>
      </c>
      <c r="K458" s="88">
        <v>0.55188657407407404</v>
      </c>
      <c r="L458" s="38">
        <f t="shared" si="16"/>
        <v>0</v>
      </c>
      <c r="M458" s="17">
        <f t="shared" si="17"/>
        <v>-1540000</v>
      </c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  <c r="AC458" s="33"/>
      <c r="AD458" s="33"/>
      <c r="AE458" s="33"/>
      <c r="AF458" s="33"/>
      <c r="AG458" s="33"/>
      <c r="AH458" s="33"/>
      <c r="AI458" s="33"/>
      <c r="AJ458" s="33"/>
      <c r="AK458" s="33"/>
      <c r="AL458" s="33"/>
      <c r="AM458" s="33"/>
      <c r="AN458" s="33"/>
      <c r="AO458" s="33"/>
    </row>
    <row r="459" spans="1:41" ht="105">
      <c r="A459" s="46"/>
      <c r="B459" s="46"/>
      <c r="C459" s="46" t="s">
        <v>1471</v>
      </c>
      <c r="D459" s="46" t="s">
        <v>61</v>
      </c>
      <c r="E459" s="111" t="str">
        <f>VLOOKUP(C459,KELAS!$A$2:$D$643,4,0)</f>
        <v>2 MADINAH</v>
      </c>
      <c r="F459" s="46"/>
      <c r="G459" s="46"/>
      <c r="H459" s="43" t="s">
        <v>154</v>
      </c>
      <c r="I459" s="44">
        <v>1540000</v>
      </c>
      <c r="J459" s="87">
        <v>45988</v>
      </c>
      <c r="K459" s="88">
        <v>0.5814583333333333</v>
      </c>
      <c r="L459" s="38">
        <f t="shared" si="16"/>
        <v>0</v>
      </c>
      <c r="M459" s="17">
        <f t="shared" si="17"/>
        <v>-1540000</v>
      </c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  <c r="AD459" s="33"/>
      <c r="AE459" s="33"/>
      <c r="AF459" s="33"/>
      <c r="AG459" s="33"/>
      <c r="AH459" s="33"/>
      <c r="AI459" s="33"/>
      <c r="AJ459" s="33"/>
      <c r="AK459" s="33"/>
      <c r="AL459" s="33"/>
      <c r="AM459" s="33"/>
      <c r="AN459" s="33"/>
      <c r="AO459" s="33"/>
    </row>
    <row r="460" spans="1:41" ht="120">
      <c r="A460" s="46"/>
      <c r="B460" s="46"/>
      <c r="C460" s="46" t="s">
        <v>1718</v>
      </c>
      <c r="D460" s="46" t="s">
        <v>61</v>
      </c>
      <c r="E460" s="111" t="str">
        <f>VLOOKUP(C460,KELAS!$A$2:$D$643,4,0)</f>
        <v>3 MINA</v>
      </c>
      <c r="F460" s="46"/>
      <c r="G460" s="46"/>
      <c r="H460" s="43" t="s">
        <v>995</v>
      </c>
      <c r="I460" s="44">
        <v>1450000</v>
      </c>
      <c r="J460" s="87">
        <v>45988</v>
      </c>
      <c r="K460" s="88">
        <v>0.67146990740740742</v>
      </c>
      <c r="L460" s="38">
        <f t="shared" si="16"/>
        <v>0</v>
      </c>
      <c r="M460" s="17">
        <f t="shared" si="17"/>
        <v>-1450000</v>
      </c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  <c r="AD460" s="33"/>
      <c r="AE460" s="33"/>
      <c r="AF460" s="33"/>
      <c r="AG460" s="33"/>
      <c r="AH460" s="33"/>
      <c r="AI460" s="33"/>
      <c r="AJ460" s="33"/>
      <c r="AK460" s="33"/>
      <c r="AL460" s="33"/>
      <c r="AM460" s="33"/>
      <c r="AN460" s="33"/>
      <c r="AO460" s="33"/>
    </row>
    <row r="461" spans="1:41" ht="120">
      <c r="A461" s="46"/>
      <c r="B461" s="46"/>
      <c r="C461" s="46" t="s">
        <v>1437</v>
      </c>
      <c r="D461" s="46" t="s">
        <v>61</v>
      </c>
      <c r="E461" s="111" t="str">
        <f>VLOOKUP(C461,KELAS!$A$2:$D$643,4,0)</f>
        <v>2 MADINAH</v>
      </c>
      <c r="F461" s="46"/>
      <c r="G461" s="46"/>
      <c r="H461" s="43" t="s">
        <v>997</v>
      </c>
      <c r="I461" s="44">
        <v>1540000</v>
      </c>
      <c r="J461" s="87">
        <v>45988</v>
      </c>
      <c r="K461" s="88">
        <v>0.67238425925925926</v>
      </c>
      <c r="L461" s="38">
        <f t="shared" si="16"/>
        <v>0</v>
      </c>
      <c r="M461" s="17">
        <f t="shared" si="17"/>
        <v>-1540000</v>
      </c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  <c r="AF461" s="33"/>
      <c r="AG461" s="33"/>
      <c r="AH461" s="33"/>
      <c r="AI461" s="33"/>
      <c r="AJ461" s="33"/>
      <c r="AK461" s="33"/>
      <c r="AL461" s="33"/>
      <c r="AM461" s="33"/>
      <c r="AN461" s="33"/>
      <c r="AO461" s="33"/>
    </row>
    <row r="462" spans="1:41" ht="90">
      <c r="A462" s="46"/>
      <c r="B462" s="46"/>
      <c r="C462" s="46" t="s">
        <v>1853</v>
      </c>
      <c r="D462" s="46" t="s">
        <v>61</v>
      </c>
      <c r="E462" s="111" t="str">
        <f>VLOOKUP(C462,KELAS!$A$2:$D$643,4,0)</f>
        <v>4 MEKKAH</v>
      </c>
      <c r="F462" s="46"/>
      <c r="G462" s="46"/>
      <c r="H462" s="43" t="s">
        <v>999</v>
      </c>
      <c r="I462" s="44">
        <v>1450000</v>
      </c>
      <c r="J462" s="87">
        <v>45988</v>
      </c>
      <c r="K462" s="88">
        <v>0.765162037037037</v>
      </c>
      <c r="L462" s="38">
        <f t="shared" si="16"/>
        <v>0</v>
      </c>
      <c r="M462" s="17">
        <f t="shared" si="17"/>
        <v>-1450000</v>
      </c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  <c r="AC462" s="33"/>
      <c r="AD462" s="33"/>
      <c r="AE462" s="33"/>
      <c r="AF462" s="33"/>
      <c r="AG462" s="33"/>
      <c r="AH462" s="33"/>
      <c r="AI462" s="33"/>
      <c r="AJ462" s="33"/>
      <c r="AK462" s="33"/>
      <c r="AL462" s="33"/>
      <c r="AM462" s="33"/>
      <c r="AN462" s="33"/>
      <c r="AO462" s="33"/>
    </row>
    <row r="463" spans="1:41" ht="105">
      <c r="A463" s="46"/>
      <c r="B463" s="46"/>
      <c r="C463" s="46" t="s">
        <v>2383</v>
      </c>
      <c r="D463" s="46" t="s">
        <v>61</v>
      </c>
      <c r="E463" s="111" t="e">
        <f>VLOOKUP(C463,KELAS!$A$2:$D$643,4,0)</f>
        <v>#N/A</v>
      </c>
      <c r="F463" s="46"/>
      <c r="G463" s="46"/>
      <c r="H463" s="43" t="s">
        <v>1001</v>
      </c>
      <c r="I463" s="44">
        <v>1540000</v>
      </c>
      <c r="J463" s="87">
        <v>45988</v>
      </c>
      <c r="K463" s="88">
        <v>0.79412037037037042</v>
      </c>
      <c r="L463" s="38">
        <f t="shared" si="16"/>
        <v>0</v>
      </c>
      <c r="M463" s="17">
        <f t="shared" si="17"/>
        <v>-1540000</v>
      </c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  <c r="AF463" s="33"/>
      <c r="AG463" s="33"/>
      <c r="AH463" s="33"/>
      <c r="AI463" s="33"/>
      <c r="AJ463" s="33"/>
      <c r="AK463" s="33"/>
      <c r="AL463" s="33"/>
      <c r="AM463" s="33"/>
      <c r="AN463" s="33"/>
      <c r="AO463" s="33"/>
    </row>
    <row r="464" spans="1:41" ht="90">
      <c r="A464" s="46"/>
      <c r="B464" s="46"/>
      <c r="C464" s="46" t="s">
        <v>1729</v>
      </c>
      <c r="D464" s="46" t="s">
        <v>61</v>
      </c>
      <c r="E464" s="111" t="str">
        <f>VLOOKUP(C464,KELAS!$A$2:$D$643,4,0)</f>
        <v>3 MINA</v>
      </c>
      <c r="F464" s="46"/>
      <c r="G464" s="46"/>
      <c r="H464" s="43" t="s">
        <v>81</v>
      </c>
      <c r="I464" s="44">
        <v>1450000</v>
      </c>
      <c r="J464" s="87">
        <v>45988</v>
      </c>
      <c r="K464" s="88">
        <v>0.96546296296296297</v>
      </c>
      <c r="L464" s="38">
        <f t="shared" si="16"/>
        <v>0</v>
      </c>
      <c r="M464" s="17">
        <f t="shared" si="17"/>
        <v>-1450000</v>
      </c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  <c r="AC464" s="33"/>
      <c r="AD464" s="33"/>
      <c r="AE464" s="33"/>
      <c r="AF464" s="33"/>
      <c r="AG464" s="33"/>
      <c r="AH464" s="33"/>
      <c r="AI464" s="33"/>
      <c r="AJ464" s="33"/>
      <c r="AK464" s="33"/>
      <c r="AL464" s="33"/>
      <c r="AM464" s="33"/>
      <c r="AN464" s="33"/>
      <c r="AO464" s="33"/>
    </row>
    <row r="465" spans="1:41" ht="75">
      <c r="A465" s="46"/>
      <c r="B465" s="46"/>
      <c r="C465" s="46" t="s">
        <v>1767</v>
      </c>
      <c r="D465" s="46" t="s">
        <v>61</v>
      </c>
      <c r="E465" s="111" t="str">
        <f>VLOOKUP(C465,KELAS!$A$2:$D$643,4,0)</f>
        <v>3 MINA</v>
      </c>
      <c r="F465" s="46"/>
      <c r="G465" s="46"/>
      <c r="H465" s="43" t="s">
        <v>1004</v>
      </c>
      <c r="I465" s="44">
        <v>700000</v>
      </c>
      <c r="J465" s="87">
        <v>45988</v>
      </c>
      <c r="K465" s="88">
        <v>0.97509259259259262</v>
      </c>
      <c r="L465" s="38">
        <f t="shared" si="16"/>
        <v>0</v>
      </c>
      <c r="M465" s="17">
        <f t="shared" si="17"/>
        <v>-700000</v>
      </c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  <c r="AC465" s="33"/>
      <c r="AD465" s="33"/>
      <c r="AE465" s="33"/>
      <c r="AF465" s="33"/>
      <c r="AG465" s="33"/>
      <c r="AH465" s="33"/>
      <c r="AI465" s="33"/>
      <c r="AJ465" s="33"/>
      <c r="AK465" s="33"/>
      <c r="AL465" s="33"/>
      <c r="AM465" s="33"/>
      <c r="AN465" s="33"/>
      <c r="AO465" s="33"/>
    </row>
    <row r="466" spans="1:41" ht="105">
      <c r="A466" s="46"/>
      <c r="B466" s="46"/>
      <c r="C466" s="46" t="s">
        <v>1779</v>
      </c>
      <c r="D466" s="46" t="s">
        <v>61</v>
      </c>
      <c r="E466" s="111" t="str">
        <f>VLOOKUP(C466,KELAS!$A$2:$D$643,4,0)</f>
        <v>3 MARWAH</v>
      </c>
      <c r="F466" s="46"/>
      <c r="G466" s="46"/>
      <c r="H466" s="43" t="s">
        <v>68</v>
      </c>
      <c r="I466" s="44">
        <v>1450000</v>
      </c>
      <c r="J466" s="87">
        <v>45989</v>
      </c>
      <c r="K466" s="88">
        <v>0.24635416666666668</v>
      </c>
      <c r="L466" s="38">
        <f t="shared" si="16"/>
        <v>0</v>
      </c>
      <c r="M466" s="17">
        <f t="shared" si="17"/>
        <v>-1450000</v>
      </c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  <c r="AF466" s="33"/>
      <c r="AG466" s="33"/>
      <c r="AH466" s="33"/>
      <c r="AI466" s="33"/>
      <c r="AJ466" s="33"/>
      <c r="AK466" s="33"/>
      <c r="AL466" s="33"/>
      <c r="AM466" s="33"/>
      <c r="AN466" s="33"/>
      <c r="AO466" s="33"/>
    </row>
    <row r="467" spans="1:41" ht="90">
      <c r="A467" s="46"/>
      <c r="B467" s="46"/>
      <c r="C467" s="46" t="s">
        <v>2096</v>
      </c>
      <c r="D467" s="46" t="s">
        <v>61</v>
      </c>
      <c r="E467" s="111" t="str">
        <f>VLOOKUP(C467,KELAS!$A$2:$D$643,4,0)</f>
        <v>5 MADINAH</v>
      </c>
      <c r="F467" s="46"/>
      <c r="G467" s="46"/>
      <c r="H467" s="43" t="s">
        <v>1007</v>
      </c>
      <c r="I467" s="44">
        <v>1400000</v>
      </c>
      <c r="J467" s="87">
        <v>45989</v>
      </c>
      <c r="K467" s="88">
        <v>0.26016203703703705</v>
      </c>
      <c r="L467" s="38">
        <f t="shared" si="16"/>
        <v>0</v>
      </c>
      <c r="M467" s="17">
        <f t="shared" si="17"/>
        <v>-1400000</v>
      </c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  <c r="AF467" s="33"/>
      <c r="AG467" s="33"/>
      <c r="AH467" s="33"/>
      <c r="AI467" s="33"/>
      <c r="AJ467" s="33"/>
      <c r="AK467" s="33"/>
      <c r="AL467" s="33"/>
      <c r="AM467" s="33"/>
      <c r="AN467" s="33"/>
      <c r="AO467" s="33"/>
    </row>
    <row r="468" spans="1:41" ht="90">
      <c r="A468" s="46"/>
      <c r="B468" s="46"/>
      <c r="C468" s="46" t="s">
        <v>1188</v>
      </c>
      <c r="D468" s="46" t="s">
        <v>61</v>
      </c>
      <c r="E468" s="111" t="str">
        <f>VLOOKUP(C468,KELAS!$A$2:$D$643,4,0)</f>
        <v>1 MADINAH</v>
      </c>
      <c r="F468" s="46"/>
      <c r="G468" s="46"/>
      <c r="H468" s="43" t="s">
        <v>1009</v>
      </c>
      <c r="I468" s="44">
        <v>1617000</v>
      </c>
      <c r="J468" s="87">
        <v>45989</v>
      </c>
      <c r="K468" s="88">
        <v>0.28917824074074072</v>
      </c>
      <c r="L468" s="38">
        <f t="shared" si="16"/>
        <v>0</v>
      </c>
      <c r="M468" s="17">
        <f t="shared" si="17"/>
        <v>-1617000</v>
      </c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  <c r="AF468" s="33"/>
      <c r="AG468" s="33"/>
      <c r="AH468" s="33"/>
      <c r="AI468" s="33"/>
      <c r="AJ468" s="33"/>
      <c r="AK468" s="33"/>
      <c r="AL468" s="33"/>
      <c r="AM468" s="33"/>
      <c r="AN468" s="33"/>
      <c r="AO468" s="33"/>
    </row>
    <row r="469" spans="1:41" ht="105">
      <c r="A469" s="46"/>
      <c r="B469" s="46"/>
      <c r="C469" s="46" t="s">
        <v>1549</v>
      </c>
      <c r="D469" s="46" t="s">
        <v>61</v>
      </c>
      <c r="E469" s="111" t="str">
        <f>VLOOKUP(C469,KELAS!$A$2:$D$643,4,0)</f>
        <v>2 MARWAH</v>
      </c>
      <c r="F469" s="46"/>
      <c r="G469" s="46"/>
      <c r="H469" s="43" t="s">
        <v>1011</v>
      </c>
      <c r="I469" s="44">
        <v>1540000</v>
      </c>
      <c r="J469" s="87">
        <v>45989</v>
      </c>
      <c r="K469" s="88">
        <v>0.30430555555555555</v>
      </c>
      <c r="L469" s="38">
        <f t="shared" si="16"/>
        <v>0</v>
      </c>
      <c r="M469" s="17">
        <f t="shared" si="17"/>
        <v>-1540000</v>
      </c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  <c r="AF469" s="33"/>
      <c r="AG469" s="33"/>
      <c r="AH469" s="33"/>
      <c r="AI469" s="33"/>
      <c r="AJ469" s="33"/>
      <c r="AK469" s="33"/>
      <c r="AL469" s="33"/>
      <c r="AM469" s="33"/>
      <c r="AN469" s="33"/>
      <c r="AO469" s="33"/>
    </row>
    <row r="470" spans="1:41" ht="105">
      <c r="A470" s="46"/>
      <c r="B470" s="46"/>
      <c r="C470" s="46" t="s">
        <v>2228</v>
      </c>
      <c r="D470" s="46" t="s">
        <v>61</v>
      </c>
      <c r="E470" s="111" t="str">
        <f>VLOOKUP(C470,KELAS!$A$2:$D$643,4,0)</f>
        <v>6 MADINAH</v>
      </c>
      <c r="F470" s="46"/>
      <c r="G470" s="46"/>
      <c r="H470" s="43" t="s">
        <v>1013</v>
      </c>
      <c r="I470" s="44">
        <v>1400000</v>
      </c>
      <c r="J470" s="87">
        <v>45989</v>
      </c>
      <c r="K470" s="88">
        <v>0.30497685185185186</v>
      </c>
      <c r="L470" s="38">
        <f t="shared" si="16"/>
        <v>0</v>
      </c>
      <c r="M470" s="17">
        <f t="shared" si="17"/>
        <v>-1400000</v>
      </c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  <c r="AC470" s="33"/>
      <c r="AD470" s="33"/>
      <c r="AE470" s="33"/>
      <c r="AF470" s="33"/>
      <c r="AG470" s="33"/>
      <c r="AH470" s="33"/>
      <c r="AI470" s="33"/>
      <c r="AJ470" s="33"/>
      <c r="AK470" s="33"/>
      <c r="AL470" s="33"/>
      <c r="AM470" s="33"/>
      <c r="AN470" s="33"/>
      <c r="AO470" s="33"/>
    </row>
    <row r="471" spans="1:41" ht="75">
      <c r="A471" s="46"/>
      <c r="B471" s="46"/>
      <c r="C471" s="46" t="s">
        <v>1708</v>
      </c>
      <c r="D471" s="46" t="s">
        <v>61</v>
      </c>
      <c r="E471" s="111" t="str">
        <f>VLOOKUP(C471,KELAS!$A$2:$D$643,4,0)</f>
        <v>3 MADINAH</v>
      </c>
      <c r="F471" s="46"/>
      <c r="G471" s="46"/>
      <c r="H471" s="43" t="s">
        <v>1015</v>
      </c>
      <c r="I471" s="44">
        <v>1450000</v>
      </c>
      <c r="J471" s="87">
        <v>45989</v>
      </c>
      <c r="K471" s="88">
        <v>0.31344907407407407</v>
      </c>
      <c r="L471" s="38">
        <f t="shared" si="16"/>
        <v>0</v>
      </c>
      <c r="M471" s="17">
        <f t="shared" si="17"/>
        <v>-1450000</v>
      </c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  <c r="AC471" s="33"/>
      <c r="AD471" s="33"/>
      <c r="AE471" s="33"/>
      <c r="AF471" s="33"/>
      <c r="AG471" s="33"/>
      <c r="AH471" s="33"/>
      <c r="AI471" s="33"/>
      <c r="AJ471" s="33"/>
      <c r="AK471" s="33"/>
      <c r="AL471" s="33"/>
      <c r="AM471" s="33"/>
      <c r="AN471" s="33"/>
      <c r="AO471" s="33"/>
    </row>
    <row r="472" spans="1:41" ht="75">
      <c r="A472" s="46"/>
      <c r="B472" s="46"/>
      <c r="C472" s="46" t="s">
        <v>1170</v>
      </c>
      <c r="D472" s="46" t="s">
        <v>61</v>
      </c>
      <c r="E472" s="111" t="str">
        <f>VLOOKUP(C472,KELAS!$A$2:$D$643,4,0)</f>
        <v>1 MEKKAH</v>
      </c>
      <c r="F472" s="46"/>
      <c r="G472" s="46"/>
      <c r="H472" s="43" t="s">
        <v>1017</v>
      </c>
      <c r="I472" s="44">
        <v>1617000</v>
      </c>
      <c r="J472" s="87">
        <v>45989</v>
      </c>
      <c r="K472" s="88">
        <v>0.31608796296296299</v>
      </c>
      <c r="L472" s="38">
        <f t="shared" si="16"/>
        <v>0</v>
      </c>
      <c r="M472" s="17">
        <f t="shared" si="17"/>
        <v>-1617000</v>
      </c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  <c r="AC472" s="33"/>
      <c r="AD472" s="33"/>
      <c r="AE472" s="33"/>
      <c r="AF472" s="33"/>
      <c r="AG472" s="33"/>
      <c r="AH472" s="33"/>
      <c r="AI472" s="33"/>
      <c r="AJ472" s="33"/>
      <c r="AK472" s="33"/>
      <c r="AL472" s="33"/>
      <c r="AM472" s="33"/>
      <c r="AN472" s="33"/>
      <c r="AO472" s="33"/>
    </row>
    <row r="473" spans="1:41" ht="90">
      <c r="A473" s="46"/>
      <c r="B473" s="46"/>
      <c r="C473" s="46" t="s">
        <v>2384</v>
      </c>
      <c r="D473" s="46" t="s">
        <v>61</v>
      </c>
      <c r="E473" s="111" t="e">
        <f>VLOOKUP(C473,KELAS!$A$2:$D$643,4,0)</f>
        <v>#N/A</v>
      </c>
      <c r="F473" s="46"/>
      <c r="G473" s="46"/>
      <c r="H473" s="43" t="s">
        <v>137</v>
      </c>
      <c r="I473" s="44">
        <v>1400000</v>
      </c>
      <c r="J473" s="87">
        <v>45989</v>
      </c>
      <c r="K473" s="88">
        <v>0.32783564814814814</v>
      </c>
      <c r="L473" s="38">
        <f t="shared" si="16"/>
        <v>0</v>
      </c>
      <c r="M473" s="17">
        <f t="shared" si="17"/>
        <v>-1400000</v>
      </c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  <c r="AD473" s="33"/>
      <c r="AE473" s="33"/>
      <c r="AF473" s="33"/>
      <c r="AG473" s="33"/>
      <c r="AH473" s="33"/>
      <c r="AI473" s="33"/>
      <c r="AJ473" s="33"/>
      <c r="AK473" s="33"/>
      <c r="AL473" s="33"/>
      <c r="AM473" s="33"/>
      <c r="AN473" s="33"/>
      <c r="AO473" s="33"/>
    </row>
    <row r="474" spans="1:41" ht="105">
      <c r="A474" s="46"/>
      <c r="B474" s="46"/>
      <c r="C474" s="46" t="s">
        <v>1867</v>
      </c>
      <c r="D474" s="46" t="s">
        <v>61</v>
      </c>
      <c r="E474" s="111" t="str">
        <f>VLOOKUP(C474,KELAS!$A$2:$D$643,4,0)</f>
        <v>4 MEKKAH</v>
      </c>
      <c r="F474" s="46"/>
      <c r="G474" s="46"/>
      <c r="H474" s="43" t="s">
        <v>1020</v>
      </c>
      <c r="I474" s="44">
        <v>1450000</v>
      </c>
      <c r="J474" s="87">
        <v>45989</v>
      </c>
      <c r="K474" s="88">
        <v>0.33875</v>
      </c>
      <c r="L474" s="38">
        <f t="shared" si="16"/>
        <v>0</v>
      </c>
      <c r="M474" s="17">
        <f t="shared" si="17"/>
        <v>-1450000</v>
      </c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  <c r="AC474" s="33"/>
      <c r="AD474" s="33"/>
      <c r="AE474" s="33"/>
      <c r="AF474" s="33"/>
      <c r="AG474" s="33"/>
      <c r="AH474" s="33"/>
      <c r="AI474" s="33"/>
      <c r="AJ474" s="33"/>
      <c r="AK474" s="33"/>
      <c r="AL474" s="33"/>
      <c r="AM474" s="33"/>
      <c r="AN474" s="33"/>
      <c r="AO474" s="33"/>
    </row>
    <row r="475" spans="1:41" ht="120">
      <c r="A475" s="46"/>
      <c r="B475" s="46"/>
      <c r="C475" s="46" t="s">
        <v>1331</v>
      </c>
      <c r="D475" s="46" t="s">
        <v>61</v>
      </c>
      <c r="E475" s="111" t="str">
        <f>VLOOKUP(C475,KELAS!$A$2:$D$643,4,0)</f>
        <v>1 MARWAH/TAHFIDZ</v>
      </c>
      <c r="F475" s="46"/>
      <c r="G475" s="46"/>
      <c r="H475" s="43" t="s">
        <v>1022</v>
      </c>
      <c r="I475" s="45">
        <v>1617000</v>
      </c>
      <c r="J475" s="89">
        <v>45989</v>
      </c>
      <c r="K475" s="90">
        <v>0.3828125</v>
      </c>
      <c r="L475" s="49">
        <f t="shared" si="16"/>
        <v>0</v>
      </c>
      <c r="M475" s="17">
        <f t="shared" si="17"/>
        <v>-1617000</v>
      </c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  <c r="AD475" s="33"/>
      <c r="AE475" s="33"/>
      <c r="AF475" s="33"/>
      <c r="AG475" s="33"/>
      <c r="AH475" s="33"/>
      <c r="AI475" s="33"/>
      <c r="AJ475" s="33"/>
      <c r="AK475" s="33"/>
      <c r="AL475" s="33"/>
      <c r="AM475" s="33"/>
      <c r="AN475" s="33"/>
      <c r="AO475" s="33"/>
    </row>
    <row r="476" spans="1:41" ht="105">
      <c r="A476" s="46"/>
      <c r="B476" s="46"/>
      <c r="C476" s="46" t="s">
        <v>2271</v>
      </c>
      <c r="D476" s="46" t="s">
        <v>61</v>
      </c>
      <c r="E476" s="111" t="str">
        <f>VLOOKUP(C476,KELAS!$A$2:$D$643,4,0)</f>
        <v>6 MINA</v>
      </c>
      <c r="F476" s="46"/>
      <c r="G476" s="46"/>
      <c r="H476" s="43" t="s">
        <v>1024</v>
      </c>
      <c r="I476" s="45">
        <v>1450000</v>
      </c>
      <c r="J476" s="89">
        <v>45989</v>
      </c>
      <c r="K476" s="90">
        <v>0.38524305555555555</v>
      </c>
      <c r="L476" s="49">
        <f t="shared" si="16"/>
        <v>0</v>
      </c>
      <c r="M476" s="17">
        <f t="shared" si="17"/>
        <v>-1450000</v>
      </c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  <c r="AC476" s="33"/>
      <c r="AD476" s="33"/>
      <c r="AE476" s="33"/>
      <c r="AF476" s="33"/>
      <c r="AG476" s="33"/>
      <c r="AH476" s="33"/>
      <c r="AI476" s="33"/>
      <c r="AJ476" s="33"/>
      <c r="AK476" s="33"/>
      <c r="AL476" s="33"/>
      <c r="AM476" s="33"/>
      <c r="AN476" s="33"/>
      <c r="AO476" s="33"/>
    </row>
    <row r="477" spans="1:41" ht="105">
      <c r="A477" s="46"/>
      <c r="B477" s="46"/>
      <c r="C477" s="46" t="s">
        <v>1376</v>
      </c>
      <c r="D477" s="46" t="s">
        <v>61</v>
      </c>
      <c r="E477" s="111" t="str">
        <f>VLOOKUP(C477,KELAS!$A$2:$D$643,4,0)</f>
        <v>2 MEKKAH</v>
      </c>
      <c r="F477" s="46"/>
      <c r="G477" s="46"/>
      <c r="H477" s="43" t="s">
        <v>1026</v>
      </c>
      <c r="I477" s="45">
        <v>1540000</v>
      </c>
      <c r="J477" s="89">
        <v>45989</v>
      </c>
      <c r="K477" s="90">
        <v>0.38622685185185185</v>
      </c>
      <c r="L477" s="49">
        <f t="shared" si="16"/>
        <v>0</v>
      </c>
      <c r="M477" s="17">
        <f t="shared" si="17"/>
        <v>-1540000</v>
      </c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  <c r="AD477" s="33"/>
      <c r="AE477" s="33"/>
      <c r="AF477" s="33"/>
      <c r="AG477" s="33"/>
      <c r="AH477" s="33"/>
      <c r="AI477" s="33"/>
      <c r="AJ477" s="33"/>
      <c r="AK477" s="33"/>
      <c r="AL477" s="33"/>
      <c r="AM477" s="33"/>
      <c r="AN477" s="33"/>
      <c r="AO477" s="33"/>
    </row>
    <row r="478" spans="1:41" ht="105">
      <c r="A478" s="46"/>
      <c r="B478" s="46"/>
      <c r="C478" s="46" t="s">
        <v>1180</v>
      </c>
      <c r="D478" s="46" t="s">
        <v>61</v>
      </c>
      <c r="E478" s="111" t="str">
        <f>VLOOKUP(C478,KELAS!$A$2:$D$643,4,0)</f>
        <v>1 MADINAH</v>
      </c>
      <c r="F478" s="46"/>
      <c r="G478" s="46"/>
      <c r="H478" s="43" t="s">
        <v>1028</v>
      </c>
      <c r="I478" s="45">
        <v>1617000</v>
      </c>
      <c r="J478" s="89">
        <v>45989</v>
      </c>
      <c r="K478" s="90">
        <v>0.38708333333333333</v>
      </c>
      <c r="L478" s="49">
        <f t="shared" si="16"/>
        <v>0</v>
      </c>
      <c r="M478" s="17">
        <f t="shared" si="17"/>
        <v>-1617000</v>
      </c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  <c r="AC478" s="33"/>
      <c r="AD478" s="33"/>
      <c r="AE478" s="33"/>
      <c r="AF478" s="33"/>
      <c r="AG478" s="33"/>
      <c r="AH478" s="33"/>
      <c r="AI478" s="33"/>
      <c r="AJ478" s="33"/>
      <c r="AK478" s="33"/>
      <c r="AL478" s="33"/>
      <c r="AM478" s="33"/>
      <c r="AN478" s="33"/>
      <c r="AO478" s="33"/>
    </row>
    <row r="479" spans="1:41" ht="90">
      <c r="A479" s="46"/>
      <c r="B479" s="46"/>
      <c r="C479" s="46" t="s">
        <v>1273</v>
      </c>
      <c r="D479" s="46" t="s">
        <v>61</v>
      </c>
      <c r="E479" s="111" t="str">
        <f>VLOOKUP(C479,KELAS!$A$2:$D$643,4,0)</f>
        <v>1 MINA</v>
      </c>
      <c r="F479" s="46"/>
      <c r="G479" s="46"/>
      <c r="H479" s="43" t="s">
        <v>1030</v>
      </c>
      <c r="I479" s="45">
        <v>1617000</v>
      </c>
      <c r="J479" s="89">
        <v>45989</v>
      </c>
      <c r="K479" s="90">
        <v>0.3941087962962963</v>
      </c>
      <c r="L479" s="49">
        <f t="shared" si="16"/>
        <v>0</v>
      </c>
      <c r="M479" s="17">
        <f t="shared" si="17"/>
        <v>-1617000</v>
      </c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  <c r="AC479" s="33"/>
      <c r="AD479" s="33"/>
      <c r="AE479" s="33"/>
      <c r="AF479" s="33"/>
      <c r="AG479" s="33"/>
      <c r="AH479" s="33"/>
      <c r="AI479" s="33"/>
      <c r="AJ479" s="33"/>
      <c r="AK479" s="33"/>
      <c r="AL479" s="33"/>
      <c r="AM479" s="33"/>
      <c r="AN479" s="33"/>
      <c r="AO479" s="33"/>
    </row>
    <row r="480" spans="1:41" ht="75">
      <c r="A480" s="46"/>
      <c r="B480" s="46"/>
      <c r="C480" s="46" t="s">
        <v>1632</v>
      </c>
      <c r="D480" s="46" t="s">
        <v>61</v>
      </c>
      <c r="E480" s="111" t="str">
        <f>VLOOKUP(C480,KELAS!$A$2:$D$643,4,0)</f>
        <v>3 MEKKAH</v>
      </c>
      <c r="F480" s="46"/>
      <c r="G480" s="46"/>
      <c r="H480" s="43" t="s">
        <v>1032</v>
      </c>
      <c r="I480" s="45">
        <v>2900000</v>
      </c>
      <c r="J480" s="89">
        <v>45989</v>
      </c>
      <c r="K480" s="90">
        <v>0.41144675925925928</v>
      </c>
      <c r="L480" s="49">
        <f t="shared" ref="L480:L487" si="18">SUM(N480:AP480)</f>
        <v>0</v>
      </c>
      <c r="M480" s="17">
        <f t="shared" ref="M480:M487" si="19">L480-I480</f>
        <v>-2900000</v>
      </c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  <c r="AC480" s="33"/>
      <c r="AD480" s="33"/>
      <c r="AE480" s="33"/>
      <c r="AF480" s="33"/>
      <c r="AG480" s="33"/>
      <c r="AH480" s="33"/>
      <c r="AI480" s="33"/>
      <c r="AJ480" s="33"/>
      <c r="AK480" s="33"/>
      <c r="AL480" s="33"/>
      <c r="AM480" s="33"/>
      <c r="AN480" s="33"/>
      <c r="AO480" s="33"/>
    </row>
    <row r="481" spans="1:41" ht="105">
      <c r="A481" s="46"/>
      <c r="B481" s="46"/>
      <c r="C481" s="46" t="s">
        <v>2385</v>
      </c>
      <c r="D481" s="46" t="s">
        <v>61</v>
      </c>
      <c r="E481" s="111" t="e">
        <f>VLOOKUP(C481,KELAS!$A$2:$D$643,4,0)</f>
        <v>#N/A</v>
      </c>
      <c r="F481" s="46"/>
      <c r="G481" s="46"/>
      <c r="H481" s="43" t="s">
        <v>1034</v>
      </c>
      <c r="I481" s="45">
        <v>1540000</v>
      </c>
      <c r="J481" s="89">
        <v>45989</v>
      </c>
      <c r="K481" s="90">
        <v>0.45702546296296298</v>
      </c>
      <c r="L481" s="49">
        <f t="shared" si="18"/>
        <v>0</v>
      </c>
      <c r="M481" s="17">
        <f t="shared" si="19"/>
        <v>-1540000</v>
      </c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  <c r="AC481" s="33"/>
      <c r="AD481" s="33"/>
      <c r="AE481" s="33"/>
      <c r="AF481" s="33"/>
      <c r="AG481" s="33"/>
      <c r="AH481" s="33"/>
      <c r="AI481" s="33"/>
      <c r="AJ481" s="33"/>
      <c r="AK481" s="33"/>
      <c r="AL481" s="33"/>
      <c r="AM481" s="33"/>
      <c r="AN481" s="33"/>
      <c r="AO481" s="33"/>
    </row>
    <row r="482" spans="1:41" ht="75">
      <c r="A482" s="46"/>
      <c r="B482" s="46"/>
      <c r="C482" s="46" t="s">
        <v>1859</v>
      </c>
      <c r="D482" s="46" t="s">
        <v>61</v>
      </c>
      <c r="E482" s="111" t="str">
        <f>VLOOKUP(C482,KELAS!$A$2:$D$643,4,0)</f>
        <v>4 MEKKAH</v>
      </c>
      <c r="F482" s="46"/>
      <c r="G482" s="46"/>
      <c r="H482" s="43" t="s">
        <v>216</v>
      </c>
      <c r="I482" s="45">
        <v>1450000</v>
      </c>
      <c r="J482" s="89">
        <v>45989</v>
      </c>
      <c r="K482" s="90">
        <v>0.53131944444444446</v>
      </c>
      <c r="L482" s="49">
        <f t="shared" si="18"/>
        <v>0</v>
      </c>
      <c r="M482" s="17">
        <f t="shared" si="19"/>
        <v>-1450000</v>
      </c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  <c r="AC482" s="33"/>
      <c r="AD482" s="33"/>
      <c r="AE482" s="33"/>
      <c r="AF482" s="33"/>
      <c r="AG482" s="33"/>
      <c r="AH482" s="33"/>
      <c r="AI482" s="33"/>
      <c r="AJ482" s="33"/>
      <c r="AK482" s="33"/>
      <c r="AL482" s="33"/>
      <c r="AM482" s="33"/>
      <c r="AN482" s="33"/>
      <c r="AO482" s="33"/>
    </row>
    <row r="483" spans="1:41" ht="105">
      <c r="A483" s="46"/>
      <c r="B483" s="46"/>
      <c r="C483" s="46" t="s">
        <v>1529</v>
      </c>
      <c r="D483" s="46" t="s">
        <v>61</v>
      </c>
      <c r="E483" s="111" t="str">
        <f>VLOOKUP(C483,KELAS!$A$2:$D$643,4,0)</f>
        <v>2 MINA</v>
      </c>
      <c r="F483" s="46"/>
      <c r="G483" s="46"/>
      <c r="H483" s="43" t="s">
        <v>1037</v>
      </c>
      <c r="I483" s="45">
        <v>1540000</v>
      </c>
      <c r="J483" s="89">
        <v>45989</v>
      </c>
      <c r="K483" s="90">
        <v>0.68652777777777774</v>
      </c>
      <c r="L483" s="49">
        <f t="shared" si="18"/>
        <v>0</v>
      </c>
      <c r="M483" s="17">
        <f t="shared" si="19"/>
        <v>-1540000</v>
      </c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  <c r="AD483" s="33"/>
      <c r="AE483" s="33"/>
      <c r="AF483" s="33"/>
      <c r="AG483" s="33"/>
      <c r="AH483" s="33"/>
      <c r="AI483" s="33"/>
      <c r="AJ483" s="33"/>
      <c r="AK483" s="33"/>
      <c r="AL483" s="33"/>
      <c r="AM483" s="33"/>
      <c r="AN483" s="33"/>
      <c r="AO483" s="33"/>
    </row>
    <row r="484" spans="1:41" ht="105">
      <c r="A484" s="46"/>
      <c r="B484" s="46"/>
      <c r="C484" s="46" t="s">
        <v>1584</v>
      </c>
      <c r="D484" s="46" t="s">
        <v>61</v>
      </c>
      <c r="E484" s="111" t="str">
        <f>VLOOKUP(C484,KELAS!$A$2:$D$643,4,0)</f>
        <v>2 MARWAH</v>
      </c>
      <c r="F484" s="46"/>
      <c r="G484" s="46"/>
      <c r="H484" s="43" t="s">
        <v>1039</v>
      </c>
      <c r="I484" s="45">
        <v>1540000</v>
      </c>
      <c r="J484" s="89">
        <v>45989</v>
      </c>
      <c r="K484" s="90">
        <v>0.68734953703703705</v>
      </c>
      <c r="L484" s="49">
        <f t="shared" si="18"/>
        <v>0</v>
      </c>
      <c r="M484" s="17">
        <f t="shared" si="19"/>
        <v>-1540000</v>
      </c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  <c r="AD484" s="33"/>
      <c r="AE484" s="33"/>
      <c r="AF484" s="33"/>
      <c r="AG484" s="33"/>
      <c r="AH484" s="33"/>
      <c r="AI484" s="33"/>
      <c r="AJ484" s="33"/>
      <c r="AK484" s="33"/>
      <c r="AL484" s="33"/>
      <c r="AM484" s="33"/>
      <c r="AN484" s="33"/>
      <c r="AO484" s="33"/>
    </row>
    <row r="485" spans="1:41" ht="105">
      <c r="A485" s="46"/>
      <c r="B485" s="46"/>
      <c r="C485" s="46" t="s">
        <v>1616</v>
      </c>
      <c r="D485" s="46" t="s">
        <v>61</v>
      </c>
      <c r="E485" s="111" t="str">
        <f>VLOOKUP(C485,KELAS!$A$2:$D$643,4,0)</f>
        <v>3 MEKKAH</v>
      </c>
      <c r="F485" s="46"/>
      <c r="G485" s="46"/>
      <c r="H485" s="43" t="s">
        <v>1041</v>
      </c>
      <c r="I485" s="45">
        <v>1450000</v>
      </c>
      <c r="J485" s="89">
        <v>45989</v>
      </c>
      <c r="K485" s="90">
        <v>0.72349537037037037</v>
      </c>
      <c r="L485" s="49">
        <f t="shared" si="18"/>
        <v>0</v>
      </c>
      <c r="M485" s="17">
        <f t="shared" si="19"/>
        <v>-1450000</v>
      </c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  <c r="AD485" s="33"/>
      <c r="AE485" s="33"/>
      <c r="AF485" s="33"/>
      <c r="AG485" s="33"/>
      <c r="AH485" s="33"/>
      <c r="AI485" s="33"/>
      <c r="AJ485" s="33"/>
      <c r="AK485" s="33"/>
      <c r="AL485" s="33"/>
      <c r="AM485" s="33"/>
      <c r="AN485" s="33"/>
      <c r="AO485" s="33"/>
    </row>
    <row r="486" spans="1:41" ht="105">
      <c r="A486" s="46"/>
      <c r="B486" s="46"/>
      <c r="C486" s="46" t="s">
        <v>1506</v>
      </c>
      <c r="D486" s="46" t="s">
        <v>61</v>
      </c>
      <c r="E486" s="111" t="str">
        <f>VLOOKUP(C486,KELAS!$A$2:$D$643,4,0)</f>
        <v>2 MINA</v>
      </c>
      <c r="F486" s="46"/>
      <c r="G486" s="46"/>
      <c r="H486" s="43" t="s">
        <v>1043</v>
      </c>
      <c r="I486" s="45">
        <v>1540000</v>
      </c>
      <c r="J486" s="89">
        <v>45989</v>
      </c>
      <c r="K486" s="90">
        <v>0.75810185185185186</v>
      </c>
      <c r="L486" s="49">
        <f t="shared" si="18"/>
        <v>0</v>
      </c>
      <c r="M486" s="17">
        <f t="shared" si="19"/>
        <v>-1540000</v>
      </c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  <c r="AD486" s="33"/>
      <c r="AE486" s="33"/>
      <c r="AF486" s="33"/>
      <c r="AG486" s="33"/>
      <c r="AH486" s="33"/>
      <c r="AI486" s="33"/>
      <c r="AJ486" s="33"/>
      <c r="AK486" s="33"/>
      <c r="AL486" s="33"/>
      <c r="AM486" s="33"/>
      <c r="AN486" s="33"/>
      <c r="AO486" s="33"/>
    </row>
    <row r="487" spans="1:41" ht="120">
      <c r="A487" s="46"/>
      <c r="B487" s="46"/>
      <c r="C487" s="46" t="s">
        <v>2310</v>
      </c>
      <c r="D487" s="46" t="s">
        <v>61</v>
      </c>
      <c r="E487" s="111" t="str">
        <f>VLOOKUP(C487,KELAS!$A$2:$D$643,4,0)</f>
        <v>6 MINA</v>
      </c>
      <c r="F487" s="46"/>
      <c r="G487" s="46"/>
      <c r="H487" s="43" t="s">
        <v>1045</v>
      </c>
      <c r="I487" s="45">
        <v>1400000</v>
      </c>
      <c r="J487" s="89">
        <v>45989</v>
      </c>
      <c r="K487" s="90">
        <v>0.84414351851851854</v>
      </c>
      <c r="L487" s="49">
        <f t="shared" si="18"/>
        <v>0</v>
      </c>
      <c r="M487" s="17">
        <f t="shared" si="19"/>
        <v>-1400000</v>
      </c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  <c r="AD487" s="33"/>
      <c r="AE487" s="33"/>
      <c r="AF487" s="33"/>
      <c r="AG487" s="33"/>
      <c r="AH487" s="33"/>
      <c r="AI487" s="33"/>
      <c r="AJ487" s="33"/>
      <c r="AK487" s="33"/>
      <c r="AL487" s="33"/>
      <c r="AM487" s="33"/>
      <c r="AN487" s="33"/>
      <c r="AO487" s="33"/>
    </row>
    <row r="488" spans="1:41" ht="75">
      <c r="A488" s="14"/>
      <c r="B488" s="14"/>
      <c r="C488" s="14" t="s">
        <v>1372</v>
      </c>
      <c r="D488" s="46" t="s">
        <v>61</v>
      </c>
      <c r="E488" s="111" t="str">
        <f>VLOOKUP(C488,KELAS!$A$2:$D$643,4,0)</f>
        <v>2 MEKKAH</v>
      </c>
      <c r="F488" s="14"/>
      <c r="G488" s="14"/>
      <c r="H488" s="43" t="s">
        <v>1047</v>
      </c>
      <c r="I488" s="50">
        <v>1540000</v>
      </c>
      <c r="J488" s="89">
        <v>45989</v>
      </c>
      <c r="K488" s="90">
        <v>0.8568055555555556</v>
      </c>
      <c r="L488" s="49">
        <f t="shared" ref="L488" si="20">SUM(N488:AP488)</f>
        <v>0</v>
      </c>
      <c r="M488" s="17">
        <f t="shared" ref="M488" si="21">L488-I488</f>
        <v>-1540000</v>
      </c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  <c r="AD488" s="33"/>
      <c r="AE488" s="33"/>
      <c r="AF488" s="33"/>
      <c r="AG488" s="33"/>
      <c r="AH488" s="33"/>
      <c r="AI488" s="33"/>
      <c r="AJ488" s="33"/>
      <c r="AK488" s="33"/>
      <c r="AL488" s="33"/>
      <c r="AM488" s="33"/>
      <c r="AN488" s="33"/>
      <c r="AO488" s="33"/>
    </row>
    <row r="489" spans="1:41" ht="105">
      <c r="A489" s="14"/>
      <c r="B489" s="14"/>
      <c r="C489" s="14" t="s">
        <v>1603</v>
      </c>
      <c r="D489" s="46" t="s">
        <v>61</v>
      </c>
      <c r="E489" s="111" t="str">
        <f>VLOOKUP(C489,KELAS!$A$2:$D$643,4,0)</f>
        <v>3 MEKKAH</v>
      </c>
      <c r="F489" s="14"/>
      <c r="G489" s="14"/>
      <c r="H489" s="43" t="s">
        <v>1049</v>
      </c>
      <c r="I489" s="50">
        <v>4350000</v>
      </c>
      <c r="J489" s="89">
        <v>45989</v>
      </c>
      <c r="K489" s="90">
        <v>0.95540509259259254</v>
      </c>
      <c r="L489" s="49">
        <f t="shared" ref="L489:L552" si="22">SUM(N489:AP489)</f>
        <v>0</v>
      </c>
      <c r="M489" s="17">
        <f t="shared" ref="M489:M552" si="23">L489-I489</f>
        <v>-4350000</v>
      </c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  <c r="AD489" s="33"/>
      <c r="AE489" s="33"/>
      <c r="AF489" s="33"/>
      <c r="AG489" s="33"/>
      <c r="AH489" s="33"/>
      <c r="AI489" s="33"/>
      <c r="AJ489" s="33"/>
      <c r="AK489" s="33"/>
      <c r="AL489" s="33"/>
      <c r="AM489" s="33"/>
      <c r="AN489" s="33"/>
      <c r="AO489" s="33"/>
    </row>
    <row r="490" spans="1:41" ht="90">
      <c r="A490" s="14"/>
      <c r="B490" s="14"/>
      <c r="C490" s="14" t="s">
        <v>2321</v>
      </c>
      <c r="D490" s="46" t="s">
        <v>61</v>
      </c>
      <c r="E490" s="111" t="e">
        <f>VLOOKUP(C490,KELAS!$A$2:$D$643,4,0)</f>
        <v>#N/A</v>
      </c>
      <c r="F490" s="14"/>
      <c r="G490" s="14"/>
      <c r="H490" s="43" t="s">
        <v>95</v>
      </c>
      <c r="I490" s="50">
        <v>1450000</v>
      </c>
      <c r="J490" s="89">
        <v>45990</v>
      </c>
      <c r="K490" s="90">
        <v>0.2396875</v>
      </c>
      <c r="L490" s="49">
        <f t="shared" si="22"/>
        <v>0</v>
      </c>
      <c r="M490" s="17">
        <f t="shared" si="23"/>
        <v>-1450000</v>
      </c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  <c r="AD490" s="33"/>
      <c r="AE490" s="33"/>
      <c r="AF490" s="33"/>
      <c r="AG490" s="33"/>
      <c r="AH490" s="33"/>
      <c r="AI490" s="33"/>
      <c r="AJ490" s="33"/>
      <c r="AK490" s="33"/>
      <c r="AL490" s="33"/>
      <c r="AM490" s="33"/>
      <c r="AN490" s="33"/>
      <c r="AO490" s="33"/>
    </row>
    <row r="491" spans="1:41" ht="120">
      <c r="A491" s="14"/>
      <c r="B491" s="14"/>
      <c r="C491" s="14" t="s">
        <v>1782</v>
      </c>
      <c r="D491" s="46" t="s">
        <v>61</v>
      </c>
      <c r="E491" s="111" t="str">
        <f>VLOOKUP(C491,KELAS!$A$2:$D$643,4,0)</f>
        <v>3 MARWAH</v>
      </c>
      <c r="F491" s="14"/>
      <c r="G491" s="14"/>
      <c r="H491" s="43" t="s">
        <v>1052</v>
      </c>
      <c r="I491" s="50">
        <v>1450000</v>
      </c>
      <c r="J491" s="89">
        <v>45990</v>
      </c>
      <c r="K491" s="90">
        <v>0.28452546296296294</v>
      </c>
      <c r="L491" s="49">
        <f t="shared" si="22"/>
        <v>0</v>
      </c>
      <c r="M491" s="17">
        <f t="shared" si="23"/>
        <v>-1450000</v>
      </c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  <c r="AD491" s="33"/>
      <c r="AE491" s="33"/>
      <c r="AF491" s="33"/>
      <c r="AG491" s="33"/>
      <c r="AH491" s="33"/>
      <c r="AI491" s="33"/>
      <c r="AJ491" s="33"/>
      <c r="AK491" s="33"/>
      <c r="AL491" s="33"/>
      <c r="AM491" s="33"/>
      <c r="AN491" s="33"/>
      <c r="AO491" s="33"/>
    </row>
    <row r="492" spans="1:41" ht="120">
      <c r="A492" s="14"/>
      <c r="B492" s="14"/>
      <c r="C492" s="14" t="s">
        <v>1605</v>
      </c>
      <c r="D492" s="46" t="s">
        <v>61</v>
      </c>
      <c r="E492" s="111" t="str">
        <f>VLOOKUP(C492,KELAS!$A$2:$D$643,4,0)</f>
        <v>3 MEKKAH</v>
      </c>
      <c r="F492" s="14"/>
      <c r="G492" s="14"/>
      <c r="H492" s="43" t="s">
        <v>1054</v>
      </c>
      <c r="I492" s="50">
        <v>1450000</v>
      </c>
      <c r="J492" s="89">
        <v>45990</v>
      </c>
      <c r="K492" s="90">
        <v>0.28577546296296297</v>
      </c>
      <c r="L492" s="49">
        <f t="shared" si="22"/>
        <v>0</v>
      </c>
      <c r="M492" s="17">
        <f t="shared" si="23"/>
        <v>-1450000</v>
      </c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  <c r="AD492" s="33"/>
      <c r="AE492" s="33"/>
      <c r="AF492" s="33"/>
      <c r="AG492" s="33"/>
      <c r="AH492" s="33"/>
      <c r="AI492" s="33"/>
      <c r="AJ492" s="33"/>
      <c r="AK492" s="33"/>
      <c r="AL492" s="33"/>
      <c r="AM492" s="33"/>
      <c r="AN492" s="33"/>
      <c r="AO492" s="33"/>
    </row>
    <row r="493" spans="1:41" ht="105">
      <c r="A493" s="14"/>
      <c r="B493" s="14"/>
      <c r="C493" s="14" t="s">
        <v>1512</v>
      </c>
      <c r="D493" s="46" t="s">
        <v>61</v>
      </c>
      <c r="E493" s="111" t="str">
        <f>VLOOKUP(C493,KELAS!$A$2:$D$643,4,0)</f>
        <v>2 MINA</v>
      </c>
      <c r="F493" s="14"/>
      <c r="G493" s="14"/>
      <c r="H493" s="43" t="s">
        <v>1056</v>
      </c>
      <c r="I493" s="50">
        <v>1540000</v>
      </c>
      <c r="J493" s="89">
        <v>45990</v>
      </c>
      <c r="K493" s="90">
        <v>0.30630787037037038</v>
      </c>
      <c r="L493" s="49">
        <f t="shared" si="22"/>
        <v>0</v>
      </c>
      <c r="M493" s="17">
        <f t="shared" si="23"/>
        <v>-1540000</v>
      </c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  <c r="AD493" s="33"/>
      <c r="AE493" s="33"/>
      <c r="AF493" s="33"/>
      <c r="AG493" s="33"/>
      <c r="AH493" s="33"/>
      <c r="AI493" s="33"/>
      <c r="AJ493" s="33"/>
      <c r="AK493" s="33"/>
      <c r="AL493" s="33"/>
      <c r="AM493" s="33"/>
      <c r="AN493" s="33"/>
      <c r="AO493" s="33"/>
    </row>
    <row r="494" spans="1:41" ht="105">
      <c r="A494" s="14"/>
      <c r="B494" s="14"/>
      <c r="C494" s="14" t="s">
        <v>1790</v>
      </c>
      <c r="D494" s="46" t="s">
        <v>61</v>
      </c>
      <c r="E494" s="111" t="str">
        <f>VLOOKUP(C494,KELAS!$A$2:$D$643,4,0)</f>
        <v>3 MARWAH</v>
      </c>
      <c r="F494" s="14"/>
      <c r="G494" s="14"/>
      <c r="H494" s="43" t="s">
        <v>1058</v>
      </c>
      <c r="I494" s="50">
        <v>1400000</v>
      </c>
      <c r="J494" s="89">
        <v>45990</v>
      </c>
      <c r="K494" s="90">
        <v>0.31565972222222222</v>
      </c>
      <c r="L494" s="49">
        <f t="shared" si="22"/>
        <v>0</v>
      </c>
      <c r="M494" s="17">
        <f t="shared" si="23"/>
        <v>-1400000</v>
      </c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  <c r="AC494" s="33"/>
      <c r="AD494" s="33"/>
      <c r="AE494" s="33"/>
      <c r="AF494" s="33"/>
      <c r="AG494" s="33"/>
      <c r="AH494" s="33"/>
      <c r="AI494" s="33"/>
      <c r="AJ494" s="33"/>
      <c r="AK494" s="33"/>
      <c r="AL494" s="33"/>
      <c r="AM494" s="33"/>
      <c r="AN494" s="33"/>
      <c r="AO494" s="33"/>
    </row>
    <row r="495" spans="1:41" ht="90">
      <c r="A495" s="14"/>
      <c r="B495" s="14"/>
      <c r="C495" s="14" t="s">
        <v>1889</v>
      </c>
      <c r="D495" s="46" t="s">
        <v>61</v>
      </c>
      <c r="E495" s="111" t="str">
        <f>VLOOKUP(C495,KELAS!$A$2:$D$643,4,0)</f>
        <v>4 MADINAH</v>
      </c>
      <c r="F495" s="14"/>
      <c r="G495" s="14"/>
      <c r="H495" s="43" t="s">
        <v>150</v>
      </c>
      <c r="I495" s="50">
        <v>1450000</v>
      </c>
      <c r="J495" s="89">
        <v>45990</v>
      </c>
      <c r="K495" s="90">
        <v>0.35600694444444442</v>
      </c>
      <c r="L495" s="49">
        <f t="shared" si="22"/>
        <v>0</v>
      </c>
      <c r="M495" s="17">
        <f t="shared" si="23"/>
        <v>-1450000</v>
      </c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  <c r="AD495" s="33"/>
      <c r="AE495" s="33"/>
      <c r="AF495" s="33"/>
      <c r="AG495" s="33"/>
      <c r="AH495" s="33"/>
      <c r="AI495" s="33"/>
      <c r="AJ495" s="33"/>
      <c r="AK495" s="33"/>
      <c r="AL495" s="33"/>
      <c r="AM495" s="33"/>
      <c r="AN495" s="33"/>
      <c r="AO495" s="33"/>
    </row>
    <row r="496" spans="1:41" ht="120">
      <c r="A496" s="14"/>
      <c r="B496" s="14"/>
      <c r="C496" s="14" t="s">
        <v>1116</v>
      </c>
      <c r="D496" s="46" t="s">
        <v>61</v>
      </c>
      <c r="E496" s="111" t="str">
        <f>VLOOKUP(C496,KELAS!$A$2:$D$643,4,0)</f>
        <v>1 MEKKAH</v>
      </c>
      <c r="F496" s="14"/>
      <c r="G496" s="14"/>
      <c r="H496" s="43" t="s">
        <v>1061</v>
      </c>
      <c r="I496" s="50">
        <v>1617000</v>
      </c>
      <c r="J496" s="89">
        <v>45990</v>
      </c>
      <c r="K496" s="90">
        <v>0.3744675925925926</v>
      </c>
      <c r="L496" s="49">
        <f t="shared" si="22"/>
        <v>0</v>
      </c>
      <c r="M496" s="17">
        <f t="shared" si="23"/>
        <v>-1617000</v>
      </c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  <c r="AC496" s="33"/>
      <c r="AD496" s="33"/>
      <c r="AE496" s="33"/>
      <c r="AF496" s="33"/>
      <c r="AG496" s="33"/>
      <c r="AH496" s="33"/>
      <c r="AI496" s="33"/>
      <c r="AJ496" s="33"/>
      <c r="AK496" s="33"/>
      <c r="AL496" s="33"/>
      <c r="AM496" s="33"/>
      <c r="AN496" s="33"/>
      <c r="AO496" s="33"/>
    </row>
    <row r="497" spans="1:41" ht="120">
      <c r="A497" s="14"/>
      <c r="B497" s="14"/>
      <c r="C497" s="14" t="s">
        <v>1819</v>
      </c>
      <c r="D497" s="46" t="s">
        <v>61</v>
      </c>
      <c r="E497" s="111" t="str">
        <f>VLOOKUP(C497,KELAS!$A$2:$D$643,4,0)</f>
        <v>3 MARWAH</v>
      </c>
      <c r="F497" s="14"/>
      <c r="G497" s="14"/>
      <c r="H497" s="43" t="s">
        <v>1063</v>
      </c>
      <c r="I497" s="50">
        <v>1450000</v>
      </c>
      <c r="J497" s="89">
        <v>45990</v>
      </c>
      <c r="K497" s="90">
        <v>0.3752199074074074</v>
      </c>
      <c r="L497" s="49">
        <f t="shared" si="22"/>
        <v>0</v>
      </c>
      <c r="M497" s="17">
        <f t="shared" si="23"/>
        <v>-1450000</v>
      </c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  <c r="AD497" s="33"/>
      <c r="AE497" s="33"/>
      <c r="AF497" s="33"/>
      <c r="AG497" s="33"/>
      <c r="AH497" s="33"/>
      <c r="AI497" s="33"/>
      <c r="AJ497" s="33"/>
      <c r="AK497" s="33"/>
      <c r="AL497" s="33"/>
      <c r="AM497" s="33"/>
      <c r="AN497" s="33"/>
      <c r="AO497" s="33"/>
    </row>
    <row r="498" spans="1:41" ht="105">
      <c r="A498" s="14"/>
      <c r="B498" s="14"/>
      <c r="C498" s="14" t="s">
        <v>2061</v>
      </c>
      <c r="D498" s="46" t="s">
        <v>61</v>
      </c>
      <c r="E498" s="111" t="str">
        <f>VLOOKUP(C498,KELAS!$A$2:$D$643,4,0)</f>
        <v>5 MADINAH</v>
      </c>
      <c r="F498" s="14"/>
      <c r="G498" s="14"/>
      <c r="H498" s="43" t="s">
        <v>1065</v>
      </c>
      <c r="I498" s="50">
        <v>1400000</v>
      </c>
      <c r="J498" s="89">
        <v>45990</v>
      </c>
      <c r="K498" s="90">
        <v>0.43684027777777779</v>
      </c>
      <c r="L498" s="49">
        <f t="shared" si="22"/>
        <v>0</v>
      </c>
      <c r="M498" s="17">
        <f t="shared" si="23"/>
        <v>-1400000</v>
      </c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  <c r="AC498" s="33"/>
      <c r="AD498" s="33"/>
      <c r="AE498" s="33"/>
      <c r="AF498" s="33"/>
      <c r="AG498" s="33"/>
      <c r="AH498" s="33"/>
      <c r="AI498" s="33"/>
      <c r="AJ498" s="33"/>
      <c r="AK498" s="33"/>
      <c r="AL498" s="33"/>
      <c r="AM498" s="33"/>
      <c r="AN498" s="33"/>
      <c r="AO498" s="33"/>
    </row>
    <row r="499" spans="1:41" ht="105">
      <c r="A499" s="14"/>
      <c r="B499" s="14"/>
      <c r="C499" s="14" t="s">
        <v>2058</v>
      </c>
      <c r="D499" s="46" t="s">
        <v>61</v>
      </c>
      <c r="E499" s="111" t="str">
        <f>VLOOKUP(C499,KELAS!$A$2:$D$643,4,0)</f>
        <v>5 MADINAH</v>
      </c>
      <c r="F499" s="14"/>
      <c r="G499" s="14"/>
      <c r="H499" s="43" t="s">
        <v>177</v>
      </c>
      <c r="I499" s="50">
        <v>1400000</v>
      </c>
      <c r="J499" s="89">
        <v>45990</v>
      </c>
      <c r="K499" s="90">
        <v>0.47880787037037037</v>
      </c>
      <c r="L499" s="49">
        <f t="shared" si="22"/>
        <v>0</v>
      </c>
      <c r="M499" s="17">
        <f t="shared" si="23"/>
        <v>-1400000</v>
      </c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  <c r="AD499" s="33"/>
      <c r="AE499" s="33"/>
      <c r="AF499" s="33"/>
      <c r="AG499" s="33"/>
      <c r="AH499" s="33"/>
      <c r="AI499" s="33"/>
      <c r="AJ499" s="33"/>
      <c r="AK499" s="33"/>
      <c r="AL499" s="33"/>
      <c r="AM499" s="33"/>
      <c r="AN499" s="33"/>
      <c r="AO499" s="33"/>
    </row>
    <row r="500" spans="1:41" ht="90">
      <c r="A500" s="14"/>
      <c r="B500" s="14"/>
      <c r="C500" s="14" t="s">
        <v>1128</v>
      </c>
      <c r="D500" s="46" t="s">
        <v>61</v>
      </c>
      <c r="E500" s="111" t="str">
        <f>VLOOKUP(C500,KELAS!$A$2:$D$643,4,0)</f>
        <v>1 MEKKAH</v>
      </c>
      <c r="F500" s="14"/>
      <c r="G500" s="14"/>
      <c r="H500" s="43" t="s">
        <v>155</v>
      </c>
      <c r="I500" s="50">
        <v>1617000</v>
      </c>
      <c r="J500" s="89">
        <v>45990</v>
      </c>
      <c r="K500" s="90">
        <v>0.49274305555555553</v>
      </c>
      <c r="L500" s="49">
        <f t="shared" si="22"/>
        <v>0</v>
      </c>
      <c r="M500" s="17">
        <f t="shared" si="23"/>
        <v>-1617000</v>
      </c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  <c r="AC500" s="33"/>
      <c r="AD500" s="33"/>
      <c r="AE500" s="33"/>
      <c r="AF500" s="33"/>
      <c r="AG500" s="33"/>
      <c r="AH500" s="33"/>
      <c r="AI500" s="33"/>
      <c r="AJ500" s="33"/>
      <c r="AK500" s="33"/>
      <c r="AL500" s="33"/>
      <c r="AM500" s="33"/>
      <c r="AN500" s="33"/>
      <c r="AO500" s="33"/>
    </row>
    <row r="501" spans="1:41" ht="90">
      <c r="A501" s="14"/>
      <c r="B501" s="14"/>
      <c r="C501" s="14" t="s">
        <v>2386</v>
      </c>
      <c r="D501" s="46" t="s">
        <v>61</v>
      </c>
      <c r="E501" s="111" t="str">
        <f>VLOOKUP(C501,KELAS!$A$2:$D$643,4,0)</f>
        <v>5 MADINAH</v>
      </c>
      <c r="F501" s="14"/>
      <c r="G501" s="14"/>
      <c r="H501" s="43" t="s">
        <v>1069</v>
      </c>
      <c r="I501" s="50">
        <v>1400000</v>
      </c>
      <c r="J501" s="89">
        <v>45990</v>
      </c>
      <c r="K501" s="90">
        <v>0.50677083333333328</v>
      </c>
      <c r="L501" s="49">
        <f t="shared" si="22"/>
        <v>0</v>
      </c>
      <c r="M501" s="17">
        <f t="shared" si="23"/>
        <v>-1400000</v>
      </c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  <c r="AD501" s="33"/>
      <c r="AE501" s="33"/>
      <c r="AF501" s="33"/>
      <c r="AG501" s="33"/>
      <c r="AH501" s="33"/>
      <c r="AI501" s="33"/>
      <c r="AJ501" s="33"/>
      <c r="AK501" s="33"/>
      <c r="AL501" s="33"/>
      <c r="AM501" s="33"/>
      <c r="AN501" s="33"/>
      <c r="AO501" s="33"/>
    </row>
    <row r="502" spans="1:41" ht="90">
      <c r="A502" s="14"/>
      <c r="B502" s="14"/>
      <c r="C502" s="14" t="s">
        <v>2278</v>
      </c>
      <c r="D502" s="46" t="s">
        <v>61</v>
      </c>
      <c r="E502" s="111" t="str">
        <f>VLOOKUP(C502,KELAS!$A$2:$D$643,4,0)</f>
        <v>6 MINA</v>
      </c>
      <c r="F502" s="14"/>
      <c r="G502" s="14"/>
      <c r="H502" s="43" t="s">
        <v>1071</v>
      </c>
      <c r="I502" s="50">
        <v>1400000</v>
      </c>
      <c r="J502" s="89">
        <v>45990</v>
      </c>
      <c r="K502" s="90">
        <v>0.51391203703703703</v>
      </c>
      <c r="L502" s="49">
        <f t="shared" si="22"/>
        <v>0</v>
      </c>
      <c r="M502" s="17">
        <f t="shared" si="23"/>
        <v>-1400000</v>
      </c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  <c r="AC502" s="33"/>
      <c r="AD502" s="33"/>
      <c r="AE502" s="33"/>
      <c r="AF502" s="33"/>
      <c r="AG502" s="33"/>
      <c r="AH502" s="33"/>
      <c r="AI502" s="33"/>
      <c r="AJ502" s="33"/>
      <c r="AK502" s="33"/>
      <c r="AL502" s="33"/>
      <c r="AM502" s="33"/>
      <c r="AN502" s="33"/>
      <c r="AO502" s="33"/>
    </row>
    <row r="503" spans="1:41" ht="120">
      <c r="A503" s="14"/>
      <c r="B503" s="14"/>
      <c r="C503" s="14" t="s">
        <v>1883</v>
      </c>
      <c r="D503" s="46" t="s">
        <v>61</v>
      </c>
      <c r="E503" s="111" t="str">
        <f>VLOOKUP(C503,KELAS!$A$2:$D$643,4,0)</f>
        <v>4 MEKKAH</v>
      </c>
      <c r="F503" s="14"/>
      <c r="G503" s="14"/>
      <c r="H503" s="43" t="s">
        <v>1073</v>
      </c>
      <c r="I503" s="50">
        <v>2900000</v>
      </c>
      <c r="J503" s="89">
        <v>45990</v>
      </c>
      <c r="K503" s="90">
        <v>0.62793981481481487</v>
      </c>
      <c r="L503" s="49">
        <f t="shared" si="22"/>
        <v>0</v>
      </c>
      <c r="M503" s="17">
        <f t="shared" si="23"/>
        <v>-2900000</v>
      </c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  <c r="AC503" s="33"/>
      <c r="AD503" s="33"/>
      <c r="AE503" s="33"/>
      <c r="AF503" s="33"/>
      <c r="AG503" s="33"/>
      <c r="AH503" s="33"/>
      <c r="AI503" s="33"/>
      <c r="AJ503" s="33"/>
      <c r="AK503" s="33"/>
      <c r="AL503" s="33"/>
      <c r="AM503" s="33"/>
      <c r="AN503" s="33"/>
      <c r="AO503" s="33"/>
    </row>
    <row r="504" spans="1:41" ht="75">
      <c r="A504" s="14"/>
      <c r="B504" s="14"/>
      <c r="C504" s="14" t="s">
        <v>1955</v>
      </c>
      <c r="D504" s="46" t="s">
        <v>61</v>
      </c>
      <c r="E504" s="111" t="str">
        <f>VLOOKUP(C504,KELAS!$A$2:$D$643,4,0)</f>
        <v>4 MINA</v>
      </c>
      <c r="F504" s="14"/>
      <c r="G504" s="14"/>
      <c r="H504" s="43" t="s">
        <v>69</v>
      </c>
      <c r="I504" s="50">
        <v>1450000</v>
      </c>
      <c r="J504" s="89">
        <v>45990</v>
      </c>
      <c r="K504" s="90">
        <v>0.70063657407407409</v>
      </c>
      <c r="L504" s="49">
        <f t="shared" si="22"/>
        <v>0</v>
      </c>
      <c r="M504" s="17">
        <f t="shared" si="23"/>
        <v>-1450000</v>
      </c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  <c r="AC504" s="33"/>
      <c r="AD504" s="33"/>
      <c r="AE504" s="33"/>
      <c r="AF504" s="33"/>
      <c r="AG504" s="33"/>
      <c r="AH504" s="33"/>
      <c r="AI504" s="33"/>
      <c r="AJ504" s="33"/>
      <c r="AK504" s="33"/>
      <c r="AL504" s="33"/>
      <c r="AM504" s="33"/>
      <c r="AN504" s="33"/>
      <c r="AO504" s="33"/>
    </row>
    <row r="505" spans="1:41" ht="120">
      <c r="A505" s="14"/>
      <c r="B505" s="14"/>
      <c r="C505" s="14" t="s">
        <v>1749</v>
      </c>
      <c r="D505" s="46" t="s">
        <v>61</v>
      </c>
      <c r="E505" s="111" t="str">
        <f>VLOOKUP(C505,KELAS!$A$2:$D$643,4,0)</f>
        <v>3 MINA</v>
      </c>
      <c r="F505" s="14"/>
      <c r="G505" s="14"/>
      <c r="H505" s="43" t="s">
        <v>1076</v>
      </c>
      <c r="I505" s="50">
        <v>1400000</v>
      </c>
      <c r="J505" s="89">
        <v>45990</v>
      </c>
      <c r="K505" s="90">
        <v>0.71815972222222224</v>
      </c>
      <c r="L505" s="49">
        <f t="shared" si="22"/>
        <v>0</v>
      </c>
      <c r="M505" s="17">
        <f t="shared" si="23"/>
        <v>-1400000</v>
      </c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  <c r="AD505" s="33"/>
      <c r="AE505" s="33"/>
      <c r="AF505" s="33"/>
      <c r="AG505" s="33"/>
      <c r="AH505" s="33"/>
      <c r="AI505" s="33"/>
      <c r="AJ505" s="33"/>
      <c r="AK505" s="33"/>
      <c r="AL505" s="33"/>
      <c r="AM505" s="33"/>
      <c r="AN505" s="33"/>
      <c r="AO505" s="33"/>
    </row>
    <row r="506" spans="1:41" ht="105">
      <c r="A506" s="14"/>
      <c r="B506" s="14"/>
      <c r="C506" s="14" t="s">
        <v>1650</v>
      </c>
      <c r="D506" s="46" t="s">
        <v>61</v>
      </c>
      <c r="E506" s="111" t="str">
        <f>VLOOKUP(C506,KELAS!$A$2:$D$643,4,0)</f>
        <v>3 MEKKAH</v>
      </c>
      <c r="F506" s="14"/>
      <c r="G506" s="14"/>
      <c r="H506" s="43" t="s">
        <v>1078</v>
      </c>
      <c r="I506" s="50">
        <v>1450000</v>
      </c>
      <c r="J506" s="89">
        <v>45990</v>
      </c>
      <c r="K506" s="90">
        <v>0.79767361111111112</v>
      </c>
      <c r="L506" s="49">
        <f t="shared" si="22"/>
        <v>0</v>
      </c>
      <c r="M506" s="17">
        <f t="shared" si="23"/>
        <v>-1450000</v>
      </c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  <c r="AC506" s="33"/>
      <c r="AD506" s="33"/>
      <c r="AE506" s="33"/>
      <c r="AF506" s="33"/>
      <c r="AG506" s="33"/>
      <c r="AH506" s="33"/>
      <c r="AI506" s="33"/>
      <c r="AJ506" s="33"/>
      <c r="AK506" s="33"/>
      <c r="AL506" s="33"/>
      <c r="AM506" s="33"/>
      <c r="AN506" s="33"/>
      <c r="AO506" s="33"/>
    </row>
    <row r="507" spans="1:41" ht="120">
      <c r="A507" s="14"/>
      <c r="B507" s="14"/>
      <c r="C507" s="14" t="s">
        <v>2089</v>
      </c>
      <c r="D507" s="46" t="s">
        <v>61</v>
      </c>
      <c r="E507" s="111" t="str">
        <f>VLOOKUP(C507,KELAS!$A$2:$D$643,4,0)</f>
        <v>5 MADINAH</v>
      </c>
      <c r="F507" s="14"/>
      <c r="G507" s="14"/>
      <c r="H507" s="43" t="s">
        <v>1080</v>
      </c>
      <c r="I507" s="50">
        <v>1400000</v>
      </c>
      <c r="J507" s="89">
        <v>45990</v>
      </c>
      <c r="K507" s="90">
        <v>0.84623842592592591</v>
      </c>
      <c r="L507" s="49">
        <f t="shared" si="22"/>
        <v>0</v>
      </c>
      <c r="M507" s="17">
        <f t="shared" si="23"/>
        <v>-1400000</v>
      </c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  <c r="AD507" s="33"/>
      <c r="AE507" s="33"/>
      <c r="AF507" s="33"/>
      <c r="AG507" s="33"/>
      <c r="AH507" s="33"/>
      <c r="AI507" s="33"/>
      <c r="AJ507" s="33"/>
      <c r="AK507" s="33"/>
      <c r="AL507" s="33"/>
      <c r="AM507" s="33"/>
      <c r="AN507" s="33"/>
      <c r="AO507" s="33"/>
    </row>
    <row r="508" spans="1:41" ht="90">
      <c r="A508" s="14"/>
      <c r="B508" s="14"/>
      <c r="C508" s="14" t="s">
        <v>2234</v>
      </c>
      <c r="D508" s="46" t="s">
        <v>61</v>
      </c>
      <c r="E508" s="111" t="str">
        <f>VLOOKUP(C508,KELAS!$A$2:$D$643,4,0)</f>
        <v>6 MADINAH</v>
      </c>
      <c r="F508" s="14"/>
      <c r="G508" s="14"/>
      <c r="H508" s="43" t="s">
        <v>1082</v>
      </c>
      <c r="I508" s="50">
        <v>1450000</v>
      </c>
      <c r="J508" s="89">
        <v>45991</v>
      </c>
      <c r="K508" s="90">
        <v>0.24960648148148148</v>
      </c>
      <c r="L508" s="49">
        <f t="shared" si="22"/>
        <v>0</v>
      </c>
      <c r="M508" s="17">
        <f t="shared" si="23"/>
        <v>-1450000</v>
      </c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  <c r="AD508" s="33"/>
      <c r="AE508" s="33"/>
      <c r="AF508" s="33"/>
      <c r="AG508" s="33"/>
      <c r="AH508" s="33"/>
      <c r="AI508" s="33"/>
      <c r="AJ508" s="33"/>
      <c r="AK508" s="33"/>
      <c r="AL508" s="33"/>
      <c r="AM508" s="33"/>
      <c r="AN508" s="33"/>
      <c r="AO508" s="33"/>
    </row>
    <row r="509" spans="1:41" ht="105">
      <c r="A509" s="14"/>
      <c r="B509" s="14"/>
      <c r="C509" s="14" t="s">
        <v>1764</v>
      </c>
      <c r="D509" s="46" t="s">
        <v>61</v>
      </c>
      <c r="E509" s="111" t="str">
        <f>VLOOKUP(C509,KELAS!$A$2:$D$643,4,0)</f>
        <v>3 MINA</v>
      </c>
      <c r="F509" s="14"/>
      <c r="G509" s="14"/>
      <c r="H509" s="43" t="s">
        <v>1084</v>
      </c>
      <c r="I509" s="50">
        <v>1450000</v>
      </c>
      <c r="J509" s="89">
        <v>45991</v>
      </c>
      <c r="K509" s="90">
        <v>0.2779861111111111</v>
      </c>
      <c r="L509" s="49">
        <f t="shared" si="22"/>
        <v>0</v>
      </c>
      <c r="M509" s="17">
        <f t="shared" si="23"/>
        <v>-1450000</v>
      </c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  <c r="AE509" s="33"/>
      <c r="AF509" s="33"/>
      <c r="AG509" s="33"/>
      <c r="AH509" s="33"/>
      <c r="AI509" s="33"/>
      <c r="AJ509" s="33"/>
      <c r="AK509" s="33"/>
      <c r="AL509" s="33"/>
      <c r="AM509" s="33"/>
      <c r="AN509" s="33"/>
      <c r="AO509" s="33"/>
    </row>
    <row r="510" spans="1:41" ht="105">
      <c r="A510" s="14"/>
      <c r="B510" s="14"/>
      <c r="C510" s="14" t="s">
        <v>1124</v>
      </c>
      <c r="D510" s="46" t="s">
        <v>61</v>
      </c>
      <c r="E510" s="111" t="str">
        <f>VLOOKUP(C510,KELAS!$A$2:$D$643,4,0)</f>
        <v>1 MEKKAH</v>
      </c>
      <c r="F510" s="14"/>
      <c r="G510" s="14"/>
      <c r="H510" s="43" t="s">
        <v>1086</v>
      </c>
      <c r="I510" s="50">
        <v>1617000</v>
      </c>
      <c r="J510" s="89">
        <v>45991</v>
      </c>
      <c r="K510" s="90">
        <v>0.40190972222222221</v>
      </c>
      <c r="L510" s="49">
        <f t="shared" si="22"/>
        <v>0</v>
      </c>
      <c r="M510" s="17">
        <f t="shared" si="23"/>
        <v>-1617000</v>
      </c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  <c r="AD510" s="33"/>
      <c r="AE510" s="33"/>
      <c r="AF510" s="33"/>
      <c r="AG510" s="33"/>
      <c r="AH510" s="33"/>
      <c r="AI510" s="33"/>
      <c r="AJ510" s="33"/>
      <c r="AK510" s="33"/>
      <c r="AL510" s="33"/>
      <c r="AM510" s="33"/>
      <c r="AN510" s="33"/>
      <c r="AO510" s="33"/>
    </row>
    <row r="511" spans="1:41" ht="105">
      <c r="A511" s="14"/>
      <c r="B511" s="14"/>
      <c r="C511" s="14" t="s">
        <v>1542</v>
      </c>
      <c r="D511" s="46" t="s">
        <v>61</v>
      </c>
      <c r="E511" s="111" t="str">
        <f>VLOOKUP(C511,KELAS!$A$2:$D$643,4,0)</f>
        <v>2 MARWAH</v>
      </c>
      <c r="F511" s="14"/>
      <c r="G511" s="14"/>
      <c r="H511" s="43" t="s">
        <v>1088</v>
      </c>
      <c r="I511" s="50">
        <v>1540000</v>
      </c>
      <c r="J511" s="89">
        <v>45991</v>
      </c>
      <c r="K511" s="90">
        <v>0.41280092592592593</v>
      </c>
      <c r="L511" s="49">
        <f t="shared" si="22"/>
        <v>0</v>
      </c>
      <c r="M511" s="17">
        <f t="shared" si="23"/>
        <v>-1540000</v>
      </c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  <c r="AD511" s="33"/>
      <c r="AE511" s="33"/>
      <c r="AF511" s="33"/>
      <c r="AG511" s="33"/>
      <c r="AH511" s="33"/>
      <c r="AI511" s="33"/>
      <c r="AJ511" s="33"/>
      <c r="AK511" s="33"/>
      <c r="AL511" s="33"/>
      <c r="AM511" s="33"/>
      <c r="AN511" s="33"/>
      <c r="AO511" s="33"/>
    </row>
    <row r="512" spans="1:41" ht="90">
      <c r="A512" s="14"/>
      <c r="B512" s="14"/>
      <c r="C512" s="14" t="s">
        <v>1788</v>
      </c>
      <c r="D512" s="46" t="s">
        <v>61</v>
      </c>
      <c r="E512" s="111" t="str">
        <f>VLOOKUP(C512,KELAS!$A$2:$D$643,4,0)</f>
        <v>3 MARWAH</v>
      </c>
      <c r="F512" s="14"/>
      <c r="G512" s="14"/>
      <c r="H512" s="43" t="s">
        <v>90</v>
      </c>
      <c r="I512" s="50">
        <v>1400000</v>
      </c>
      <c r="J512" s="89">
        <v>45991</v>
      </c>
      <c r="K512" s="90">
        <v>0.47738425925925926</v>
      </c>
      <c r="L512" s="49">
        <f t="shared" si="22"/>
        <v>0</v>
      </c>
      <c r="M512" s="17">
        <f t="shared" si="23"/>
        <v>-1400000</v>
      </c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  <c r="AD512" s="33"/>
      <c r="AE512" s="33"/>
      <c r="AF512" s="33"/>
      <c r="AG512" s="33"/>
      <c r="AH512" s="33"/>
      <c r="AI512" s="33"/>
      <c r="AJ512" s="33"/>
      <c r="AK512" s="33"/>
      <c r="AL512" s="33"/>
      <c r="AM512" s="33"/>
      <c r="AN512" s="33"/>
      <c r="AO512" s="33"/>
    </row>
    <row r="513" spans="1:41" ht="90">
      <c r="A513" s="14"/>
      <c r="B513" s="14"/>
      <c r="C513" s="14" t="s">
        <v>1279</v>
      </c>
      <c r="D513" s="46" t="s">
        <v>61</v>
      </c>
      <c r="E513" s="111" t="str">
        <f>VLOOKUP(C513,KELAS!$A$2:$D$643,4,0)</f>
        <v>1 MINA</v>
      </c>
      <c r="F513" s="14"/>
      <c r="G513" s="14"/>
      <c r="H513" s="43" t="s">
        <v>136</v>
      </c>
      <c r="I513" s="50">
        <v>1617000</v>
      </c>
      <c r="J513" s="89">
        <v>45991</v>
      </c>
      <c r="K513" s="90">
        <v>0.47901620370370368</v>
      </c>
      <c r="L513" s="49">
        <f t="shared" si="22"/>
        <v>0</v>
      </c>
      <c r="M513" s="17">
        <f t="shared" si="23"/>
        <v>-1617000</v>
      </c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  <c r="AD513" s="33"/>
      <c r="AE513" s="33"/>
      <c r="AF513" s="33"/>
      <c r="AG513" s="33"/>
      <c r="AH513" s="33"/>
      <c r="AI513" s="33"/>
      <c r="AJ513" s="33"/>
      <c r="AK513" s="33"/>
      <c r="AL513" s="33"/>
      <c r="AM513" s="33"/>
      <c r="AN513" s="33"/>
      <c r="AO513" s="33"/>
    </row>
    <row r="514" spans="1:41" ht="120">
      <c r="A514" s="14"/>
      <c r="B514" s="14"/>
      <c r="C514" s="14" t="s">
        <v>1595</v>
      </c>
      <c r="D514" s="46" t="s">
        <v>61</v>
      </c>
      <c r="E514" s="111" t="str">
        <f>VLOOKUP(C514,KELAS!$A$2:$D$643,4,0)</f>
        <v>2 MARWAH</v>
      </c>
      <c r="F514" s="14"/>
      <c r="G514" s="14"/>
      <c r="H514" s="43" t="s">
        <v>1092</v>
      </c>
      <c r="I514" s="50">
        <v>1540000</v>
      </c>
      <c r="J514" s="89">
        <v>45991</v>
      </c>
      <c r="K514" s="90">
        <v>0.50940972222222225</v>
      </c>
      <c r="L514" s="49">
        <f t="shared" si="22"/>
        <v>0</v>
      </c>
      <c r="M514" s="17">
        <f t="shared" si="23"/>
        <v>-1540000</v>
      </c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  <c r="AD514" s="33"/>
      <c r="AE514" s="33"/>
      <c r="AF514" s="33"/>
      <c r="AG514" s="33"/>
      <c r="AH514" s="33"/>
      <c r="AI514" s="33"/>
      <c r="AJ514" s="33"/>
      <c r="AK514" s="33"/>
      <c r="AL514" s="33"/>
      <c r="AM514" s="33"/>
      <c r="AN514" s="33"/>
      <c r="AO514" s="33"/>
    </row>
    <row r="515" spans="1:41" ht="105">
      <c r="A515" s="14"/>
      <c r="B515" s="14"/>
      <c r="C515" s="14" t="s">
        <v>1977</v>
      </c>
      <c r="D515" s="46" t="s">
        <v>61</v>
      </c>
      <c r="E515" s="111" t="str">
        <f>VLOOKUP(C515,KELAS!$A$2:$D$643,4,0)</f>
        <v>4 MINA</v>
      </c>
      <c r="F515" s="14"/>
      <c r="G515" s="14"/>
      <c r="H515" s="43" t="s">
        <v>1094</v>
      </c>
      <c r="I515" s="50">
        <v>1400000</v>
      </c>
      <c r="J515" s="89">
        <v>45991</v>
      </c>
      <c r="K515" s="90">
        <v>0.51004629629629628</v>
      </c>
      <c r="L515" s="49">
        <f t="shared" si="22"/>
        <v>0</v>
      </c>
      <c r="M515" s="17">
        <f t="shared" si="23"/>
        <v>-1400000</v>
      </c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  <c r="AD515" s="33"/>
      <c r="AE515" s="33"/>
      <c r="AF515" s="33"/>
      <c r="AG515" s="33"/>
      <c r="AH515" s="33"/>
      <c r="AI515" s="33"/>
      <c r="AJ515" s="33"/>
      <c r="AK515" s="33"/>
      <c r="AL515" s="33"/>
      <c r="AM515" s="33"/>
      <c r="AN515" s="33"/>
      <c r="AO515" s="33"/>
    </row>
    <row r="516" spans="1:41" ht="90">
      <c r="A516" s="14"/>
      <c r="B516" s="14"/>
      <c r="C516" s="14" t="s">
        <v>2319</v>
      </c>
      <c r="D516" s="46" t="s">
        <v>61</v>
      </c>
      <c r="E516" s="111" t="e">
        <f>VLOOKUP(C516,KELAS!$A$2:$D$643,4,0)</f>
        <v>#N/A</v>
      </c>
      <c r="F516" s="14"/>
      <c r="G516" s="14"/>
      <c r="H516" s="43" t="s">
        <v>1096</v>
      </c>
      <c r="I516" s="50">
        <v>1400000</v>
      </c>
      <c r="J516" s="89">
        <v>45991</v>
      </c>
      <c r="K516" s="90">
        <v>0.57946759259259262</v>
      </c>
      <c r="L516" s="49">
        <f t="shared" si="22"/>
        <v>0</v>
      </c>
      <c r="M516" s="17">
        <f t="shared" si="23"/>
        <v>-1400000</v>
      </c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  <c r="AD516" s="33"/>
      <c r="AE516" s="33"/>
      <c r="AF516" s="33"/>
      <c r="AG516" s="33"/>
      <c r="AH516" s="33"/>
      <c r="AI516" s="33"/>
      <c r="AJ516" s="33"/>
      <c r="AK516" s="33"/>
      <c r="AL516" s="33"/>
      <c r="AM516" s="33"/>
      <c r="AN516" s="33"/>
      <c r="AO516" s="33"/>
    </row>
    <row r="517" spans="1:41" ht="90">
      <c r="A517" s="14"/>
      <c r="B517" s="14"/>
      <c r="C517" s="14" t="s">
        <v>2387</v>
      </c>
      <c r="D517" s="46" t="s">
        <v>61</v>
      </c>
      <c r="E517" s="111" t="e">
        <f>VLOOKUP(C517,KELAS!$A$2:$D$643,4,0)</f>
        <v>#N/A</v>
      </c>
      <c r="F517" s="14"/>
      <c r="G517" s="14"/>
      <c r="H517" s="43" t="s">
        <v>1098</v>
      </c>
      <c r="I517" s="50">
        <v>1400000</v>
      </c>
      <c r="J517" s="89">
        <v>45991</v>
      </c>
      <c r="K517" s="90">
        <v>0.76950231481481479</v>
      </c>
      <c r="L517" s="49">
        <f t="shared" si="22"/>
        <v>0</v>
      </c>
      <c r="M517" s="17">
        <f t="shared" si="23"/>
        <v>-1400000</v>
      </c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  <c r="AE517" s="33"/>
      <c r="AF517" s="33"/>
      <c r="AG517" s="33"/>
      <c r="AH517" s="33"/>
      <c r="AI517" s="33"/>
      <c r="AJ517" s="33"/>
      <c r="AK517" s="33"/>
      <c r="AL517" s="33"/>
      <c r="AM517" s="33"/>
      <c r="AN517" s="33"/>
      <c r="AO517" s="33"/>
    </row>
    <row r="518" spans="1:41" ht="90">
      <c r="A518" s="14"/>
      <c r="B518" s="14"/>
      <c r="C518" s="14" t="s">
        <v>1735</v>
      </c>
      <c r="D518" s="46" t="s">
        <v>61</v>
      </c>
      <c r="E518" s="111" t="str">
        <f>VLOOKUP(C518,KELAS!$A$2:$D$643,4,0)</f>
        <v>3 MINA</v>
      </c>
      <c r="F518" s="14"/>
      <c r="G518" s="14"/>
      <c r="H518" s="43" t="s">
        <v>78</v>
      </c>
      <c r="I518" s="50">
        <v>1450000</v>
      </c>
      <c r="J518" s="89">
        <v>45991</v>
      </c>
      <c r="K518" s="90">
        <v>0.8936574074074074</v>
      </c>
      <c r="L518" s="49">
        <f t="shared" si="22"/>
        <v>0</v>
      </c>
      <c r="M518" s="17">
        <f t="shared" si="23"/>
        <v>-1450000</v>
      </c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  <c r="AD518" s="33"/>
      <c r="AE518" s="33"/>
      <c r="AF518" s="33"/>
      <c r="AG518" s="33"/>
      <c r="AH518" s="33"/>
      <c r="AI518" s="33"/>
      <c r="AJ518" s="33"/>
      <c r="AK518" s="33"/>
      <c r="AL518" s="33"/>
      <c r="AM518" s="33"/>
      <c r="AN518" s="33"/>
      <c r="AO518" s="33"/>
    </row>
    <row r="519" spans="1:41" ht="120">
      <c r="A519" s="14"/>
      <c r="B519" s="14"/>
      <c r="C519" s="14" t="s">
        <v>2388</v>
      </c>
      <c r="D519" s="46" t="s">
        <v>61</v>
      </c>
      <c r="E519" s="111" t="e">
        <f>VLOOKUP(C519,KELAS!$A$2:$D$643,4,0)</f>
        <v>#N/A</v>
      </c>
      <c r="F519" s="14"/>
      <c r="G519" s="14"/>
      <c r="H519" s="43" t="s">
        <v>1101</v>
      </c>
      <c r="I519" s="50">
        <v>1617000</v>
      </c>
      <c r="J519" s="89">
        <v>45991</v>
      </c>
      <c r="K519" s="90">
        <v>0.97062499999999996</v>
      </c>
      <c r="L519" s="49">
        <f t="shared" si="22"/>
        <v>0</v>
      </c>
      <c r="M519" s="17">
        <f t="shared" si="23"/>
        <v>-1617000</v>
      </c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  <c r="AD519" s="33"/>
      <c r="AE519" s="33"/>
      <c r="AF519" s="33"/>
      <c r="AG519" s="33"/>
      <c r="AH519" s="33"/>
      <c r="AI519" s="33"/>
      <c r="AJ519" s="33"/>
      <c r="AK519" s="33"/>
      <c r="AL519" s="33"/>
      <c r="AM519" s="33"/>
      <c r="AN519" s="33"/>
      <c r="AO519" s="33"/>
    </row>
    <row r="520" spans="1:41">
      <c r="A520" s="14"/>
      <c r="B520" s="14"/>
      <c r="C520" s="14"/>
      <c r="D520" s="46" t="s">
        <v>61</v>
      </c>
      <c r="E520" s="111" t="e">
        <f>VLOOKUP(C520,KELAS!$A$2:$D$643,4,0)</f>
        <v>#N/A</v>
      </c>
      <c r="F520" s="14"/>
      <c r="G520" s="14"/>
      <c r="H520" s="43"/>
      <c r="I520" s="50"/>
      <c r="J520" s="47"/>
      <c r="K520" s="48"/>
      <c r="L520" s="49">
        <f t="shared" si="22"/>
        <v>0</v>
      </c>
      <c r="M520" s="17">
        <f t="shared" si="23"/>
        <v>0</v>
      </c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  <c r="AD520" s="33"/>
      <c r="AE520" s="33"/>
      <c r="AF520" s="33"/>
      <c r="AG520" s="33"/>
      <c r="AH520" s="33"/>
      <c r="AI520" s="33"/>
      <c r="AJ520" s="33"/>
      <c r="AK520" s="33"/>
      <c r="AL520" s="33"/>
      <c r="AM520" s="33"/>
      <c r="AN520" s="33"/>
      <c r="AO520" s="33"/>
    </row>
    <row r="521" spans="1:41">
      <c r="A521" s="14"/>
      <c r="B521" s="14"/>
      <c r="C521" s="14"/>
      <c r="D521" s="46" t="s">
        <v>61</v>
      </c>
      <c r="E521" s="111" t="e">
        <f>VLOOKUP(C521,KELAS!$A$2:$D$643,4,0)</f>
        <v>#N/A</v>
      </c>
      <c r="F521" s="14"/>
      <c r="G521" s="14"/>
      <c r="H521" s="43"/>
      <c r="I521" s="50"/>
      <c r="J521" s="47"/>
      <c r="K521" s="48"/>
      <c r="L521" s="49">
        <f t="shared" si="22"/>
        <v>0</v>
      </c>
      <c r="M521" s="17">
        <f t="shared" si="23"/>
        <v>0</v>
      </c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  <c r="AD521" s="33"/>
      <c r="AE521" s="33"/>
      <c r="AF521" s="33"/>
      <c r="AG521" s="33"/>
      <c r="AH521" s="33"/>
      <c r="AI521" s="33"/>
      <c r="AJ521" s="33"/>
      <c r="AK521" s="33"/>
      <c r="AL521" s="33"/>
      <c r="AM521" s="33"/>
      <c r="AN521" s="33"/>
      <c r="AO521" s="33"/>
    </row>
    <row r="522" spans="1:41">
      <c r="A522" s="14"/>
      <c r="B522" s="14"/>
      <c r="C522" s="14"/>
      <c r="D522" s="46" t="s">
        <v>61</v>
      </c>
      <c r="E522" s="111" t="e">
        <f>VLOOKUP(C522,KELAS!$A$2:$D$643,4,0)</f>
        <v>#N/A</v>
      </c>
      <c r="F522" s="14"/>
      <c r="G522" s="14"/>
      <c r="H522" s="43"/>
      <c r="I522" s="50"/>
      <c r="J522" s="47"/>
      <c r="K522" s="48"/>
      <c r="L522" s="49">
        <f t="shared" si="22"/>
        <v>0</v>
      </c>
      <c r="M522" s="17">
        <f t="shared" si="23"/>
        <v>0</v>
      </c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  <c r="AC522" s="33"/>
      <c r="AD522" s="33"/>
      <c r="AE522" s="33"/>
      <c r="AF522" s="33"/>
      <c r="AG522" s="33"/>
      <c r="AH522" s="33"/>
      <c r="AI522" s="33"/>
      <c r="AJ522" s="33"/>
      <c r="AK522" s="33"/>
      <c r="AL522" s="33"/>
      <c r="AM522" s="33"/>
      <c r="AN522" s="33"/>
      <c r="AO522" s="33"/>
    </row>
    <row r="523" spans="1:41">
      <c r="A523" s="14"/>
      <c r="B523" s="14"/>
      <c r="C523" s="14"/>
      <c r="D523" s="46" t="s">
        <v>61</v>
      </c>
      <c r="E523" s="111" t="e">
        <f>VLOOKUP(C523,KELAS!$A$2:$D$643,4,0)</f>
        <v>#N/A</v>
      </c>
      <c r="F523" s="14"/>
      <c r="G523" s="14"/>
      <c r="H523" s="43"/>
      <c r="I523" s="50"/>
      <c r="J523" s="47"/>
      <c r="K523" s="48"/>
      <c r="L523" s="49">
        <f t="shared" si="22"/>
        <v>0</v>
      </c>
      <c r="M523" s="17">
        <f t="shared" si="23"/>
        <v>0</v>
      </c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  <c r="AD523" s="33"/>
      <c r="AE523" s="33"/>
      <c r="AF523" s="33"/>
      <c r="AG523" s="33"/>
      <c r="AH523" s="33"/>
      <c r="AI523" s="33"/>
      <c r="AJ523" s="33"/>
      <c r="AK523" s="33"/>
      <c r="AL523" s="33"/>
      <c r="AM523" s="33"/>
      <c r="AN523" s="33"/>
      <c r="AO523" s="33"/>
    </row>
    <row r="524" spans="1:41">
      <c r="A524" s="14"/>
      <c r="B524" s="14"/>
      <c r="C524" s="14"/>
      <c r="D524" s="46" t="s">
        <v>61</v>
      </c>
      <c r="E524" s="111" t="e">
        <f>VLOOKUP(C524,KELAS!$A$2:$D$643,4,0)</f>
        <v>#N/A</v>
      </c>
      <c r="F524" s="14"/>
      <c r="G524" s="14"/>
      <c r="H524" s="43"/>
      <c r="I524" s="50"/>
      <c r="J524" s="47"/>
      <c r="K524" s="48"/>
      <c r="L524" s="49">
        <f t="shared" si="22"/>
        <v>0</v>
      </c>
      <c r="M524" s="17">
        <f t="shared" si="23"/>
        <v>0</v>
      </c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  <c r="AC524" s="33"/>
      <c r="AD524" s="33"/>
      <c r="AE524" s="33"/>
      <c r="AF524" s="33"/>
      <c r="AG524" s="33"/>
      <c r="AH524" s="33"/>
      <c r="AI524" s="33"/>
      <c r="AJ524" s="33"/>
      <c r="AK524" s="33"/>
      <c r="AL524" s="33"/>
      <c r="AM524" s="33"/>
      <c r="AN524" s="33"/>
      <c r="AO524" s="33"/>
    </row>
    <row r="525" spans="1:41">
      <c r="A525" s="14"/>
      <c r="B525" s="14"/>
      <c r="C525" s="14"/>
      <c r="D525" s="46" t="s">
        <v>61</v>
      </c>
      <c r="E525" s="111" t="e">
        <f>VLOOKUP(C525,KELAS!$A$2:$D$643,4,0)</f>
        <v>#N/A</v>
      </c>
      <c r="F525" s="14"/>
      <c r="G525" s="14"/>
      <c r="H525" s="43"/>
      <c r="I525" s="50"/>
      <c r="J525" s="47"/>
      <c r="K525" s="48"/>
      <c r="L525" s="49">
        <f t="shared" si="22"/>
        <v>0</v>
      </c>
      <c r="M525" s="17">
        <f t="shared" si="23"/>
        <v>0</v>
      </c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  <c r="AD525" s="33"/>
      <c r="AE525" s="33"/>
      <c r="AF525" s="33"/>
      <c r="AG525" s="33"/>
      <c r="AH525" s="33"/>
      <c r="AI525" s="33"/>
      <c r="AJ525" s="33"/>
      <c r="AK525" s="33"/>
      <c r="AL525" s="33"/>
      <c r="AM525" s="33"/>
      <c r="AN525" s="33"/>
      <c r="AO525" s="33"/>
    </row>
    <row r="526" spans="1:41">
      <c r="A526" s="14"/>
      <c r="B526" s="14"/>
      <c r="C526" s="14"/>
      <c r="D526" s="46" t="s">
        <v>61</v>
      </c>
      <c r="E526" s="111" t="e">
        <f>VLOOKUP(C526,KELAS!$A$2:$D$643,4,0)</f>
        <v>#N/A</v>
      </c>
      <c r="F526" s="14"/>
      <c r="G526" s="14"/>
      <c r="H526" s="43"/>
      <c r="I526" s="50"/>
      <c r="J526" s="47"/>
      <c r="K526" s="48"/>
      <c r="L526" s="49">
        <f t="shared" si="22"/>
        <v>0</v>
      </c>
      <c r="M526" s="17">
        <f t="shared" si="23"/>
        <v>0</v>
      </c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  <c r="AC526" s="33"/>
      <c r="AD526" s="33"/>
      <c r="AE526" s="33"/>
      <c r="AF526" s="33"/>
      <c r="AG526" s="33"/>
      <c r="AH526" s="33"/>
      <c r="AI526" s="33"/>
      <c r="AJ526" s="33"/>
      <c r="AK526" s="33"/>
      <c r="AL526" s="33"/>
      <c r="AM526" s="33"/>
      <c r="AN526" s="33"/>
      <c r="AO526" s="33"/>
    </row>
    <row r="527" spans="1:41">
      <c r="A527" s="14"/>
      <c r="B527" s="14"/>
      <c r="C527" s="14"/>
      <c r="D527" s="46" t="s">
        <v>61</v>
      </c>
      <c r="E527" s="111" t="e">
        <f>VLOOKUP(C527,KELAS!$A$2:$D$643,4,0)</f>
        <v>#N/A</v>
      </c>
      <c r="F527" s="14"/>
      <c r="G527" s="14"/>
      <c r="H527" s="43"/>
      <c r="I527" s="50"/>
      <c r="J527" s="47"/>
      <c r="K527" s="48"/>
      <c r="L527" s="49">
        <f t="shared" si="22"/>
        <v>0</v>
      </c>
      <c r="M527" s="17">
        <f t="shared" si="23"/>
        <v>0</v>
      </c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  <c r="AD527" s="33"/>
      <c r="AE527" s="33"/>
      <c r="AF527" s="33"/>
      <c r="AG527" s="33"/>
      <c r="AH527" s="33"/>
      <c r="AI527" s="33"/>
      <c r="AJ527" s="33"/>
      <c r="AK527" s="33"/>
      <c r="AL527" s="33"/>
      <c r="AM527" s="33"/>
      <c r="AN527" s="33"/>
      <c r="AO527" s="33"/>
    </row>
    <row r="528" spans="1:41">
      <c r="A528" s="14"/>
      <c r="B528" s="14"/>
      <c r="C528" s="14"/>
      <c r="D528" s="46" t="s">
        <v>61</v>
      </c>
      <c r="E528" s="111" t="e">
        <f>VLOOKUP(C528,KELAS!$A$2:$D$643,4,0)</f>
        <v>#N/A</v>
      </c>
      <c r="F528" s="14"/>
      <c r="G528" s="14"/>
      <c r="H528" s="43"/>
      <c r="I528" s="50"/>
      <c r="J528" s="47"/>
      <c r="K528" s="48"/>
      <c r="L528" s="49">
        <f t="shared" si="22"/>
        <v>0</v>
      </c>
      <c r="M528" s="17">
        <f t="shared" si="23"/>
        <v>0</v>
      </c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  <c r="AD528" s="33"/>
      <c r="AE528" s="33"/>
      <c r="AF528" s="33"/>
      <c r="AG528" s="33"/>
      <c r="AH528" s="33"/>
      <c r="AI528" s="33"/>
      <c r="AJ528" s="33"/>
      <c r="AK528" s="33"/>
      <c r="AL528" s="33"/>
      <c r="AM528" s="33"/>
      <c r="AN528" s="33"/>
      <c r="AO528" s="33"/>
    </row>
    <row r="529" spans="1:41">
      <c r="A529" s="14"/>
      <c r="B529" s="14"/>
      <c r="C529" s="14"/>
      <c r="D529" s="46" t="s">
        <v>61</v>
      </c>
      <c r="E529" s="111" t="e">
        <f>VLOOKUP(C529,KELAS!$A$2:$D$643,4,0)</f>
        <v>#N/A</v>
      </c>
      <c r="F529" s="14"/>
      <c r="G529" s="14"/>
      <c r="H529" s="43"/>
      <c r="I529" s="50"/>
      <c r="J529" s="47"/>
      <c r="K529" s="48"/>
      <c r="L529" s="49">
        <f t="shared" si="22"/>
        <v>0</v>
      </c>
      <c r="M529" s="17">
        <f t="shared" si="23"/>
        <v>0</v>
      </c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  <c r="AC529" s="33"/>
      <c r="AD529" s="33"/>
      <c r="AE529" s="33"/>
      <c r="AF529" s="33"/>
      <c r="AG529" s="33"/>
      <c r="AH529" s="33"/>
      <c r="AI529" s="33"/>
      <c r="AJ529" s="33"/>
      <c r="AK529" s="33"/>
      <c r="AL529" s="33"/>
      <c r="AM529" s="33"/>
      <c r="AN529" s="33"/>
      <c r="AO529" s="33"/>
    </row>
    <row r="530" spans="1:41">
      <c r="A530" s="14"/>
      <c r="B530" s="14"/>
      <c r="C530" s="14"/>
      <c r="D530" s="46" t="s">
        <v>61</v>
      </c>
      <c r="E530" s="111" t="e">
        <f>VLOOKUP(C530,KELAS!$A$2:$D$643,4,0)</f>
        <v>#N/A</v>
      </c>
      <c r="F530" s="14"/>
      <c r="G530" s="14"/>
      <c r="H530" s="43"/>
      <c r="I530" s="50"/>
      <c r="J530" s="47"/>
      <c r="K530" s="48"/>
      <c r="L530" s="49">
        <f t="shared" si="22"/>
        <v>0</v>
      </c>
      <c r="M530" s="17">
        <f t="shared" si="23"/>
        <v>0</v>
      </c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  <c r="AC530" s="33"/>
      <c r="AD530" s="33"/>
      <c r="AE530" s="33"/>
      <c r="AF530" s="33"/>
      <c r="AG530" s="33"/>
      <c r="AH530" s="33"/>
      <c r="AI530" s="33"/>
      <c r="AJ530" s="33"/>
      <c r="AK530" s="33"/>
      <c r="AL530" s="33"/>
      <c r="AM530" s="33"/>
      <c r="AN530" s="33"/>
      <c r="AO530" s="33"/>
    </row>
    <row r="531" spans="1:41">
      <c r="A531" s="14"/>
      <c r="B531" s="14"/>
      <c r="C531" s="14"/>
      <c r="D531" s="46" t="s">
        <v>61</v>
      </c>
      <c r="E531" s="111" t="e">
        <f>VLOOKUP(C531,KELAS!$A$2:$D$643,4,0)</f>
        <v>#N/A</v>
      </c>
      <c r="F531" s="14"/>
      <c r="G531" s="14"/>
      <c r="H531" s="43"/>
      <c r="I531" s="50"/>
      <c r="J531" s="47"/>
      <c r="K531" s="48"/>
      <c r="L531" s="49">
        <f t="shared" si="22"/>
        <v>0</v>
      </c>
      <c r="M531" s="17">
        <f t="shared" si="23"/>
        <v>0</v>
      </c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  <c r="AD531" s="33"/>
      <c r="AE531" s="33"/>
      <c r="AF531" s="33"/>
      <c r="AG531" s="33"/>
      <c r="AH531" s="33"/>
      <c r="AI531" s="33"/>
      <c r="AJ531" s="33"/>
      <c r="AK531" s="33"/>
      <c r="AL531" s="33"/>
      <c r="AM531" s="33"/>
      <c r="AN531" s="33"/>
      <c r="AO531" s="33"/>
    </row>
    <row r="532" spans="1:41">
      <c r="A532" s="14"/>
      <c r="B532" s="14"/>
      <c r="C532" s="14"/>
      <c r="D532" s="46" t="s">
        <v>61</v>
      </c>
      <c r="E532" s="111" t="e">
        <f>VLOOKUP(C532,KELAS!$A$2:$D$643,4,0)</f>
        <v>#N/A</v>
      </c>
      <c r="F532" s="14"/>
      <c r="G532" s="14"/>
      <c r="H532" s="43"/>
      <c r="I532" s="50"/>
      <c r="J532" s="47"/>
      <c r="K532" s="48"/>
      <c r="L532" s="49">
        <f t="shared" si="22"/>
        <v>0</v>
      </c>
      <c r="M532" s="17">
        <f t="shared" si="23"/>
        <v>0</v>
      </c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  <c r="AD532" s="33"/>
      <c r="AE532" s="33"/>
      <c r="AF532" s="33"/>
      <c r="AG532" s="33"/>
      <c r="AH532" s="33"/>
      <c r="AI532" s="33"/>
      <c r="AJ532" s="33"/>
      <c r="AK532" s="33"/>
      <c r="AL532" s="33"/>
      <c r="AM532" s="33"/>
      <c r="AN532" s="33"/>
      <c r="AO532" s="33"/>
    </row>
    <row r="533" spans="1:41">
      <c r="A533" s="14"/>
      <c r="B533" s="14"/>
      <c r="C533" s="14"/>
      <c r="D533" s="46" t="s">
        <v>61</v>
      </c>
      <c r="E533" s="111" t="e">
        <f>VLOOKUP(C533,KELAS!$A$2:$D$643,4,0)</f>
        <v>#N/A</v>
      </c>
      <c r="F533" s="14"/>
      <c r="G533" s="14"/>
      <c r="H533" s="43"/>
      <c r="I533" s="50"/>
      <c r="J533" s="47"/>
      <c r="K533" s="48"/>
      <c r="L533" s="49">
        <f t="shared" si="22"/>
        <v>0</v>
      </c>
      <c r="M533" s="17">
        <f t="shared" si="23"/>
        <v>0</v>
      </c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  <c r="AD533" s="33"/>
      <c r="AE533" s="33"/>
      <c r="AF533" s="33"/>
      <c r="AG533" s="33"/>
      <c r="AH533" s="33"/>
      <c r="AI533" s="33"/>
      <c r="AJ533" s="33"/>
      <c r="AK533" s="33"/>
      <c r="AL533" s="33"/>
      <c r="AM533" s="33"/>
      <c r="AN533" s="33"/>
      <c r="AO533" s="33"/>
    </row>
    <row r="534" spans="1:41">
      <c r="A534" s="14"/>
      <c r="B534" s="14"/>
      <c r="C534" s="14"/>
      <c r="D534" s="46" t="s">
        <v>61</v>
      </c>
      <c r="E534" s="111" t="e">
        <f>VLOOKUP(C534,KELAS!$A$2:$D$643,4,0)</f>
        <v>#N/A</v>
      </c>
      <c r="F534" s="14"/>
      <c r="G534" s="14"/>
      <c r="H534" s="43"/>
      <c r="I534" s="50"/>
      <c r="J534" s="47"/>
      <c r="K534" s="48"/>
      <c r="L534" s="49">
        <f t="shared" si="22"/>
        <v>0</v>
      </c>
      <c r="M534" s="17">
        <f t="shared" si="23"/>
        <v>0</v>
      </c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  <c r="AC534" s="33"/>
      <c r="AD534" s="33"/>
      <c r="AE534" s="33"/>
      <c r="AF534" s="33"/>
      <c r="AG534" s="33"/>
      <c r="AH534" s="33"/>
      <c r="AI534" s="33"/>
      <c r="AJ534" s="33"/>
      <c r="AK534" s="33"/>
      <c r="AL534" s="33"/>
      <c r="AM534" s="33"/>
      <c r="AN534" s="33"/>
      <c r="AO534" s="33"/>
    </row>
    <row r="535" spans="1:41">
      <c r="A535" s="14"/>
      <c r="B535" s="14"/>
      <c r="C535" s="14"/>
      <c r="D535" s="46" t="s">
        <v>61</v>
      </c>
      <c r="E535" s="111" t="e">
        <f>VLOOKUP(C535,KELAS!$A$2:$D$643,4,0)</f>
        <v>#N/A</v>
      </c>
      <c r="F535" s="14"/>
      <c r="G535" s="14"/>
      <c r="H535" s="43"/>
      <c r="I535" s="50"/>
      <c r="J535" s="47"/>
      <c r="K535" s="48"/>
      <c r="L535" s="49">
        <f t="shared" si="22"/>
        <v>0</v>
      </c>
      <c r="M535" s="17">
        <f t="shared" si="23"/>
        <v>0</v>
      </c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  <c r="AD535" s="33"/>
      <c r="AE535" s="33"/>
      <c r="AF535" s="33"/>
      <c r="AG535" s="33"/>
      <c r="AH535" s="33"/>
      <c r="AI535" s="33"/>
      <c r="AJ535" s="33"/>
      <c r="AK535" s="33"/>
      <c r="AL535" s="33"/>
      <c r="AM535" s="33"/>
      <c r="AN535" s="33"/>
      <c r="AO535" s="33"/>
    </row>
    <row r="536" spans="1:41">
      <c r="A536" s="14"/>
      <c r="B536" s="14"/>
      <c r="C536" s="14"/>
      <c r="D536" s="46" t="s">
        <v>61</v>
      </c>
      <c r="E536" s="111" t="e">
        <f>VLOOKUP(C536,KELAS!$A$2:$D$643,4,0)</f>
        <v>#N/A</v>
      </c>
      <c r="F536" s="14"/>
      <c r="G536" s="14"/>
      <c r="H536" s="43"/>
      <c r="I536" s="50"/>
      <c r="J536" s="47"/>
      <c r="K536" s="48"/>
      <c r="L536" s="49">
        <f t="shared" si="22"/>
        <v>0</v>
      </c>
      <c r="M536" s="17">
        <f t="shared" si="23"/>
        <v>0</v>
      </c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  <c r="AC536" s="33"/>
      <c r="AD536" s="33"/>
      <c r="AE536" s="33"/>
      <c r="AF536" s="33"/>
      <c r="AG536" s="33"/>
      <c r="AH536" s="33"/>
      <c r="AI536" s="33"/>
      <c r="AJ536" s="33"/>
      <c r="AK536" s="33"/>
      <c r="AL536" s="33"/>
      <c r="AM536" s="33"/>
      <c r="AN536" s="33"/>
      <c r="AO536" s="33"/>
    </row>
    <row r="537" spans="1:41">
      <c r="A537" s="14"/>
      <c r="B537" s="14"/>
      <c r="C537" s="14"/>
      <c r="D537" s="46" t="s">
        <v>61</v>
      </c>
      <c r="E537" s="111" t="e">
        <f>VLOOKUP(C537,KELAS!$A$2:$D$643,4,0)</f>
        <v>#N/A</v>
      </c>
      <c r="F537" s="14"/>
      <c r="G537" s="14"/>
      <c r="H537" s="43"/>
      <c r="I537" s="50"/>
      <c r="J537" s="47"/>
      <c r="K537" s="48"/>
      <c r="L537" s="49">
        <f t="shared" si="22"/>
        <v>0</v>
      </c>
      <c r="M537" s="17">
        <f t="shared" si="23"/>
        <v>0</v>
      </c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  <c r="AD537" s="33"/>
      <c r="AE537" s="33"/>
      <c r="AF537" s="33"/>
      <c r="AG537" s="33"/>
      <c r="AH537" s="33"/>
      <c r="AI537" s="33"/>
      <c r="AJ537" s="33"/>
      <c r="AK537" s="33"/>
      <c r="AL537" s="33"/>
      <c r="AM537" s="33"/>
      <c r="AN537" s="33"/>
      <c r="AO537" s="33"/>
    </row>
    <row r="538" spans="1:41">
      <c r="A538" s="14"/>
      <c r="B538" s="14"/>
      <c r="C538" s="14"/>
      <c r="D538" s="46" t="s">
        <v>61</v>
      </c>
      <c r="E538" s="111" t="e">
        <f>VLOOKUP(C538,KELAS!$A$2:$D$643,4,0)</f>
        <v>#N/A</v>
      </c>
      <c r="F538" s="14"/>
      <c r="G538" s="14"/>
      <c r="H538" s="43"/>
      <c r="I538" s="50"/>
      <c r="J538" s="47"/>
      <c r="K538" s="48"/>
      <c r="L538" s="49">
        <f t="shared" si="22"/>
        <v>0</v>
      </c>
      <c r="M538" s="17">
        <f t="shared" si="23"/>
        <v>0</v>
      </c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  <c r="AC538" s="33"/>
      <c r="AD538" s="33"/>
      <c r="AE538" s="33"/>
      <c r="AF538" s="33"/>
      <c r="AG538" s="33"/>
      <c r="AH538" s="33"/>
      <c r="AI538" s="33"/>
      <c r="AJ538" s="33"/>
      <c r="AK538" s="33"/>
      <c r="AL538" s="33"/>
      <c r="AM538" s="33"/>
      <c r="AN538" s="33"/>
      <c r="AO538" s="33"/>
    </row>
    <row r="539" spans="1:41">
      <c r="A539" s="14"/>
      <c r="B539" s="14"/>
      <c r="C539" s="14"/>
      <c r="D539" s="46" t="s">
        <v>61</v>
      </c>
      <c r="E539" s="111" t="e">
        <f>VLOOKUP(C539,KELAS!$A$2:$D$643,4,0)</f>
        <v>#N/A</v>
      </c>
      <c r="F539" s="14"/>
      <c r="G539" s="14"/>
      <c r="H539" s="43"/>
      <c r="I539" s="50"/>
      <c r="J539" s="47"/>
      <c r="K539" s="48"/>
      <c r="L539" s="49">
        <f t="shared" si="22"/>
        <v>0</v>
      </c>
      <c r="M539" s="17">
        <f t="shared" si="23"/>
        <v>0</v>
      </c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  <c r="AD539" s="33"/>
      <c r="AE539" s="33"/>
      <c r="AF539" s="33"/>
      <c r="AG539" s="33"/>
      <c r="AH539" s="33"/>
      <c r="AI539" s="33"/>
      <c r="AJ539" s="33"/>
      <c r="AK539" s="33"/>
      <c r="AL539" s="33"/>
      <c r="AM539" s="33"/>
      <c r="AN539" s="33"/>
      <c r="AO539" s="33"/>
    </row>
    <row r="540" spans="1:41">
      <c r="A540" s="14"/>
      <c r="B540" s="14"/>
      <c r="C540" s="14"/>
      <c r="D540" s="46" t="s">
        <v>61</v>
      </c>
      <c r="E540" s="111" t="e">
        <f>VLOOKUP(C540,KELAS!$A$2:$D$643,4,0)</f>
        <v>#N/A</v>
      </c>
      <c r="F540" s="14"/>
      <c r="G540" s="14"/>
      <c r="H540" s="43"/>
      <c r="I540" s="50"/>
      <c r="J540" s="47"/>
      <c r="K540" s="48"/>
      <c r="L540" s="49">
        <f t="shared" si="22"/>
        <v>0</v>
      </c>
      <c r="M540" s="17">
        <f t="shared" si="23"/>
        <v>0</v>
      </c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  <c r="AD540" s="33"/>
      <c r="AE540" s="33"/>
      <c r="AF540" s="33"/>
      <c r="AG540" s="33"/>
      <c r="AH540" s="33"/>
      <c r="AI540" s="33"/>
      <c r="AJ540" s="33"/>
      <c r="AK540" s="33"/>
      <c r="AL540" s="33"/>
      <c r="AM540" s="33"/>
      <c r="AN540" s="33"/>
      <c r="AO540" s="33"/>
    </row>
    <row r="541" spans="1:41">
      <c r="A541" s="14"/>
      <c r="B541" s="14"/>
      <c r="C541" s="14"/>
      <c r="D541" s="46" t="s">
        <v>61</v>
      </c>
      <c r="E541" s="111" t="e">
        <f>VLOOKUP(C541,KELAS!$A$2:$D$643,4,0)</f>
        <v>#N/A</v>
      </c>
      <c r="F541" s="14"/>
      <c r="G541" s="14"/>
      <c r="H541" s="43"/>
      <c r="I541" s="50"/>
      <c r="J541" s="47"/>
      <c r="K541" s="48"/>
      <c r="L541" s="49">
        <f t="shared" si="22"/>
        <v>0</v>
      </c>
      <c r="M541" s="17">
        <f t="shared" si="23"/>
        <v>0</v>
      </c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  <c r="AD541" s="33"/>
      <c r="AE541" s="33"/>
      <c r="AF541" s="33"/>
      <c r="AG541" s="33"/>
      <c r="AH541" s="33"/>
      <c r="AI541" s="33"/>
      <c r="AJ541" s="33"/>
      <c r="AK541" s="33"/>
      <c r="AL541" s="33"/>
      <c r="AM541" s="33"/>
      <c r="AN541" s="33"/>
      <c r="AO541" s="33"/>
    </row>
    <row r="542" spans="1:41">
      <c r="A542" s="14"/>
      <c r="B542" s="14"/>
      <c r="C542" s="14"/>
      <c r="D542" s="46" t="s">
        <v>61</v>
      </c>
      <c r="E542" s="111" t="e">
        <f>VLOOKUP(C542,KELAS!$A$2:$D$643,4,0)</f>
        <v>#N/A</v>
      </c>
      <c r="F542" s="14"/>
      <c r="G542" s="14"/>
      <c r="H542" s="43"/>
      <c r="I542" s="50"/>
      <c r="J542" s="47"/>
      <c r="K542" s="48"/>
      <c r="L542" s="49">
        <f t="shared" si="22"/>
        <v>0</v>
      </c>
      <c r="M542" s="17">
        <f t="shared" si="23"/>
        <v>0</v>
      </c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  <c r="AC542" s="33"/>
      <c r="AD542" s="33"/>
      <c r="AE542" s="33"/>
      <c r="AF542" s="33"/>
      <c r="AG542" s="33"/>
      <c r="AH542" s="33"/>
      <c r="AI542" s="33"/>
      <c r="AJ542" s="33"/>
      <c r="AK542" s="33"/>
      <c r="AL542" s="33"/>
      <c r="AM542" s="33"/>
      <c r="AN542" s="33"/>
      <c r="AO542" s="33"/>
    </row>
    <row r="543" spans="1:41">
      <c r="A543" s="14"/>
      <c r="B543" s="14"/>
      <c r="C543" s="14"/>
      <c r="D543" s="46" t="s">
        <v>61</v>
      </c>
      <c r="E543" s="111" t="e">
        <f>VLOOKUP(C543,KELAS!$A$2:$D$643,4,0)</f>
        <v>#N/A</v>
      </c>
      <c r="F543" s="14"/>
      <c r="G543" s="14"/>
      <c r="H543" s="43"/>
      <c r="I543" s="50"/>
      <c r="J543" s="47"/>
      <c r="K543" s="48"/>
      <c r="L543" s="49">
        <f t="shared" si="22"/>
        <v>0</v>
      </c>
      <c r="M543" s="17">
        <f t="shared" si="23"/>
        <v>0</v>
      </c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  <c r="AD543" s="33"/>
      <c r="AE543" s="33"/>
      <c r="AF543" s="33"/>
      <c r="AG543" s="33"/>
      <c r="AH543" s="33"/>
      <c r="AI543" s="33"/>
      <c r="AJ543" s="33"/>
      <c r="AK543" s="33"/>
      <c r="AL543" s="33"/>
      <c r="AM543" s="33"/>
      <c r="AN543" s="33"/>
      <c r="AO543" s="33"/>
    </row>
    <row r="544" spans="1:41">
      <c r="A544" s="14"/>
      <c r="B544" s="14"/>
      <c r="C544" s="14"/>
      <c r="D544" s="46" t="s">
        <v>61</v>
      </c>
      <c r="E544" s="111" t="e">
        <f>VLOOKUP(C544,KELAS!$A$2:$D$643,4,0)</f>
        <v>#N/A</v>
      </c>
      <c r="F544" s="14"/>
      <c r="G544" s="14"/>
      <c r="H544" s="43"/>
      <c r="I544" s="50"/>
      <c r="J544" s="47"/>
      <c r="K544" s="48"/>
      <c r="L544" s="49">
        <f t="shared" si="22"/>
        <v>0</v>
      </c>
      <c r="M544" s="17">
        <f t="shared" si="23"/>
        <v>0</v>
      </c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  <c r="AD544" s="33"/>
      <c r="AE544" s="33"/>
      <c r="AF544" s="33"/>
      <c r="AG544" s="33"/>
      <c r="AH544" s="33"/>
      <c r="AI544" s="33"/>
      <c r="AJ544" s="33"/>
      <c r="AK544" s="33"/>
      <c r="AL544" s="33"/>
      <c r="AM544" s="33"/>
      <c r="AN544" s="33"/>
      <c r="AO544" s="33"/>
    </row>
    <row r="545" spans="1:41">
      <c r="A545" s="14"/>
      <c r="B545" s="14"/>
      <c r="C545" s="14"/>
      <c r="D545" s="46" t="s">
        <v>61</v>
      </c>
      <c r="E545" s="111" t="e">
        <f>VLOOKUP(C545,KELAS!$A$2:$D$643,4,0)</f>
        <v>#N/A</v>
      </c>
      <c r="F545" s="14"/>
      <c r="G545" s="14"/>
      <c r="H545" s="43"/>
      <c r="I545" s="50"/>
      <c r="J545" s="47"/>
      <c r="K545" s="48"/>
      <c r="L545" s="49">
        <f t="shared" si="22"/>
        <v>0</v>
      </c>
      <c r="M545" s="17">
        <f t="shared" si="23"/>
        <v>0</v>
      </c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  <c r="AC545" s="33"/>
      <c r="AD545" s="33"/>
      <c r="AE545" s="33"/>
      <c r="AF545" s="33"/>
      <c r="AG545" s="33"/>
      <c r="AH545" s="33"/>
      <c r="AI545" s="33"/>
      <c r="AJ545" s="33"/>
      <c r="AK545" s="33"/>
      <c r="AL545" s="33"/>
      <c r="AM545" s="33"/>
      <c r="AN545" s="33"/>
      <c r="AO545" s="33"/>
    </row>
    <row r="546" spans="1:41">
      <c r="A546" s="14"/>
      <c r="B546" s="14"/>
      <c r="C546" s="14"/>
      <c r="D546" s="46" t="s">
        <v>61</v>
      </c>
      <c r="E546" s="111" t="e">
        <f>VLOOKUP(C546,KELAS!$A$2:$D$643,4,0)</f>
        <v>#N/A</v>
      </c>
      <c r="F546" s="14"/>
      <c r="G546" s="14"/>
      <c r="H546" s="43"/>
      <c r="I546" s="50"/>
      <c r="J546" s="47"/>
      <c r="K546" s="48"/>
      <c r="L546" s="49">
        <f t="shared" si="22"/>
        <v>0</v>
      </c>
      <c r="M546" s="17">
        <f t="shared" si="23"/>
        <v>0</v>
      </c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  <c r="AC546" s="33"/>
      <c r="AD546" s="33"/>
      <c r="AE546" s="33"/>
      <c r="AF546" s="33"/>
      <c r="AG546" s="33"/>
      <c r="AH546" s="33"/>
      <c r="AI546" s="33"/>
      <c r="AJ546" s="33"/>
      <c r="AK546" s="33"/>
      <c r="AL546" s="33"/>
      <c r="AM546" s="33"/>
      <c r="AN546" s="33"/>
      <c r="AO546" s="33"/>
    </row>
    <row r="547" spans="1:41">
      <c r="A547" s="14"/>
      <c r="B547" s="14"/>
      <c r="C547" s="14"/>
      <c r="D547" s="46" t="s">
        <v>61</v>
      </c>
      <c r="E547" s="111" t="e">
        <f>VLOOKUP(C547,KELAS!$A$2:$D$643,4,0)</f>
        <v>#N/A</v>
      </c>
      <c r="F547" s="14"/>
      <c r="G547" s="14"/>
      <c r="H547" s="43"/>
      <c r="I547" s="50"/>
      <c r="J547" s="47"/>
      <c r="K547" s="48"/>
      <c r="L547" s="49">
        <f t="shared" si="22"/>
        <v>0</v>
      </c>
      <c r="M547" s="17">
        <f t="shared" si="23"/>
        <v>0</v>
      </c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  <c r="AC547" s="33"/>
      <c r="AD547" s="33"/>
      <c r="AE547" s="33"/>
      <c r="AF547" s="33"/>
      <c r="AG547" s="33"/>
      <c r="AH547" s="33"/>
      <c r="AI547" s="33"/>
      <c r="AJ547" s="33"/>
      <c r="AK547" s="33"/>
      <c r="AL547" s="33"/>
      <c r="AM547" s="33"/>
      <c r="AN547" s="33"/>
      <c r="AO547" s="33"/>
    </row>
    <row r="548" spans="1:41">
      <c r="A548" s="14"/>
      <c r="B548" s="14"/>
      <c r="C548" s="14"/>
      <c r="D548" s="46" t="s">
        <v>61</v>
      </c>
      <c r="E548" s="111" t="e">
        <f>VLOOKUP(C548,KELAS!$A$2:$D$643,4,0)</f>
        <v>#N/A</v>
      </c>
      <c r="F548" s="14"/>
      <c r="G548" s="14"/>
      <c r="H548" s="43"/>
      <c r="I548" s="50"/>
      <c r="J548" s="47"/>
      <c r="K548" s="48"/>
      <c r="L548" s="49">
        <f t="shared" si="22"/>
        <v>0</v>
      </c>
      <c r="M548" s="17">
        <f t="shared" si="23"/>
        <v>0</v>
      </c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  <c r="AC548" s="33"/>
      <c r="AD548" s="33"/>
      <c r="AE548" s="33"/>
      <c r="AF548" s="33"/>
      <c r="AG548" s="33"/>
      <c r="AH548" s="33"/>
      <c r="AI548" s="33"/>
      <c r="AJ548" s="33"/>
      <c r="AK548" s="33"/>
      <c r="AL548" s="33"/>
      <c r="AM548" s="33"/>
      <c r="AN548" s="33"/>
      <c r="AO548" s="33"/>
    </row>
    <row r="549" spans="1:41">
      <c r="A549" s="14"/>
      <c r="B549" s="14"/>
      <c r="C549" s="14"/>
      <c r="D549" s="46" t="s">
        <v>61</v>
      </c>
      <c r="E549" s="111" t="e">
        <f>VLOOKUP(C549,KELAS!$A$2:$D$643,4,0)</f>
        <v>#N/A</v>
      </c>
      <c r="F549" s="14"/>
      <c r="G549" s="14"/>
      <c r="H549" s="43"/>
      <c r="I549" s="50"/>
      <c r="J549" s="47"/>
      <c r="K549" s="48"/>
      <c r="L549" s="49">
        <f t="shared" si="22"/>
        <v>0</v>
      </c>
      <c r="M549" s="17">
        <f t="shared" si="23"/>
        <v>0</v>
      </c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  <c r="AC549" s="33"/>
      <c r="AD549" s="33"/>
      <c r="AE549" s="33"/>
      <c r="AF549" s="33"/>
      <c r="AG549" s="33"/>
      <c r="AH549" s="33"/>
      <c r="AI549" s="33"/>
      <c r="AJ549" s="33"/>
      <c r="AK549" s="33"/>
      <c r="AL549" s="33"/>
      <c r="AM549" s="33"/>
      <c r="AN549" s="33"/>
      <c r="AO549" s="33"/>
    </row>
    <row r="550" spans="1:41">
      <c r="A550" s="14"/>
      <c r="B550" s="14"/>
      <c r="C550" s="14"/>
      <c r="D550" s="46" t="s">
        <v>61</v>
      </c>
      <c r="E550" s="111" t="e">
        <f>VLOOKUP(C550,KELAS!$A$2:$D$643,4,0)</f>
        <v>#N/A</v>
      </c>
      <c r="F550" s="14"/>
      <c r="G550" s="14"/>
      <c r="H550" s="43"/>
      <c r="I550" s="50"/>
      <c r="J550" s="47"/>
      <c r="K550" s="48"/>
      <c r="L550" s="49">
        <f t="shared" si="22"/>
        <v>0</v>
      </c>
      <c r="M550" s="17">
        <f t="shared" si="23"/>
        <v>0</v>
      </c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  <c r="AC550" s="33"/>
      <c r="AD550" s="33"/>
      <c r="AE550" s="33"/>
      <c r="AF550" s="33"/>
      <c r="AG550" s="33"/>
      <c r="AH550" s="33"/>
      <c r="AI550" s="33"/>
      <c r="AJ550" s="33"/>
      <c r="AK550" s="33"/>
      <c r="AL550" s="33"/>
      <c r="AM550" s="33"/>
      <c r="AN550" s="33"/>
      <c r="AO550" s="33"/>
    </row>
    <row r="551" spans="1:41">
      <c r="A551" s="14"/>
      <c r="B551" s="14"/>
      <c r="C551" s="14"/>
      <c r="D551" s="46" t="s">
        <v>61</v>
      </c>
      <c r="E551" s="111" t="e">
        <f>VLOOKUP(C551,KELAS!$A$2:$D$643,4,0)</f>
        <v>#N/A</v>
      </c>
      <c r="F551" s="14"/>
      <c r="G551" s="14"/>
      <c r="H551" s="43"/>
      <c r="I551" s="50"/>
      <c r="J551" s="47"/>
      <c r="K551" s="48"/>
      <c r="L551" s="49">
        <f t="shared" si="22"/>
        <v>0</v>
      </c>
      <c r="M551" s="17">
        <f t="shared" si="23"/>
        <v>0</v>
      </c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  <c r="AC551" s="33"/>
      <c r="AD551" s="33"/>
      <c r="AE551" s="33"/>
      <c r="AF551" s="33"/>
      <c r="AG551" s="33"/>
      <c r="AH551" s="33"/>
      <c r="AI551" s="33"/>
      <c r="AJ551" s="33"/>
      <c r="AK551" s="33"/>
      <c r="AL551" s="33"/>
      <c r="AM551" s="33"/>
      <c r="AN551" s="33"/>
      <c r="AO551" s="33"/>
    </row>
    <row r="552" spans="1:41">
      <c r="A552" s="14"/>
      <c r="B552" s="14"/>
      <c r="C552" s="14"/>
      <c r="D552" s="46" t="s">
        <v>61</v>
      </c>
      <c r="E552" s="111" t="e">
        <f>VLOOKUP(C552,KELAS!$A$2:$D$643,4,0)</f>
        <v>#N/A</v>
      </c>
      <c r="F552" s="14"/>
      <c r="G552" s="14"/>
      <c r="H552" s="43"/>
      <c r="I552" s="50"/>
      <c r="J552" s="47"/>
      <c r="K552" s="48"/>
      <c r="L552" s="49">
        <f t="shared" si="22"/>
        <v>0</v>
      </c>
      <c r="M552" s="17">
        <f t="shared" si="23"/>
        <v>0</v>
      </c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  <c r="AC552" s="33"/>
      <c r="AD552" s="33"/>
      <c r="AE552" s="33"/>
      <c r="AF552" s="33"/>
      <c r="AG552" s="33"/>
      <c r="AH552" s="33"/>
      <c r="AI552" s="33"/>
      <c r="AJ552" s="33"/>
      <c r="AK552" s="33"/>
      <c r="AL552" s="33"/>
      <c r="AM552" s="33"/>
      <c r="AN552" s="33"/>
      <c r="AO552" s="33"/>
    </row>
    <row r="553" spans="1:41">
      <c r="A553" s="14"/>
      <c r="B553" s="14"/>
      <c r="C553" s="14"/>
      <c r="D553" s="46" t="s">
        <v>61</v>
      </c>
      <c r="E553" s="111" t="e">
        <f>VLOOKUP(C553,KELAS!$A$2:$D$643,4,0)</f>
        <v>#N/A</v>
      </c>
      <c r="F553" s="14"/>
      <c r="G553" s="14"/>
      <c r="H553" s="43"/>
      <c r="I553" s="50"/>
      <c r="J553" s="47"/>
      <c r="K553" s="48"/>
      <c r="L553" s="49">
        <f t="shared" ref="L553:L555" si="24">SUM(N553:AP553)</f>
        <v>0</v>
      </c>
      <c r="M553" s="17">
        <f t="shared" ref="M553:M555" si="25">L553-I553</f>
        <v>0</v>
      </c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  <c r="AC553" s="33"/>
      <c r="AD553" s="33"/>
      <c r="AE553" s="33"/>
      <c r="AF553" s="33"/>
      <c r="AG553" s="33"/>
      <c r="AH553" s="33"/>
      <c r="AI553" s="33"/>
      <c r="AJ553" s="33"/>
      <c r="AK553" s="33"/>
      <c r="AL553" s="33"/>
      <c r="AM553" s="33"/>
      <c r="AN553" s="33"/>
      <c r="AO553" s="33"/>
    </row>
    <row r="554" spans="1:41">
      <c r="A554" s="14"/>
      <c r="B554" s="14"/>
      <c r="C554" s="14"/>
      <c r="D554" s="46" t="s">
        <v>61</v>
      </c>
      <c r="E554" s="111" t="e">
        <f>VLOOKUP(C554,KELAS!$A$2:$D$643,4,0)</f>
        <v>#N/A</v>
      </c>
      <c r="F554" s="14"/>
      <c r="G554" s="14"/>
      <c r="H554" s="43"/>
      <c r="I554" s="50"/>
      <c r="J554" s="47"/>
      <c r="K554" s="48"/>
      <c r="L554" s="49">
        <f t="shared" si="24"/>
        <v>0</v>
      </c>
      <c r="M554" s="17">
        <f t="shared" si="25"/>
        <v>0</v>
      </c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  <c r="AC554" s="33"/>
      <c r="AD554" s="33"/>
      <c r="AE554" s="33"/>
      <c r="AF554" s="33"/>
      <c r="AG554" s="33"/>
      <c r="AH554" s="33"/>
      <c r="AI554" s="33"/>
      <c r="AJ554" s="33"/>
      <c r="AK554" s="33"/>
      <c r="AL554" s="33"/>
      <c r="AM554" s="33"/>
      <c r="AN554" s="33"/>
      <c r="AO554" s="33"/>
    </row>
    <row r="555" spans="1:41">
      <c r="A555" s="14"/>
      <c r="B555" s="14"/>
      <c r="C555" s="14"/>
      <c r="D555" s="46" t="s">
        <v>61</v>
      </c>
      <c r="E555" s="111" t="e">
        <f>VLOOKUP(C555,KELAS!$A$2:$D$643,4,0)</f>
        <v>#N/A</v>
      </c>
      <c r="F555" s="14"/>
      <c r="G555" s="14"/>
      <c r="H555" s="43"/>
      <c r="I555" s="50"/>
      <c r="J555" s="47"/>
      <c r="K555" s="48"/>
      <c r="L555" s="49">
        <f t="shared" si="24"/>
        <v>0</v>
      </c>
      <c r="M555" s="17">
        <f t="shared" si="25"/>
        <v>0</v>
      </c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  <c r="AD555" s="33"/>
      <c r="AE555" s="33"/>
      <c r="AF555" s="33"/>
      <c r="AG555" s="33"/>
      <c r="AH555" s="33"/>
      <c r="AI555" s="33"/>
      <c r="AJ555" s="33"/>
      <c r="AK555" s="33"/>
      <c r="AL555" s="33"/>
      <c r="AM555" s="33"/>
      <c r="AN555" s="33"/>
      <c r="AO555" s="33"/>
    </row>
    <row r="589" spans="9:9">
      <c r="I589" s="27">
        <f>SUM(I6:I588)</f>
        <v>816862500</v>
      </c>
    </row>
  </sheetData>
  <autoFilter ref="A5:BA5"/>
  <mergeCells count="1">
    <mergeCell ref="A4:BA4"/>
  </mergeCells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43"/>
  <sheetViews>
    <sheetView topLeftCell="A135" workbookViewId="0">
      <selection activeCell="A150" sqref="A150"/>
    </sheetView>
  </sheetViews>
  <sheetFormatPr defaultRowHeight="15"/>
  <cols>
    <col min="1" max="1" width="51.5703125" bestFit="1" customWidth="1"/>
    <col min="2" max="2" width="4.140625" bestFit="1" customWidth="1"/>
    <col min="3" max="3" width="22.28515625" bestFit="1" customWidth="1"/>
    <col min="4" max="4" width="23.28515625" bestFit="1" customWidth="1"/>
  </cols>
  <sheetData>
    <row r="1" spans="1:4" ht="15.75">
      <c r="A1" s="91" t="s">
        <v>1102</v>
      </c>
      <c r="B1" s="91" t="s">
        <v>1103</v>
      </c>
      <c r="C1" s="91" t="s">
        <v>1104</v>
      </c>
      <c r="D1" s="91" t="s">
        <v>29</v>
      </c>
    </row>
    <row r="2" spans="1:4" ht="15.75">
      <c r="A2" s="92" t="s">
        <v>1105</v>
      </c>
      <c r="B2" s="93" t="s">
        <v>1106</v>
      </c>
      <c r="C2" s="94" t="s">
        <v>1107</v>
      </c>
      <c r="D2" s="93" t="s">
        <v>1108</v>
      </c>
    </row>
    <row r="3" spans="1:4" ht="15.75">
      <c r="A3" s="92" t="s">
        <v>1109</v>
      </c>
      <c r="B3" s="93" t="s">
        <v>1110</v>
      </c>
      <c r="C3" s="94" t="s">
        <v>1111</v>
      </c>
      <c r="D3" s="93" t="s">
        <v>1108</v>
      </c>
    </row>
    <row r="4" spans="1:4" ht="15.75">
      <c r="A4" s="92" t="s">
        <v>1112</v>
      </c>
      <c r="B4" s="93" t="s">
        <v>1110</v>
      </c>
      <c r="C4" s="94" t="s">
        <v>1113</v>
      </c>
      <c r="D4" s="93" t="s">
        <v>1108</v>
      </c>
    </row>
    <row r="5" spans="1:4" ht="15.75">
      <c r="A5" s="92" t="s">
        <v>1114</v>
      </c>
      <c r="B5" s="93" t="s">
        <v>1110</v>
      </c>
      <c r="C5" s="94" t="s">
        <v>1115</v>
      </c>
      <c r="D5" s="93" t="s">
        <v>1108</v>
      </c>
    </row>
    <row r="6" spans="1:4" ht="15.75">
      <c r="A6" s="92" t="s">
        <v>1116</v>
      </c>
      <c r="B6" s="93" t="s">
        <v>1110</v>
      </c>
      <c r="C6" s="94" t="s">
        <v>1117</v>
      </c>
      <c r="D6" s="93" t="s">
        <v>1108</v>
      </c>
    </row>
    <row r="7" spans="1:4" ht="15.75">
      <c r="A7" s="92" t="s">
        <v>1118</v>
      </c>
      <c r="B7" s="93" t="s">
        <v>1110</v>
      </c>
      <c r="C7" s="94" t="s">
        <v>1119</v>
      </c>
      <c r="D7" s="93" t="s">
        <v>1108</v>
      </c>
    </row>
    <row r="8" spans="1:4" ht="15.75">
      <c r="A8" s="92" t="s">
        <v>1120</v>
      </c>
      <c r="B8" s="93" t="s">
        <v>1106</v>
      </c>
      <c r="C8" s="94" t="s">
        <v>1121</v>
      </c>
      <c r="D8" s="93" t="s">
        <v>1108</v>
      </c>
    </row>
    <row r="9" spans="1:4" ht="15.75">
      <c r="A9" s="92" t="s">
        <v>1122</v>
      </c>
      <c r="B9" s="93" t="s">
        <v>1106</v>
      </c>
      <c r="C9" s="94" t="s">
        <v>1123</v>
      </c>
      <c r="D9" s="93" t="s">
        <v>1108</v>
      </c>
    </row>
    <row r="10" spans="1:4" ht="15.75">
      <c r="A10" s="92" t="s">
        <v>1124</v>
      </c>
      <c r="B10" s="93" t="s">
        <v>1110</v>
      </c>
      <c r="C10" s="94" t="s">
        <v>1125</v>
      </c>
      <c r="D10" s="93" t="s">
        <v>1108</v>
      </c>
    </row>
    <row r="11" spans="1:4" ht="15.75">
      <c r="A11" s="92" t="s">
        <v>1126</v>
      </c>
      <c r="B11" s="93" t="s">
        <v>1110</v>
      </c>
      <c r="C11" s="94" t="s">
        <v>1127</v>
      </c>
      <c r="D11" s="93" t="s">
        <v>1108</v>
      </c>
    </row>
    <row r="12" spans="1:4" ht="15.75">
      <c r="A12" s="92" t="s">
        <v>1128</v>
      </c>
      <c r="B12" s="93" t="s">
        <v>1110</v>
      </c>
      <c r="C12" s="94" t="s">
        <v>1129</v>
      </c>
      <c r="D12" s="93" t="s">
        <v>1108</v>
      </c>
    </row>
    <row r="13" spans="1:4" ht="15.75">
      <c r="A13" s="92" t="s">
        <v>1130</v>
      </c>
      <c r="B13" s="93" t="s">
        <v>1110</v>
      </c>
      <c r="C13" s="94" t="s">
        <v>1131</v>
      </c>
      <c r="D13" s="93" t="s">
        <v>1108</v>
      </c>
    </row>
    <row r="14" spans="1:4" ht="15.75">
      <c r="A14" s="92" t="s">
        <v>1132</v>
      </c>
      <c r="B14" s="93" t="s">
        <v>1106</v>
      </c>
      <c r="C14" s="94" t="s">
        <v>1133</v>
      </c>
      <c r="D14" s="93" t="s">
        <v>1108</v>
      </c>
    </row>
    <row r="15" spans="1:4" ht="15.75">
      <c r="A15" s="92" t="s">
        <v>1134</v>
      </c>
      <c r="B15" s="93" t="s">
        <v>1106</v>
      </c>
      <c r="C15" s="94" t="s">
        <v>1135</v>
      </c>
      <c r="D15" s="93" t="s">
        <v>1108</v>
      </c>
    </row>
    <row r="16" spans="1:4" ht="15.75">
      <c r="A16" s="92" t="s">
        <v>1136</v>
      </c>
      <c r="B16" s="93" t="s">
        <v>1110</v>
      </c>
      <c r="C16" s="94" t="s">
        <v>1137</v>
      </c>
      <c r="D16" s="93" t="s">
        <v>1108</v>
      </c>
    </row>
    <row r="17" spans="1:4" ht="15.75">
      <c r="A17" s="92" t="s">
        <v>1138</v>
      </c>
      <c r="B17" s="93" t="s">
        <v>1106</v>
      </c>
      <c r="C17" s="94" t="s">
        <v>1139</v>
      </c>
      <c r="D17" s="93" t="s">
        <v>1108</v>
      </c>
    </row>
    <row r="18" spans="1:4" ht="15.75">
      <c r="A18" s="92" t="s">
        <v>1140</v>
      </c>
      <c r="B18" s="93" t="s">
        <v>1106</v>
      </c>
      <c r="C18" s="94" t="s">
        <v>1141</v>
      </c>
      <c r="D18" s="93" t="s">
        <v>1108</v>
      </c>
    </row>
    <row r="19" spans="1:4" ht="15.75">
      <c r="A19" s="92" t="s">
        <v>1142</v>
      </c>
      <c r="B19" s="93" t="s">
        <v>1106</v>
      </c>
      <c r="C19" s="94" t="s">
        <v>1143</v>
      </c>
      <c r="D19" s="93" t="s">
        <v>1108</v>
      </c>
    </row>
    <row r="20" spans="1:4" ht="15.75">
      <c r="A20" s="92" t="s">
        <v>1144</v>
      </c>
      <c r="B20" s="93" t="s">
        <v>1110</v>
      </c>
      <c r="C20" s="94" t="s">
        <v>1145</v>
      </c>
      <c r="D20" s="93" t="s">
        <v>1108</v>
      </c>
    </row>
    <row r="21" spans="1:4" ht="15.75">
      <c r="A21" s="92" t="s">
        <v>1146</v>
      </c>
      <c r="B21" s="93" t="s">
        <v>1106</v>
      </c>
      <c r="C21" s="94" t="s">
        <v>1147</v>
      </c>
      <c r="D21" s="93" t="s">
        <v>1108</v>
      </c>
    </row>
    <row r="22" spans="1:4" ht="15.75">
      <c r="A22" s="92" t="s">
        <v>1148</v>
      </c>
      <c r="B22" s="93" t="s">
        <v>1110</v>
      </c>
      <c r="C22" s="94" t="s">
        <v>1149</v>
      </c>
      <c r="D22" s="93" t="s">
        <v>1108</v>
      </c>
    </row>
    <row r="23" spans="1:4" ht="15.75">
      <c r="A23" s="92" t="s">
        <v>1150</v>
      </c>
      <c r="B23" s="93" t="s">
        <v>1106</v>
      </c>
      <c r="C23" s="94" t="s">
        <v>1151</v>
      </c>
      <c r="D23" s="93" t="s">
        <v>1108</v>
      </c>
    </row>
    <row r="24" spans="1:4" ht="15.75">
      <c r="A24" s="92" t="s">
        <v>1152</v>
      </c>
      <c r="B24" s="93" t="s">
        <v>1110</v>
      </c>
      <c r="C24" s="94" t="s">
        <v>1153</v>
      </c>
      <c r="D24" s="93" t="s">
        <v>1108</v>
      </c>
    </row>
    <row r="25" spans="1:4" ht="15.75">
      <c r="A25" s="92" t="s">
        <v>1154</v>
      </c>
      <c r="B25" s="93" t="s">
        <v>1106</v>
      </c>
      <c r="C25" s="94" t="s">
        <v>1155</v>
      </c>
      <c r="D25" s="93" t="s">
        <v>1108</v>
      </c>
    </row>
    <row r="26" spans="1:4" ht="15.75">
      <c r="A26" s="92" t="s">
        <v>1156</v>
      </c>
      <c r="B26" s="93" t="s">
        <v>1106</v>
      </c>
      <c r="C26" s="94" t="s">
        <v>1157</v>
      </c>
      <c r="D26" s="93" t="s">
        <v>1108</v>
      </c>
    </row>
    <row r="27" spans="1:4" ht="15.75">
      <c r="A27" s="92" t="s">
        <v>1158</v>
      </c>
      <c r="B27" s="93" t="s">
        <v>1106</v>
      </c>
      <c r="C27" s="94" t="s">
        <v>1159</v>
      </c>
      <c r="D27" s="93" t="s">
        <v>1108</v>
      </c>
    </row>
    <row r="28" spans="1:4" ht="15.75">
      <c r="A28" s="92" t="s">
        <v>1160</v>
      </c>
      <c r="B28" s="93" t="s">
        <v>1110</v>
      </c>
      <c r="C28" s="94" t="s">
        <v>1161</v>
      </c>
      <c r="D28" s="93" t="s">
        <v>1108</v>
      </c>
    </row>
    <row r="29" spans="1:4" ht="15.75">
      <c r="A29" s="92" t="s">
        <v>1162</v>
      </c>
      <c r="B29" s="93" t="s">
        <v>1110</v>
      </c>
      <c r="C29" s="94" t="s">
        <v>1163</v>
      </c>
      <c r="D29" s="93" t="s">
        <v>1108</v>
      </c>
    </row>
    <row r="30" spans="1:4" ht="15.75">
      <c r="A30" s="92" t="s">
        <v>1164</v>
      </c>
      <c r="B30" s="93" t="s">
        <v>1110</v>
      </c>
      <c r="C30" s="94" t="s">
        <v>1165</v>
      </c>
      <c r="D30" s="93" t="s">
        <v>1108</v>
      </c>
    </row>
    <row r="31" spans="1:4" ht="15.75">
      <c r="A31" s="92" t="s">
        <v>1166</v>
      </c>
      <c r="B31" s="93" t="s">
        <v>1110</v>
      </c>
      <c r="C31" s="94" t="s">
        <v>1167</v>
      </c>
      <c r="D31" s="93" t="s">
        <v>1108</v>
      </c>
    </row>
    <row r="32" spans="1:4" ht="15.75">
      <c r="A32" s="92" t="s">
        <v>1168</v>
      </c>
      <c r="B32" s="93" t="s">
        <v>1106</v>
      </c>
      <c r="C32" s="94" t="s">
        <v>1169</v>
      </c>
      <c r="D32" s="93" t="s">
        <v>1108</v>
      </c>
    </row>
    <row r="33" spans="1:4" ht="15.75">
      <c r="A33" s="92" t="s">
        <v>1170</v>
      </c>
      <c r="B33" s="93" t="s">
        <v>1106</v>
      </c>
      <c r="C33" s="94" t="s">
        <v>1171</v>
      </c>
      <c r="D33" s="93" t="s">
        <v>1108</v>
      </c>
    </row>
    <row r="34" spans="1:4" ht="15.75">
      <c r="A34" s="92" t="s">
        <v>1172</v>
      </c>
      <c r="B34" s="93" t="s">
        <v>1106</v>
      </c>
      <c r="C34" s="94" t="s">
        <v>1173</v>
      </c>
      <c r="D34" s="93" t="s">
        <v>1174</v>
      </c>
    </row>
    <row r="35" spans="1:4" ht="15.75">
      <c r="A35" s="92" t="s">
        <v>1175</v>
      </c>
      <c r="B35" s="93" t="s">
        <v>1106</v>
      </c>
      <c r="C35" s="94" t="s">
        <v>1176</v>
      </c>
      <c r="D35" s="93" t="s">
        <v>1174</v>
      </c>
    </row>
    <row r="36" spans="1:4" ht="15.75">
      <c r="A36" s="92" t="s">
        <v>1177</v>
      </c>
      <c r="B36" s="93" t="s">
        <v>1106</v>
      </c>
      <c r="C36" s="94" t="s">
        <v>1178</v>
      </c>
      <c r="D36" s="93" t="s">
        <v>1174</v>
      </c>
    </row>
    <row r="37" spans="1:4" ht="15.75">
      <c r="A37" s="92" t="s">
        <v>1179</v>
      </c>
      <c r="B37" s="93" t="s">
        <v>1110</v>
      </c>
      <c r="C37" s="94" t="s">
        <v>1131</v>
      </c>
      <c r="D37" s="93" t="s">
        <v>1174</v>
      </c>
    </row>
    <row r="38" spans="1:4" ht="15.75">
      <c r="A38" s="92" t="s">
        <v>1180</v>
      </c>
      <c r="B38" s="93" t="s">
        <v>1110</v>
      </c>
      <c r="C38" s="94" t="s">
        <v>1181</v>
      </c>
      <c r="D38" s="93" t="s">
        <v>1174</v>
      </c>
    </row>
    <row r="39" spans="1:4" ht="15.75">
      <c r="A39" s="92" t="s">
        <v>1182</v>
      </c>
      <c r="B39" s="93" t="s">
        <v>1110</v>
      </c>
      <c r="C39" s="94" t="s">
        <v>1183</v>
      </c>
      <c r="D39" s="93" t="s">
        <v>1174</v>
      </c>
    </row>
    <row r="40" spans="1:4" ht="15.75">
      <c r="A40" s="92" t="s">
        <v>1184</v>
      </c>
      <c r="B40" s="93" t="s">
        <v>1110</v>
      </c>
      <c r="C40" s="94" t="s">
        <v>1185</v>
      </c>
      <c r="D40" s="93" t="s">
        <v>1174</v>
      </c>
    </row>
    <row r="41" spans="1:4" ht="15.75">
      <c r="A41" s="92" t="s">
        <v>1186</v>
      </c>
      <c r="B41" s="93" t="s">
        <v>1106</v>
      </c>
      <c r="C41" s="94" t="s">
        <v>1187</v>
      </c>
      <c r="D41" s="93" t="s">
        <v>1174</v>
      </c>
    </row>
    <row r="42" spans="1:4" ht="15.75">
      <c r="A42" s="92" t="s">
        <v>1188</v>
      </c>
      <c r="B42" s="93" t="s">
        <v>1110</v>
      </c>
      <c r="C42" s="94" t="s">
        <v>1189</v>
      </c>
      <c r="D42" s="93" t="s">
        <v>1174</v>
      </c>
    </row>
    <row r="43" spans="1:4" ht="15.75">
      <c r="A43" s="92" t="s">
        <v>1190</v>
      </c>
      <c r="B43" s="93" t="s">
        <v>1106</v>
      </c>
      <c r="C43" s="94" t="s">
        <v>1191</v>
      </c>
      <c r="D43" s="93" t="s">
        <v>1174</v>
      </c>
    </row>
    <row r="44" spans="1:4" ht="15.75">
      <c r="A44" s="92" t="s">
        <v>1192</v>
      </c>
      <c r="B44" s="93" t="s">
        <v>1106</v>
      </c>
      <c r="C44" s="94" t="s">
        <v>1193</v>
      </c>
      <c r="D44" s="93" t="s">
        <v>1174</v>
      </c>
    </row>
    <row r="45" spans="1:4" ht="15.75">
      <c r="A45" s="92" t="s">
        <v>1194</v>
      </c>
      <c r="B45" s="93" t="s">
        <v>1110</v>
      </c>
      <c r="C45" s="94" t="s">
        <v>1195</v>
      </c>
      <c r="D45" s="93" t="s">
        <v>1174</v>
      </c>
    </row>
    <row r="46" spans="1:4" ht="15.75">
      <c r="A46" s="92" t="s">
        <v>1196</v>
      </c>
      <c r="B46" s="93" t="s">
        <v>1110</v>
      </c>
      <c r="C46" s="94" t="s">
        <v>1197</v>
      </c>
      <c r="D46" s="93" t="s">
        <v>1174</v>
      </c>
    </row>
    <row r="47" spans="1:4" ht="15.75">
      <c r="A47" s="92" t="s">
        <v>1198</v>
      </c>
      <c r="B47" s="93" t="s">
        <v>1110</v>
      </c>
      <c r="C47" s="94" t="s">
        <v>1199</v>
      </c>
      <c r="D47" s="93" t="s">
        <v>1174</v>
      </c>
    </row>
    <row r="48" spans="1:4" ht="15.75">
      <c r="A48" s="92" t="s">
        <v>1200</v>
      </c>
      <c r="B48" s="93" t="s">
        <v>1110</v>
      </c>
      <c r="C48" s="94" t="s">
        <v>1201</v>
      </c>
      <c r="D48" s="93" t="s">
        <v>1174</v>
      </c>
    </row>
    <row r="49" spans="1:4" ht="15.75">
      <c r="A49" s="92" t="s">
        <v>1202</v>
      </c>
      <c r="B49" s="93" t="s">
        <v>1110</v>
      </c>
      <c r="C49" s="94" t="s">
        <v>1203</v>
      </c>
      <c r="D49" s="93" t="s">
        <v>1174</v>
      </c>
    </row>
    <row r="50" spans="1:4" ht="15.75">
      <c r="A50" s="92" t="s">
        <v>1204</v>
      </c>
      <c r="B50" s="93" t="s">
        <v>1110</v>
      </c>
      <c r="C50" s="94" t="s">
        <v>1205</v>
      </c>
      <c r="D50" s="93" t="s">
        <v>1174</v>
      </c>
    </row>
    <row r="51" spans="1:4" ht="15.75">
      <c r="A51" s="92" t="s">
        <v>1206</v>
      </c>
      <c r="B51" s="93" t="s">
        <v>1110</v>
      </c>
      <c r="C51" s="94" t="s">
        <v>1207</v>
      </c>
      <c r="D51" s="93" t="s">
        <v>1174</v>
      </c>
    </row>
    <row r="52" spans="1:4" ht="15.75">
      <c r="A52" s="92" t="s">
        <v>1208</v>
      </c>
      <c r="B52" s="93" t="s">
        <v>1110</v>
      </c>
      <c r="C52" s="94" t="s">
        <v>1209</v>
      </c>
      <c r="D52" s="93" t="s">
        <v>1174</v>
      </c>
    </row>
    <row r="53" spans="1:4" ht="15.75">
      <c r="A53" s="92" t="s">
        <v>1210</v>
      </c>
      <c r="B53" s="93" t="s">
        <v>1110</v>
      </c>
      <c r="C53" s="94" t="s">
        <v>1211</v>
      </c>
      <c r="D53" s="93" t="s">
        <v>1174</v>
      </c>
    </row>
    <row r="54" spans="1:4" ht="15.75">
      <c r="A54" s="92" t="s">
        <v>1212</v>
      </c>
      <c r="B54" s="93" t="s">
        <v>1110</v>
      </c>
      <c r="C54" s="94" t="s">
        <v>1213</v>
      </c>
      <c r="D54" s="93" t="s">
        <v>1174</v>
      </c>
    </row>
    <row r="55" spans="1:4" ht="15.75">
      <c r="A55" s="92" t="s">
        <v>1214</v>
      </c>
      <c r="B55" s="93" t="s">
        <v>1106</v>
      </c>
      <c r="C55" s="94" t="s">
        <v>1215</v>
      </c>
      <c r="D55" s="93" t="s">
        <v>1174</v>
      </c>
    </row>
    <row r="56" spans="1:4" ht="15.75">
      <c r="A56" s="92" t="s">
        <v>1216</v>
      </c>
      <c r="B56" s="93" t="s">
        <v>1106</v>
      </c>
      <c r="C56" s="94" t="s">
        <v>1217</v>
      </c>
      <c r="D56" s="93" t="s">
        <v>1174</v>
      </c>
    </row>
    <row r="57" spans="1:4" ht="15.75">
      <c r="A57" s="92" t="s">
        <v>1218</v>
      </c>
      <c r="B57" s="93" t="s">
        <v>1106</v>
      </c>
      <c r="C57" s="94" t="s">
        <v>1219</v>
      </c>
      <c r="D57" s="93" t="s">
        <v>1174</v>
      </c>
    </row>
    <row r="58" spans="1:4" ht="15.75">
      <c r="A58" s="92" t="s">
        <v>1220</v>
      </c>
      <c r="B58" s="93" t="s">
        <v>1110</v>
      </c>
      <c r="C58" s="94" t="s">
        <v>1221</v>
      </c>
      <c r="D58" s="93" t="s">
        <v>1174</v>
      </c>
    </row>
    <row r="59" spans="1:4" ht="15.75">
      <c r="A59" s="92" t="s">
        <v>1222</v>
      </c>
      <c r="B59" s="93" t="s">
        <v>1106</v>
      </c>
      <c r="C59" s="94" t="s">
        <v>1223</v>
      </c>
      <c r="D59" s="93" t="s">
        <v>1174</v>
      </c>
    </row>
    <row r="60" spans="1:4" ht="15.75">
      <c r="A60" s="92" t="s">
        <v>1224</v>
      </c>
      <c r="B60" s="93" t="s">
        <v>1106</v>
      </c>
      <c r="C60" s="94" t="s">
        <v>1225</v>
      </c>
      <c r="D60" s="93" t="s">
        <v>1174</v>
      </c>
    </row>
    <row r="61" spans="1:4" ht="15.75">
      <c r="A61" s="92" t="s">
        <v>1226</v>
      </c>
      <c r="B61" s="93" t="s">
        <v>1110</v>
      </c>
      <c r="C61" s="94" t="s">
        <v>1227</v>
      </c>
      <c r="D61" s="93" t="s">
        <v>1174</v>
      </c>
    </row>
    <row r="62" spans="1:4" ht="15.75">
      <c r="A62" s="92" t="s">
        <v>1228</v>
      </c>
      <c r="B62" s="93" t="s">
        <v>1106</v>
      </c>
      <c r="C62" s="94" t="s">
        <v>1229</v>
      </c>
      <c r="D62" s="93" t="s">
        <v>1174</v>
      </c>
    </row>
    <row r="63" spans="1:4" ht="15.75">
      <c r="A63" s="92" t="s">
        <v>1230</v>
      </c>
      <c r="B63" s="93" t="s">
        <v>1106</v>
      </c>
      <c r="C63" s="94" t="s">
        <v>1231</v>
      </c>
      <c r="D63" s="93" t="s">
        <v>1174</v>
      </c>
    </row>
    <row r="64" spans="1:4" ht="15.75">
      <c r="A64" s="92" t="s">
        <v>1232</v>
      </c>
      <c r="B64" s="93" t="s">
        <v>1106</v>
      </c>
      <c r="C64" s="94" t="s">
        <v>1233</v>
      </c>
      <c r="D64" s="93" t="s">
        <v>1174</v>
      </c>
    </row>
    <row r="65" spans="1:4" ht="15.75">
      <c r="A65" s="92" t="s">
        <v>1234</v>
      </c>
      <c r="B65" s="95" t="s">
        <v>1110</v>
      </c>
      <c r="C65" s="96" t="s">
        <v>1235</v>
      </c>
      <c r="D65" s="93" t="s">
        <v>1174</v>
      </c>
    </row>
    <row r="66" spans="1:4" ht="15.75">
      <c r="A66" s="92" t="s">
        <v>1236</v>
      </c>
      <c r="B66" s="97" t="s">
        <v>1110</v>
      </c>
      <c r="C66" s="98" t="s">
        <v>1237</v>
      </c>
      <c r="D66" s="99" t="s">
        <v>1238</v>
      </c>
    </row>
    <row r="67" spans="1:4" ht="15.75">
      <c r="A67" s="92" t="s">
        <v>1239</v>
      </c>
      <c r="B67" s="97" t="s">
        <v>1110</v>
      </c>
      <c r="C67" s="98" t="s">
        <v>1240</v>
      </c>
      <c r="D67" s="99" t="s">
        <v>1238</v>
      </c>
    </row>
    <row r="68" spans="1:4" ht="15.75">
      <c r="A68" s="92" t="s">
        <v>1241</v>
      </c>
      <c r="B68" s="97" t="s">
        <v>1106</v>
      </c>
      <c r="C68" s="98" t="s">
        <v>1242</v>
      </c>
      <c r="D68" s="99" t="s">
        <v>1238</v>
      </c>
    </row>
    <row r="69" spans="1:4" ht="15.75">
      <c r="A69" s="92" t="s">
        <v>1243</v>
      </c>
      <c r="B69" s="97" t="s">
        <v>1106</v>
      </c>
      <c r="C69" s="98" t="s">
        <v>1244</v>
      </c>
      <c r="D69" s="99" t="s">
        <v>1238</v>
      </c>
    </row>
    <row r="70" spans="1:4" ht="15.75">
      <c r="A70" s="92" t="s">
        <v>1245</v>
      </c>
      <c r="B70" s="97" t="s">
        <v>1106</v>
      </c>
      <c r="C70" s="98" t="s">
        <v>1246</v>
      </c>
      <c r="D70" s="99" t="s">
        <v>1238</v>
      </c>
    </row>
    <row r="71" spans="1:4" ht="15.75">
      <c r="A71" s="92" t="s">
        <v>1247</v>
      </c>
      <c r="B71" s="97" t="s">
        <v>1110</v>
      </c>
      <c r="C71" s="98" t="s">
        <v>1248</v>
      </c>
      <c r="D71" s="99" t="s">
        <v>1238</v>
      </c>
    </row>
    <row r="72" spans="1:4" ht="15.75">
      <c r="A72" s="92" t="s">
        <v>1249</v>
      </c>
      <c r="B72" s="97" t="s">
        <v>1106</v>
      </c>
      <c r="C72" s="98" t="s">
        <v>1250</v>
      </c>
      <c r="D72" s="99" t="s">
        <v>1238</v>
      </c>
    </row>
    <row r="73" spans="1:4" ht="15.75">
      <c r="A73" s="92" t="s">
        <v>1251</v>
      </c>
      <c r="B73" s="97" t="s">
        <v>1110</v>
      </c>
      <c r="C73" s="98" t="s">
        <v>1252</v>
      </c>
      <c r="D73" s="99" t="s">
        <v>1238</v>
      </c>
    </row>
    <row r="74" spans="1:4" ht="15.75">
      <c r="A74" s="92" t="s">
        <v>1253</v>
      </c>
      <c r="B74" s="97" t="s">
        <v>1106</v>
      </c>
      <c r="C74" s="98" t="s">
        <v>1254</v>
      </c>
      <c r="D74" s="99" t="s">
        <v>1238</v>
      </c>
    </row>
    <row r="75" spans="1:4" ht="15.75">
      <c r="A75" s="92" t="s">
        <v>1255</v>
      </c>
      <c r="B75" s="97" t="s">
        <v>1110</v>
      </c>
      <c r="C75" s="98" t="s">
        <v>1256</v>
      </c>
      <c r="D75" s="99" t="s">
        <v>1238</v>
      </c>
    </row>
    <row r="76" spans="1:4" ht="15.75">
      <c r="A76" s="92" t="s">
        <v>1257</v>
      </c>
      <c r="B76" s="97" t="s">
        <v>1110</v>
      </c>
      <c r="C76" s="98" t="s">
        <v>1258</v>
      </c>
      <c r="D76" s="99" t="s">
        <v>1238</v>
      </c>
    </row>
    <row r="77" spans="1:4" ht="15.75">
      <c r="A77" s="92" t="s">
        <v>1259</v>
      </c>
      <c r="B77" s="97" t="s">
        <v>1110</v>
      </c>
      <c r="C77" s="98" t="s">
        <v>1260</v>
      </c>
      <c r="D77" s="99" t="s">
        <v>1238</v>
      </c>
    </row>
    <row r="78" spans="1:4" ht="15.75">
      <c r="A78" s="92" t="s">
        <v>1261</v>
      </c>
      <c r="B78" s="97" t="s">
        <v>1110</v>
      </c>
      <c r="C78" s="98" t="s">
        <v>1262</v>
      </c>
      <c r="D78" s="99" t="s">
        <v>1238</v>
      </c>
    </row>
    <row r="79" spans="1:4" ht="15.75">
      <c r="A79" s="92" t="s">
        <v>1263</v>
      </c>
      <c r="B79" s="97" t="s">
        <v>1106</v>
      </c>
      <c r="C79" s="98" t="s">
        <v>1264</v>
      </c>
      <c r="D79" s="99" t="s">
        <v>1238</v>
      </c>
    </row>
    <row r="80" spans="1:4" ht="15.75">
      <c r="A80" s="92" t="s">
        <v>1265</v>
      </c>
      <c r="B80" s="97" t="s">
        <v>1110</v>
      </c>
      <c r="C80" s="98" t="s">
        <v>1266</v>
      </c>
      <c r="D80" s="99" t="s">
        <v>1238</v>
      </c>
    </row>
    <row r="81" spans="1:4" ht="15.75">
      <c r="A81" s="92" t="s">
        <v>1267</v>
      </c>
      <c r="B81" s="97" t="s">
        <v>1110</v>
      </c>
      <c r="C81" s="98" t="s">
        <v>1268</v>
      </c>
      <c r="D81" s="99" t="s">
        <v>1238</v>
      </c>
    </row>
    <row r="82" spans="1:4" ht="15.75">
      <c r="A82" s="92" t="s">
        <v>1269</v>
      </c>
      <c r="B82" s="97" t="s">
        <v>1110</v>
      </c>
      <c r="C82" s="98" t="s">
        <v>1270</v>
      </c>
      <c r="D82" s="99" t="s">
        <v>1238</v>
      </c>
    </row>
    <row r="83" spans="1:4" ht="15.75">
      <c r="A83" s="92" t="s">
        <v>1271</v>
      </c>
      <c r="B83" s="97" t="s">
        <v>1106</v>
      </c>
      <c r="C83" s="98" t="s">
        <v>1272</v>
      </c>
      <c r="D83" s="99" t="s">
        <v>1238</v>
      </c>
    </row>
    <row r="84" spans="1:4" ht="15.75">
      <c r="A84" s="92" t="s">
        <v>1273</v>
      </c>
      <c r="B84" s="97" t="s">
        <v>1106</v>
      </c>
      <c r="C84" s="98" t="s">
        <v>1274</v>
      </c>
      <c r="D84" s="99" t="s">
        <v>1238</v>
      </c>
    </row>
    <row r="85" spans="1:4" ht="15.75">
      <c r="A85" s="92" t="s">
        <v>1275</v>
      </c>
      <c r="B85" s="97" t="s">
        <v>1106</v>
      </c>
      <c r="C85" s="98" t="s">
        <v>1276</v>
      </c>
      <c r="D85" s="99" t="s">
        <v>1238</v>
      </c>
    </row>
    <row r="86" spans="1:4" ht="15.75">
      <c r="A86" s="92" t="s">
        <v>1277</v>
      </c>
      <c r="B86" s="97" t="s">
        <v>1110</v>
      </c>
      <c r="C86" s="98" t="s">
        <v>1278</v>
      </c>
      <c r="D86" s="99" t="s">
        <v>1238</v>
      </c>
    </row>
    <row r="87" spans="1:4" ht="15.75">
      <c r="A87" s="92" t="s">
        <v>1279</v>
      </c>
      <c r="B87" s="97" t="s">
        <v>1110</v>
      </c>
      <c r="C87" s="98" t="s">
        <v>1280</v>
      </c>
      <c r="D87" s="99" t="s">
        <v>1238</v>
      </c>
    </row>
    <row r="88" spans="1:4" ht="15.75">
      <c r="A88" s="92" t="s">
        <v>1281</v>
      </c>
      <c r="B88" s="97" t="s">
        <v>1110</v>
      </c>
      <c r="C88" s="98" t="s">
        <v>1282</v>
      </c>
      <c r="D88" s="99" t="s">
        <v>1238</v>
      </c>
    </row>
    <row r="89" spans="1:4" ht="15.75">
      <c r="A89" s="92" t="s">
        <v>1283</v>
      </c>
      <c r="B89" s="97" t="s">
        <v>1106</v>
      </c>
      <c r="C89" s="98" t="s">
        <v>1284</v>
      </c>
      <c r="D89" s="99" t="s">
        <v>1238</v>
      </c>
    </row>
    <row r="90" spans="1:4" ht="15.75">
      <c r="A90" s="92" t="s">
        <v>1285</v>
      </c>
      <c r="B90" s="97" t="s">
        <v>1106</v>
      </c>
      <c r="C90" s="98" t="s">
        <v>1286</v>
      </c>
      <c r="D90" s="99" t="s">
        <v>1238</v>
      </c>
    </row>
    <row r="91" spans="1:4" ht="15.75">
      <c r="A91" s="92" t="s">
        <v>1287</v>
      </c>
      <c r="B91" s="97" t="s">
        <v>1110</v>
      </c>
      <c r="C91" s="98" t="s">
        <v>1288</v>
      </c>
      <c r="D91" s="99" t="s">
        <v>1238</v>
      </c>
    </row>
    <row r="92" spans="1:4" ht="15.75">
      <c r="A92" s="92" t="s">
        <v>1289</v>
      </c>
      <c r="B92" s="97" t="s">
        <v>1110</v>
      </c>
      <c r="C92" s="98" t="s">
        <v>1290</v>
      </c>
      <c r="D92" s="99" t="s">
        <v>1238</v>
      </c>
    </row>
    <row r="93" spans="1:4" ht="15.75">
      <c r="A93" s="92" t="s">
        <v>1291</v>
      </c>
      <c r="B93" s="97" t="s">
        <v>1110</v>
      </c>
      <c r="C93" s="98" t="s">
        <v>1292</v>
      </c>
      <c r="D93" s="99" t="s">
        <v>1238</v>
      </c>
    </row>
    <row r="94" spans="1:4" ht="15.75">
      <c r="A94" s="92" t="s">
        <v>1293</v>
      </c>
      <c r="B94" s="97" t="s">
        <v>1110</v>
      </c>
      <c r="C94" s="98" t="s">
        <v>1294</v>
      </c>
      <c r="D94" s="99" t="s">
        <v>1238</v>
      </c>
    </row>
    <row r="95" spans="1:4" ht="15.75">
      <c r="A95" s="92" t="s">
        <v>1295</v>
      </c>
      <c r="B95" s="97" t="s">
        <v>1110</v>
      </c>
      <c r="C95" s="98" t="s">
        <v>1296</v>
      </c>
      <c r="D95" s="99" t="s">
        <v>1238</v>
      </c>
    </row>
    <row r="96" spans="1:4" ht="15.75">
      <c r="A96" s="92" t="s">
        <v>1297</v>
      </c>
      <c r="B96" s="97" t="s">
        <v>1106</v>
      </c>
      <c r="C96" s="98" t="s">
        <v>1298</v>
      </c>
      <c r="D96" s="99" t="s">
        <v>1238</v>
      </c>
    </row>
    <row r="97" spans="1:4" ht="15.75">
      <c r="A97" s="92" t="s">
        <v>1299</v>
      </c>
      <c r="B97" s="97" t="s">
        <v>1110</v>
      </c>
      <c r="C97" s="98" t="s">
        <v>1300</v>
      </c>
      <c r="D97" s="99" t="s">
        <v>1238</v>
      </c>
    </row>
    <row r="98" spans="1:4" ht="15.75">
      <c r="A98" s="92" t="s">
        <v>1301</v>
      </c>
      <c r="B98" s="100" t="s">
        <v>1106</v>
      </c>
      <c r="C98" s="101" t="s">
        <v>1302</v>
      </c>
      <c r="D98" s="93" t="s">
        <v>1303</v>
      </c>
    </row>
    <row r="99" spans="1:4" ht="15.75">
      <c r="A99" s="92" t="s">
        <v>1304</v>
      </c>
      <c r="B99" s="93" t="s">
        <v>1110</v>
      </c>
      <c r="C99" s="94" t="s">
        <v>1305</v>
      </c>
      <c r="D99" s="93" t="s">
        <v>1303</v>
      </c>
    </row>
    <row r="100" spans="1:4" ht="15.75">
      <c r="A100" s="92" t="s">
        <v>1306</v>
      </c>
      <c r="B100" s="93" t="s">
        <v>1106</v>
      </c>
      <c r="C100" s="94" t="s">
        <v>1178</v>
      </c>
      <c r="D100" s="93" t="s">
        <v>1303</v>
      </c>
    </row>
    <row r="101" spans="1:4" ht="15.75">
      <c r="A101" s="92" t="s">
        <v>1307</v>
      </c>
      <c r="B101" s="93" t="s">
        <v>1110</v>
      </c>
      <c r="C101" s="94" t="s">
        <v>1308</v>
      </c>
      <c r="D101" s="93" t="s">
        <v>1303</v>
      </c>
    </row>
    <row r="102" spans="1:4" ht="15.75">
      <c r="A102" s="92" t="s">
        <v>1309</v>
      </c>
      <c r="B102" s="93" t="s">
        <v>1110</v>
      </c>
      <c r="C102" s="94" t="s">
        <v>1310</v>
      </c>
      <c r="D102" s="93" t="s">
        <v>1303</v>
      </c>
    </row>
    <row r="103" spans="1:4" ht="15.75">
      <c r="A103" s="92" t="s">
        <v>1311</v>
      </c>
      <c r="B103" s="93" t="s">
        <v>1110</v>
      </c>
      <c r="C103" s="94" t="s">
        <v>1312</v>
      </c>
      <c r="D103" s="93" t="s">
        <v>1303</v>
      </c>
    </row>
    <row r="104" spans="1:4" ht="15.75">
      <c r="A104" s="92" t="s">
        <v>1313</v>
      </c>
      <c r="B104" s="93" t="s">
        <v>1106</v>
      </c>
      <c r="C104" s="94" t="s">
        <v>1314</v>
      </c>
      <c r="D104" s="93" t="s">
        <v>1303</v>
      </c>
    </row>
    <row r="105" spans="1:4" ht="15.75">
      <c r="A105" s="92" t="s">
        <v>1315</v>
      </c>
      <c r="B105" s="93" t="s">
        <v>1106</v>
      </c>
      <c r="C105" s="94" t="s">
        <v>1316</v>
      </c>
      <c r="D105" s="93" t="s">
        <v>1303</v>
      </c>
    </row>
    <row r="106" spans="1:4" ht="15.75">
      <c r="A106" s="92" t="s">
        <v>1317</v>
      </c>
      <c r="B106" s="93" t="s">
        <v>1106</v>
      </c>
      <c r="C106" s="94" t="s">
        <v>1318</v>
      </c>
      <c r="D106" s="93" t="s">
        <v>1303</v>
      </c>
    </row>
    <row r="107" spans="1:4" ht="15.75">
      <c r="A107" s="92" t="s">
        <v>1319</v>
      </c>
      <c r="B107" s="93" t="s">
        <v>1106</v>
      </c>
      <c r="C107" s="94" t="s">
        <v>1320</v>
      </c>
      <c r="D107" s="93" t="s">
        <v>1303</v>
      </c>
    </row>
    <row r="108" spans="1:4" ht="15.75">
      <c r="A108" s="92" t="s">
        <v>1321</v>
      </c>
      <c r="B108" s="93" t="s">
        <v>1106</v>
      </c>
      <c r="C108" s="94" t="s">
        <v>1322</v>
      </c>
      <c r="D108" s="93" t="s">
        <v>1303</v>
      </c>
    </row>
    <row r="109" spans="1:4" ht="15.75">
      <c r="A109" s="92" t="s">
        <v>1323</v>
      </c>
      <c r="B109" s="93" t="s">
        <v>1106</v>
      </c>
      <c r="C109" s="94" t="s">
        <v>1324</v>
      </c>
      <c r="D109" s="93" t="s">
        <v>1303</v>
      </c>
    </row>
    <row r="110" spans="1:4" ht="15.75">
      <c r="A110" s="92" t="s">
        <v>1325</v>
      </c>
      <c r="B110" s="93" t="s">
        <v>1106</v>
      </c>
      <c r="C110" s="94" t="s">
        <v>1326</v>
      </c>
      <c r="D110" s="93" t="s">
        <v>1303</v>
      </c>
    </row>
    <row r="111" spans="1:4" ht="15.75">
      <c r="A111" s="92" t="s">
        <v>1327</v>
      </c>
      <c r="B111" s="93" t="s">
        <v>1106</v>
      </c>
      <c r="C111" s="94" t="s">
        <v>1328</v>
      </c>
      <c r="D111" s="93" t="s">
        <v>1303</v>
      </c>
    </row>
    <row r="112" spans="1:4" ht="15.75">
      <c r="A112" s="92" t="s">
        <v>1329</v>
      </c>
      <c r="B112" s="93" t="s">
        <v>1110</v>
      </c>
      <c r="C112" s="94" t="s">
        <v>1330</v>
      </c>
      <c r="D112" s="93" t="s">
        <v>1303</v>
      </c>
    </row>
    <row r="113" spans="1:4" ht="15.75">
      <c r="A113" s="92" t="s">
        <v>1331</v>
      </c>
      <c r="B113" s="93" t="s">
        <v>1106</v>
      </c>
      <c r="C113" s="94" t="s">
        <v>1332</v>
      </c>
      <c r="D113" s="93" t="s">
        <v>1303</v>
      </c>
    </row>
    <row r="114" spans="1:4" ht="15.75">
      <c r="A114" s="92" t="s">
        <v>1333</v>
      </c>
      <c r="B114" s="93" t="s">
        <v>1106</v>
      </c>
      <c r="C114" s="94" t="s">
        <v>1334</v>
      </c>
      <c r="D114" s="93" t="s">
        <v>1303</v>
      </c>
    </row>
    <row r="115" spans="1:4" ht="15.75">
      <c r="A115" s="92" t="s">
        <v>1335</v>
      </c>
      <c r="B115" s="93" t="s">
        <v>1106</v>
      </c>
      <c r="C115" s="94" t="s">
        <v>1336</v>
      </c>
      <c r="D115" s="93" t="s">
        <v>1303</v>
      </c>
    </row>
    <row r="116" spans="1:4" ht="15.75">
      <c r="A116" s="92" t="s">
        <v>1337</v>
      </c>
      <c r="B116" s="93" t="s">
        <v>1110</v>
      </c>
      <c r="C116" s="94" t="s">
        <v>1338</v>
      </c>
      <c r="D116" s="93" t="s">
        <v>1303</v>
      </c>
    </row>
    <row r="117" spans="1:4" ht="15.75">
      <c r="A117" s="92" t="s">
        <v>1339</v>
      </c>
      <c r="B117" s="93" t="s">
        <v>1110</v>
      </c>
      <c r="C117" s="94" t="s">
        <v>1340</v>
      </c>
      <c r="D117" s="93" t="s">
        <v>1303</v>
      </c>
    </row>
    <row r="118" spans="1:4" ht="15.75">
      <c r="A118" s="92" t="s">
        <v>1341</v>
      </c>
      <c r="B118" s="93" t="s">
        <v>1106</v>
      </c>
      <c r="C118" s="94" t="s">
        <v>1342</v>
      </c>
      <c r="D118" s="93" t="s">
        <v>1303</v>
      </c>
    </row>
    <row r="119" spans="1:4" ht="15.75">
      <c r="A119" s="92" t="s">
        <v>1343</v>
      </c>
      <c r="B119" s="93" t="s">
        <v>1110</v>
      </c>
      <c r="C119" s="94" t="s">
        <v>1344</v>
      </c>
      <c r="D119" s="93" t="s">
        <v>1303</v>
      </c>
    </row>
    <row r="120" spans="1:4" ht="15.75">
      <c r="A120" s="92" t="s">
        <v>1345</v>
      </c>
      <c r="B120" s="93" t="s">
        <v>1106</v>
      </c>
      <c r="C120" s="94" t="s">
        <v>1346</v>
      </c>
      <c r="D120" s="93" t="s">
        <v>1347</v>
      </c>
    </row>
    <row r="121" spans="1:4" ht="15.75">
      <c r="A121" s="92" t="s">
        <v>1348</v>
      </c>
      <c r="B121" s="93" t="s">
        <v>1110</v>
      </c>
      <c r="C121" s="94" t="s">
        <v>1349</v>
      </c>
      <c r="D121" s="93" t="s">
        <v>1347</v>
      </c>
    </row>
    <row r="122" spans="1:4" ht="15.75">
      <c r="A122" s="92" t="s">
        <v>1350</v>
      </c>
      <c r="B122" s="93" t="s">
        <v>1106</v>
      </c>
      <c r="C122" s="94" t="s">
        <v>1351</v>
      </c>
      <c r="D122" s="93" t="s">
        <v>1347</v>
      </c>
    </row>
    <row r="123" spans="1:4" ht="15.75">
      <c r="A123" s="92" t="s">
        <v>1352</v>
      </c>
      <c r="B123" s="93" t="s">
        <v>1110</v>
      </c>
      <c r="C123" s="94" t="s">
        <v>1353</v>
      </c>
      <c r="D123" s="93" t="s">
        <v>1347</v>
      </c>
    </row>
    <row r="124" spans="1:4" ht="15.75">
      <c r="A124" s="92" t="s">
        <v>1354</v>
      </c>
      <c r="B124" s="93" t="s">
        <v>1106</v>
      </c>
      <c r="C124" s="94" t="s">
        <v>1355</v>
      </c>
      <c r="D124" s="93" t="s">
        <v>1347</v>
      </c>
    </row>
    <row r="125" spans="1:4" ht="15.75">
      <c r="A125" s="92" t="s">
        <v>1356</v>
      </c>
      <c r="B125" s="93" t="s">
        <v>1106</v>
      </c>
      <c r="C125" s="94" t="s">
        <v>1357</v>
      </c>
      <c r="D125" s="93" t="s">
        <v>1347</v>
      </c>
    </row>
    <row r="126" spans="1:4" ht="15.75">
      <c r="A126" s="92" t="s">
        <v>1358</v>
      </c>
      <c r="B126" s="93" t="s">
        <v>1110</v>
      </c>
      <c r="C126" s="94" t="s">
        <v>1359</v>
      </c>
      <c r="D126" s="93" t="s">
        <v>1347</v>
      </c>
    </row>
    <row r="127" spans="1:4" ht="15.75">
      <c r="A127" s="92" t="s">
        <v>1360</v>
      </c>
      <c r="B127" s="93" t="s">
        <v>1110</v>
      </c>
      <c r="C127" s="94" t="s">
        <v>1361</v>
      </c>
      <c r="D127" s="93" t="s">
        <v>1347</v>
      </c>
    </row>
    <row r="128" spans="1:4" ht="15.75">
      <c r="A128" s="92" t="s">
        <v>1362</v>
      </c>
      <c r="B128" s="93" t="s">
        <v>1106</v>
      </c>
      <c r="C128" s="94" t="s">
        <v>1363</v>
      </c>
      <c r="D128" s="93" t="s">
        <v>1347</v>
      </c>
    </row>
    <row r="129" spans="1:4" ht="15.75">
      <c r="A129" s="92" t="s">
        <v>1364</v>
      </c>
      <c r="B129" s="93" t="s">
        <v>1106</v>
      </c>
      <c r="C129" s="94" t="s">
        <v>1365</v>
      </c>
      <c r="D129" s="93" t="s">
        <v>1347</v>
      </c>
    </row>
    <row r="130" spans="1:4" ht="15.75">
      <c r="A130" s="92" t="s">
        <v>1366</v>
      </c>
      <c r="B130" s="93" t="s">
        <v>1110</v>
      </c>
      <c r="C130" s="94" t="s">
        <v>1367</v>
      </c>
      <c r="D130" s="93" t="s">
        <v>1347</v>
      </c>
    </row>
    <row r="131" spans="1:4" ht="15.75">
      <c r="A131" s="92" t="s">
        <v>1368</v>
      </c>
      <c r="B131" s="93" t="s">
        <v>1110</v>
      </c>
      <c r="C131" s="94" t="s">
        <v>1369</v>
      </c>
      <c r="D131" s="93" t="s">
        <v>1347</v>
      </c>
    </row>
    <row r="132" spans="1:4" ht="15.75">
      <c r="A132" s="92" t="s">
        <v>1370</v>
      </c>
      <c r="B132" s="93" t="s">
        <v>1110</v>
      </c>
      <c r="C132" s="94" t="s">
        <v>1371</v>
      </c>
      <c r="D132" s="93" t="s">
        <v>1347</v>
      </c>
    </row>
    <row r="133" spans="1:4" ht="15.75">
      <c r="A133" s="92" t="s">
        <v>1372</v>
      </c>
      <c r="B133" s="93" t="s">
        <v>1110</v>
      </c>
      <c r="C133" s="94" t="s">
        <v>1373</v>
      </c>
      <c r="D133" s="93" t="s">
        <v>1347</v>
      </c>
    </row>
    <row r="134" spans="1:4" ht="15.75">
      <c r="A134" s="92" t="s">
        <v>1374</v>
      </c>
      <c r="B134" s="93" t="s">
        <v>1106</v>
      </c>
      <c r="C134" s="94" t="s">
        <v>1375</v>
      </c>
      <c r="D134" s="93" t="s">
        <v>1347</v>
      </c>
    </row>
    <row r="135" spans="1:4" ht="15.75">
      <c r="A135" s="92" t="s">
        <v>1376</v>
      </c>
      <c r="B135" s="93" t="s">
        <v>1110</v>
      </c>
      <c r="C135" s="94" t="s">
        <v>1377</v>
      </c>
      <c r="D135" s="93" t="s">
        <v>1347</v>
      </c>
    </row>
    <row r="136" spans="1:4" ht="15.75">
      <c r="A136" s="92" t="s">
        <v>1378</v>
      </c>
      <c r="B136" s="93" t="s">
        <v>1106</v>
      </c>
      <c r="C136" s="94" t="s">
        <v>1379</v>
      </c>
      <c r="D136" s="93" t="s">
        <v>1347</v>
      </c>
    </row>
    <row r="137" spans="1:4" ht="15.75">
      <c r="A137" s="92" t="s">
        <v>1380</v>
      </c>
      <c r="B137" s="93" t="s">
        <v>1106</v>
      </c>
      <c r="C137" s="94" t="s">
        <v>1381</v>
      </c>
      <c r="D137" s="93" t="s">
        <v>1347</v>
      </c>
    </row>
    <row r="138" spans="1:4" ht="15.75">
      <c r="A138" s="92" t="s">
        <v>1382</v>
      </c>
      <c r="B138" s="93" t="s">
        <v>1110</v>
      </c>
      <c r="C138" s="94" t="s">
        <v>1383</v>
      </c>
      <c r="D138" s="93" t="s">
        <v>1347</v>
      </c>
    </row>
    <row r="139" spans="1:4" ht="15.75">
      <c r="A139" s="92" t="s">
        <v>1384</v>
      </c>
      <c r="B139" s="93" t="s">
        <v>1110</v>
      </c>
      <c r="C139" s="94" t="s">
        <v>1384</v>
      </c>
      <c r="D139" s="93" t="s">
        <v>1347</v>
      </c>
    </row>
    <row r="140" spans="1:4" ht="15.75">
      <c r="A140" s="92" t="s">
        <v>1385</v>
      </c>
      <c r="B140" s="93" t="s">
        <v>1110</v>
      </c>
      <c r="C140" s="94" t="s">
        <v>1386</v>
      </c>
      <c r="D140" s="93" t="s">
        <v>1347</v>
      </c>
    </row>
    <row r="141" spans="1:4" ht="15.75">
      <c r="A141" s="92" t="s">
        <v>1387</v>
      </c>
      <c r="B141" s="93" t="s">
        <v>1106</v>
      </c>
      <c r="C141" s="94" t="s">
        <v>1388</v>
      </c>
      <c r="D141" s="93" t="s">
        <v>1347</v>
      </c>
    </row>
    <row r="142" spans="1:4" ht="15.75">
      <c r="A142" s="92" t="s">
        <v>1389</v>
      </c>
      <c r="B142" s="93" t="s">
        <v>1106</v>
      </c>
      <c r="C142" s="94" t="s">
        <v>1390</v>
      </c>
      <c r="D142" s="93" t="s">
        <v>1347</v>
      </c>
    </row>
    <row r="143" spans="1:4" ht="15.75">
      <c r="A143" s="92" t="s">
        <v>1391</v>
      </c>
      <c r="B143" s="93" t="s">
        <v>1110</v>
      </c>
      <c r="C143" s="94" t="s">
        <v>1392</v>
      </c>
      <c r="D143" s="93" t="s">
        <v>1347</v>
      </c>
    </row>
    <row r="144" spans="1:4" ht="15.75">
      <c r="A144" s="92" t="s">
        <v>1393</v>
      </c>
      <c r="B144" s="93" t="s">
        <v>1110</v>
      </c>
      <c r="C144" s="94" t="s">
        <v>1394</v>
      </c>
      <c r="D144" s="93" t="s">
        <v>1347</v>
      </c>
    </row>
    <row r="145" spans="1:4" ht="15.75">
      <c r="A145" s="92" t="s">
        <v>1395</v>
      </c>
      <c r="B145" s="93" t="s">
        <v>1106</v>
      </c>
      <c r="C145" s="94" t="s">
        <v>1396</v>
      </c>
      <c r="D145" s="93" t="s">
        <v>1347</v>
      </c>
    </row>
    <row r="146" spans="1:4" ht="15.75">
      <c r="A146" s="14" t="s">
        <v>1397</v>
      </c>
      <c r="B146" s="93" t="s">
        <v>1106</v>
      </c>
      <c r="C146" s="94" t="s">
        <v>1398</v>
      </c>
      <c r="D146" s="93" t="s">
        <v>1347</v>
      </c>
    </row>
    <row r="147" spans="1:4" ht="15.75">
      <c r="A147" s="92" t="s">
        <v>1399</v>
      </c>
      <c r="B147" s="93" t="s">
        <v>1110</v>
      </c>
      <c r="C147" s="94" t="s">
        <v>1400</v>
      </c>
      <c r="D147" s="93" t="s">
        <v>1347</v>
      </c>
    </row>
    <row r="148" spans="1:4" ht="15.75">
      <c r="A148" s="92" t="s">
        <v>1401</v>
      </c>
      <c r="B148" s="93" t="s">
        <v>1110</v>
      </c>
      <c r="C148" s="94" t="s">
        <v>1402</v>
      </c>
      <c r="D148" s="93" t="s">
        <v>1347</v>
      </c>
    </row>
    <row r="149" spans="1:4" ht="15.75">
      <c r="A149" s="92" t="s">
        <v>1403</v>
      </c>
      <c r="B149" s="93" t="s">
        <v>1106</v>
      </c>
      <c r="C149" s="94" t="s">
        <v>1404</v>
      </c>
      <c r="D149" s="93" t="s">
        <v>1347</v>
      </c>
    </row>
    <row r="150" spans="1:4" ht="15.75">
      <c r="A150" s="92" t="s">
        <v>1405</v>
      </c>
      <c r="B150" s="93" t="s">
        <v>1106</v>
      </c>
      <c r="C150" s="94" t="s">
        <v>1406</v>
      </c>
      <c r="D150" s="93" t="s">
        <v>1347</v>
      </c>
    </row>
    <row r="151" spans="1:4" ht="15.75">
      <c r="A151" s="92" t="s">
        <v>1407</v>
      </c>
      <c r="B151" s="93" t="s">
        <v>1110</v>
      </c>
      <c r="C151" s="94" t="s">
        <v>1408</v>
      </c>
      <c r="D151" s="93" t="s">
        <v>1347</v>
      </c>
    </row>
    <row r="152" spans="1:4" ht="15.75">
      <c r="A152" s="92" t="s">
        <v>1409</v>
      </c>
      <c r="B152" s="93" t="s">
        <v>1106</v>
      </c>
      <c r="C152" s="94" t="s">
        <v>1410</v>
      </c>
      <c r="D152" s="93" t="s">
        <v>1411</v>
      </c>
    </row>
    <row r="153" spans="1:4" ht="15.75">
      <c r="A153" s="92" t="s">
        <v>1412</v>
      </c>
      <c r="B153" s="93" t="s">
        <v>1106</v>
      </c>
      <c r="C153" s="94" t="s">
        <v>1413</v>
      </c>
      <c r="D153" s="93" t="s">
        <v>1411</v>
      </c>
    </row>
    <row r="154" spans="1:4" ht="15.75">
      <c r="A154" s="92" t="s">
        <v>1414</v>
      </c>
      <c r="B154" s="93" t="s">
        <v>1110</v>
      </c>
      <c r="C154" s="94" t="s">
        <v>1415</v>
      </c>
      <c r="D154" s="93" t="s">
        <v>1411</v>
      </c>
    </row>
    <row r="155" spans="1:4" ht="15.75">
      <c r="A155" s="92" t="s">
        <v>1416</v>
      </c>
      <c r="B155" s="93" t="s">
        <v>1110</v>
      </c>
      <c r="C155" s="94" t="s">
        <v>1417</v>
      </c>
      <c r="D155" s="93" t="s">
        <v>1411</v>
      </c>
    </row>
    <row r="156" spans="1:4" ht="15.75">
      <c r="A156" s="92" t="s">
        <v>1418</v>
      </c>
      <c r="B156" s="93" t="s">
        <v>1110</v>
      </c>
      <c r="C156" s="94" t="s">
        <v>1419</v>
      </c>
      <c r="D156" s="93" t="s">
        <v>1411</v>
      </c>
    </row>
    <row r="157" spans="1:4" ht="15.75">
      <c r="A157" s="92" t="s">
        <v>1420</v>
      </c>
      <c r="B157" s="93" t="s">
        <v>1106</v>
      </c>
      <c r="C157" s="94" t="s">
        <v>1421</v>
      </c>
      <c r="D157" s="93" t="s">
        <v>1411</v>
      </c>
    </row>
    <row r="158" spans="1:4" ht="15.75">
      <c r="A158" s="92" t="s">
        <v>1422</v>
      </c>
      <c r="B158" s="93" t="s">
        <v>1110</v>
      </c>
      <c r="C158" s="94" t="s">
        <v>1359</v>
      </c>
      <c r="D158" s="93" t="s">
        <v>1411</v>
      </c>
    </row>
    <row r="159" spans="1:4" ht="15.75">
      <c r="A159" s="92" t="s">
        <v>1423</v>
      </c>
      <c r="B159" s="93" t="s">
        <v>1110</v>
      </c>
      <c r="C159" s="94" t="s">
        <v>1424</v>
      </c>
      <c r="D159" s="93" t="s">
        <v>1411</v>
      </c>
    </row>
    <row r="160" spans="1:4" ht="15.75">
      <c r="A160" s="92" t="s">
        <v>1425</v>
      </c>
      <c r="B160" s="93" t="s">
        <v>1106</v>
      </c>
      <c r="C160" s="94" t="s">
        <v>1426</v>
      </c>
      <c r="D160" s="93" t="s">
        <v>1411</v>
      </c>
    </row>
    <row r="161" spans="1:4" ht="15.75">
      <c r="A161" s="92" t="s">
        <v>1427</v>
      </c>
      <c r="B161" s="93" t="s">
        <v>1106</v>
      </c>
      <c r="C161" s="94" t="s">
        <v>1428</v>
      </c>
      <c r="D161" s="93" t="s">
        <v>1411</v>
      </c>
    </row>
    <row r="162" spans="1:4" ht="15.75">
      <c r="A162" s="92" t="s">
        <v>1429</v>
      </c>
      <c r="B162" s="93" t="s">
        <v>1106</v>
      </c>
      <c r="C162" s="94" t="s">
        <v>1430</v>
      </c>
      <c r="D162" s="93" t="s">
        <v>1411</v>
      </c>
    </row>
    <row r="163" spans="1:4" ht="15.75">
      <c r="A163" s="92" t="s">
        <v>1431</v>
      </c>
      <c r="B163" s="93" t="s">
        <v>1110</v>
      </c>
      <c r="C163" s="94" t="s">
        <v>1432</v>
      </c>
      <c r="D163" s="93" t="s">
        <v>1411</v>
      </c>
    </row>
    <row r="164" spans="1:4" ht="15.75">
      <c r="A164" s="92" t="s">
        <v>1433</v>
      </c>
      <c r="B164" s="93" t="s">
        <v>1110</v>
      </c>
      <c r="C164" s="94" t="s">
        <v>1434</v>
      </c>
      <c r="D164" s="93" t="s">
        <v>1411</v>
      </c>
    </row>
    <row r="165" spans="1:4" ht="15.75">
      <c r="A165" s="92" t="s">
        <v>1435</v>
      </c>
      <c r="B165" s="93" t="s">
        <v>1106</v>
      </c>
      <c r="C165" s="94" t="s">
        <v>1436</v>
      </c>
      <c r="D165" s="93" t="s">
        <v>1411</v>
      </c>
    </row>
    <row r="166" spans="1:4" ht="15.75">
      <c r="A166" s="92" t="s">
        <v>1437</v>
      </c>
      <c r="B166" s="93" t="s">
        <v>1106</v>
      </c>
      <c r="C166" s="94" t="s">
        <v>1438</v>
      </c>
      <c r="D166" s="93" t="s">
        <v>1411</v>
      </c>
    </row>
    <row r="167" spans="1:4" ht="15.75">
      <c r="A167" s="92" t="s">
        <v>1439</v>
      </c>
      <c r="B167" s="93" t="s">
        <v>1106</v>
      </c>
      <c r="C167" s="94" t="s">
        <v>1440</v>
      </c>
      <c r="D167" s="93" t="s">
        <v>1411</v>
      </c>
    </row>
    <row r="168" spans="1:4" ht="15.75">
      <c r="A168" s="92" t="s">
        <v>1441</v>
      </c>
      <c r="B168" s="93" t="s">
        <v>1110</v>
      </c>
      <c r="C168" s="94" t="s">
        <v>1442</v>
      </c>
      <c r="D168" s="93" t="s">
        <v>1411</v>
      </c>
    </row>
    <row r="169" spans="1:4" ht="15.75">
      <c r="A169" s="92" t="s">
        <v>1443</v>
      </c>
      <c r="B169" s="93" t="s">
        <v>1110</v>
      </c>
      <c r="C169" s="94" t="s">
        <v>1444</v>
      </c>
      <c r="D169" s="93" t="s">
        <v>1411</v>
      </c>
    </row>
    <row r="170" spans="1:4" ht="15.75">
      <c r="A170" s="92" t="s">
        <v>1445</v>
      </c>
      <c r="B170" s="93" t="s">
        <v>1106</v>
      </c>
      <c r="C170" s="94" t="s">
        <v>1446</v>
      </c>
      <c r="D170" s="93" t="s">
        <v>1411</v>
      </c>
    </row>
    <row r="171" spans="1:4" ht="15.75">
      <c r="A171" s="92" t="s">
        <v>1447</v>
      </c>
      <c r="B171" s="93" t="s">
        <v>1106</v>
      </c>
      <c r="C171" s="94" t="s">
        <v>1448</v>
      </c>
      <c r="D171" s="93" t="s">
        <v>1411</v>
      </c>
    </row>
    <row r="172" spans="1:4" ht="15.75">
      <c r="A172" s="92" t="s">
        <v>1449</v>
      </c>
      <c r="B172" s="93" t="s">
        <v>1110</v>
      </c>
      <c r="C172" s="94" t="s">
        <v>1450</v>
      </c>
      <c r="D172" s="93" t="s">
        <v>1411</v>
      </c>
    </row>
    <row r="173" spans="1:4" ht="15.75">
      <c r="A173" s="92" t="s">
        <v>1451</v>
      </c>
      <c r="B173" s="93" t="s">
        <v>1110</v>
      </c>
      <c r="C173" s="94" t="s">
        <v>1452</v>
      </c>
      <c r="D173" s="93" t="s">
        <v>1411</v>
      </c>
    </row>
    <row r="174" spans="1:4" ht="15.75">
      <c r="A174" s="92" t="s">
        <v>1453</v>
      </c>
      <c r="B174" s="93" t="s">
        <v>1106</v>
      </c>
      <c r="C174" s="94" t="s">
        <v>1454</v>
      </c>
      <c r="D174" s="93" t="s">
        <v>1411</v>
      </c>
    </row>
    <row r="175" spans="1:4" ht="15.75">
      <c r="A175" s="92" t="s">
        <v>1455</v>
      </c>
      <c r="B175" s="93" t="s">
        <v>1106</v>
      </c>
      <c r="C175" s="94" t="s">
        <v>1456</v>
      </c>
      <c r="D175" s="93" t="s">
        <v>1411</v>
      </c>
    </row>
    <row r="176" spans="1:4" ht="15.75">
      <c r="A176" s="92" t="s">
        <v>1457</v>
      </c>
      <c r="B176" s="93" t="s">
        <v>1106</v>
      </c>
      <c r="C176" s="94" t="s">
        <v>1458</v>
      </c>
      <c r="D176" s="93" t="s">
        <v>1411</v>
      </c>
    </row>
    <row r="177" spans="1:4" ht="15.75">
      <c r="A177" s="92" t="s">
        <v>1459</v>
      </c>
      <c r="B177" s="93" t="s">
        <v>1106</v>
      </c>
      <c r="C177" s="94" t="s">
        <v>1460</v>
      </c>
      <c r="D177" s="93" t="s">
        <v>1411</v>
      </c>
    </row>
    <row r="178" spans="1:4" ht="15.75">
      <c r="A178" s="92" t="s">
        <v>1461</v>
      </c>
      <c r="B178" s="93" t="s">
        <v>1110</v>
      </c>
      <c r="C178" s="94" t="s">
        <v>1462</v>
      </c>
      <c r="D178" s="93" t="s">
        <v>1411</v>
      </c>
    </row>
    <row r="179" spans="1:4" ht="15.75">
      <c r="A179" s="92" t="s">
        <v>1463</v>
      </c>
      <c r="B179" s="93" t="s">
        <v>1110</v>
      </c>
      <c r="C179" s="94" t="s">
        <v>1464</v>
      </c>
      <c r="D179" s="93" t="s">
        <v>1411</v>
      </c>
    </row>
    <row r="180" spans="1:4" ht="15.75">
      <c r="A180" s="92" t="s">
        <v>1465</v>
      </c>
      <c r="B180" s="93" t="s">
        <v>1110</v>
      </c>
      <c r="C180" s="94" t="s">
        <v>1466</v>
      </c>
      <c r="D180" s="93" t="s">
        <v>1411</v>
      </c>
    </row>
    <row r="181" spans="1:4" ht="15.75">
      <c r="A181" s="92" t="s">
        <v>1467</v>
      </c>
      <c r="B181" s="93" t="s">
        <v>1110</v>
      </c>
      <c r="C181" s="94" t="s">
        <v>1468</v>
      </c>
      <c r="D181" s="93" t="s">
        <v>1411</v>
      </c>
    </row>
    <row r="182" spans="1:4" ht="15.75">
      <c r="A182" s="92" t="s">
        <v>1469</v>
      </c>
      <c r="B182" s="93" t="s">
        <v>1106</v>
      </c>
      <c r="C182" s="94" t="s">
        <v>1470</v>
      </c>
      <c r="D182" s="93" t="s">
        <v>1411</v>
      </c>
    </row>
    <row r="183" spans="1:4" ht="15.75">
      <c r="A183" s="92" t="s">
        <v>1471</v>
      </c>
      <c r="B183" s="93" t="s">
        <v>1106</v>
      </c>
      <c r="C183" s="94" t="s">
        <v>1472</v>
      </c>
      <c r="D183" s="93" t="s">
        <v>1411</v>
      </c>
    </row>
    <row r="184" spans="1:4" ht="15.75">
      <c r="A184" s="92" t="s">
        <v>1473</v>
      </c>
      <c r="B184" s="93" t="s">
        <v>1106</v>
      </c>
      <c r="C184" s="94" t="s">
        <v>1474</v>
      </c>
      <c r="D184" s="93" t="s">
        <v>1475</v>
      </c>
    </row>
    <row r="185" spans="1:4" ht="15.75">
      <c r="A185" s="92" t="s">
        <v>1476</v>
      </c>
      <c r="B185" s="93" t="s">
        <v>1106</v>
      </c>
      <c r="C185" s="94" t="s">
        <v>1477</v>
      </c>
      <c r="D185" s="93" t="s">
        <v>1475</v>
      </c>
    </row>
    <row r="186" spans="1:4" ht="15.75">
      <c r="A186" s="92" t="s">
        <v>1478</v>
      </c>
      <c r="B186" s="93" t="s">
        <v>1110</v>
      </c>
      <c r="C186" s="94" t="s">
        <v>1479</v>
      </c>
      <c r="D186" s="93" t="s">
        <v>1475</v>
      </c>
    </row>
    <row r="187" spans="1:4" ht="15.75">
      <c r="A187" s="92" t="s">
        <v>1480</v>
      </c>
      <c r="B187" s="93" t="s">
        <v>1106</v>
      </c>
      <c r="C187" s="94" t="s">
        <v>1481</v>
      </c>
      <c r="D187" s="93" t="s">
        <v>1475</v>
      </c>
    </row>
    <row r="188" spans="1:4" ht="15.75">
      <c r="A188" s="92" t="s">
        <v>1482</v>
      </c>
      <c r="B188" s="93" t="s">
        <v>1110</v>
      </c>
      <c r="C188" s="94" t="s">
        <v>1483</v>
      </c>
      <c r="D188" s="93" t="s">
        <v>1475</v>
      </c>
    </row>
    <row r="189" spans="1:4" ht="15.75">
      <c r="A189" s="92" t="s">
        <v>1484</v>
      </c>
      <c r="B189" s="93" t="s">
        <v>1110</v>
      </c>
      <c r="C189" s="94" t="s">
        <v>1485</v>
      </c>
      <c r="D189" s="93" t="s">
        <v>1475</v>
      </c>
    </row>
    <row r="190" spans="1:4" ht="15.75">
      <c r="A190" s="92" t="s">
        <v>1486</v>
      </c>
      <c r="B190" s="93" t="s">
        <v>1110</v>
      </c>
      <c r="C190" s="94" t="s">
        <v>1487</v>
      </c>
      <c r="D190" s="93" t="s">
        <v>1475</v>
      </c>
    </row>
    <row r="191" spans="1:4" ht="15.75">
      <c r="A191" s="92" t="s">
        <v>1488</v>
      </c>
      <c r="B191" s="93" t="s">
        <v>1106</v>
      </c>
      <c r="C191" s="94" t="s">
        <v>1489</v>
      </c>
      <c r="D191" s="93" t="s">
        <v>1475</v>
      </c>
    </row>
    <row r="192" spans="1:4" ht="15.75">
      <c r="A192" s="92" t="s">
        <v>1490</v>
      </c>
      <c r="B192" s="93" t="s">
        <v>1110</v>
      </c>
      <c r="C192" s="94" t="s">
        <v>1491</v>
      </c>
      <c r="D192" s="93" t="s">
        <v>1475</v>
      </c>
    </row>
    <row r="193" spans="1:4" ht="15.75">
      <c r="A193" s="92" t="s">
        <v>1492</v>
      </c>
      <c r="B193" s="93" t="s">
        <v>1106</v>
      </c>
      <c r="C193" s="94" t="s">
        <v>1493</v>
      </c>
      <c r="D193" s="93" t="s">
        <v>1475</v>
      </c>
    </row>
    <row r="194" spans="1:4" ht="15.75">
      <c r="A194" s="92" t="s">
        <v>1494</v>
      </c>
      <c r="B194" s="93" t="s">
        <v>1110</v>
      </c>
      <c r="C194" s="94" t="s">
        <v>1495</v>
      </c>
      <c r="D194" s="93" t="s">
        <v>1475</v>
      </c>
    </row>
    <row r="195" spans="1:4" ht="15.75">
      <c r="A195" s="92" t="s">
        <v>1496</v>
      </c>
      <c r="B195" s="93" t="s">
        <v>1110</v>
      </c>
      <c r="C195" s="94" t="s">
        <v>1497</v>
      </c>
      <c r="D195" s="93" t="s">
        <v>1475</v>
      </c>
    </row>
    <row r="196" spans="1:4" ht="15.75">
      <c r="A196" s="92" t="s">
        <v>1498</v>
      </c>
      <c r="B196" s="93" t="s">
        <v>1110</v>
      </c>
      <c r="C196" s="94" t="s">
        <v>1499</v>
      </c>
      <c r="D196" s="93" t="s">
        <v>1475</v>
      </c>
    </row>
    <row r="197" spans="1:4" ht="15.75">
      <c r="A197" s="92" t="s">
        <v>1500</v>
      </c>
      <c r="B197" s="93" t="s">
        <v>1106</v>
      </c>
      <c r="C197" s="94" t="s">
        <v>1501</v>
      </c>
      <c r="D197" s="93" t="s">
        <v>1475</v>
      </c>
    </row>
    <row r="198" spans="1:4" ht="15.75">
      <c r="A198" s="92" t="s">
        <v>1502</v>
      </c>
      <c r="B198" s="93" t="s">
        <v>1106</v>
      </c>
      <c r="C198" s="94" t="s">
        <v>1503</v>
      </c>
      <c r="D198" s="93" t="s">
        <v>1475</v>
      </c>
    </row>
    <row r="199" spans="1:4" ht="15.75">
      <c r="A199" s="92" t="s">
        <v>1504</v>
      </c>
      <c r="B199" s="93" t="s">
        <v>1110</v>
      </c>
      <c r="C199" s="94" t="s">
        <v>1505</v>
      </c>
      <c r="D199" s="93" t="s">
        <v>1475</v>
      </c>
    </row>
    <row r="200" spans="1:4" ht="15.75">
      <c r="A200" s="92" t="s">
        <v>1506</v>
      </c>
      <c r="B200" s="93" t="s">
        <v>1110</v>
      </c>
      <c r="C200" s="94" t="s">
        <v>1507</v>
      </c>
      <c r="D200" s="93" t="s">
        <v>1475</v>
      </c>
    </row>
    <row r="201" spans="1:4" ht="15.75">
      <c r="A201" s="92" t="s">
        <v>1508</v>
      </c>
      <c r="B201" s="93" t="s">
        <v>1110</v>
      </c>
      <c r="C201" s="94" t="s">
        <v>1509</v>
      </c>
      <c r="D201" s="93" t="s">
        <v>1475</v>
      </c>
    </row>
    <row r="202" spans="1:4" ht="15.75">
      <c r="A202" s="92" t="s">
        <v>1510</v>
      </c>
      <c r="B202" s="93" t="s">
        <v>1106</v>
      </c>
      <c r="C202" s="94" t="s">
        <v>1511</v>
      </c>
      <c r="D202" s="93" t="s">
        <v>1475</v>
      </c>
    </row>
    <row r="203" spans="1:4" ht="15.75">
      <c r="A203" s="92" t="s">
        <v>1512</v>
      </c>
      <c r="B203" s="93" t="s">
        <v>1110</v>
      </c>
      <c r="C203" s="94" t="s">
        <v>1513</v>
      </c>
      <c r="D203" s="93" t="s">
        <v>1475</v>
      </c>
    </row>
    <row r="204" spans="1:4" ht="15.75">
      <c r="A204" s="92" t="s">
        <v>1514</v>
      </c>
      <c r="B204" s="93" t="s">
        <v>1110</v>
      </c>
      <c r="C204" s="94" t="s">
        <v>1515</v>
      </c>
      <c r="D204" s="93" t="s">
        <v>1475</v>
      </c>
    </row>
    <row r="205" spans="1:4" ht="15.75">
      <c r="A205" s="92" t="s">
        <v>1516</v>
      </c>
      <c r="B205" s="93" t="s">
        <v>1110</v>
      </c>
      <c r="C205" s="94" t="s">
        <v>1517</v>
      </c>
      <c r="D205" s="93" t="s">
        <v>1475</v>
      </c>
    </row>
    <row r="206" spans="1:4" ht="15.75">
      <c r="A206" s="92" t="s">
        <v>1518</v>
      </c>
      <c r="B206" s="93" t="s">
        <v>1110</v>
      </c>
      <c r="C206" s="94" t="s">
        <v>1519</v>
      </c>
      <c r="D206" s="93" t="s">
        <v>1475</v>
      </c>
    </row>
    <row r="207" spans="1:4" ht="15.75">
      <c r="A207" s="92" t="s">
        <v>1520</v>
      </c>
      <c r="B207" s="93" t="s">
        <v>1106</v>
      </c>
      <c r="C207" s="94" t="s">
        <v>1456</v>
      </c>
      <c r="D207" s="93" t="s">
        <v>1475</v>
      </c>
    </row>
    <row r="208" spans="1:4" ht="15.75">
      <c r="A208" s="92" t="s">
        <v>1521</v>
      </c>
      <c r="B208" s="93" t="s">
        <v>1106</v>
      </c>
      <c r="C208" s="94" t="s">
        <v>1522</v>
      </c>
      <c r="D208" s="93" t="s">
        <v>1475</v>
      </c>
    </row>
    <row r="209" spans="1:4" ht="15.75">
      <c r="A209" s="92" t="s">
        <v>1523</v>
      </c>
      <c r="B209" s="93" t="s">
        <v>1106</v>
      </c>
      <c r="C209" s="94" t="s">
        <v>1524</v>
      </c>
      <c r="D209" s="93" t="s">
        <v>1475</v>
      </c>
    </row>
    <row r="210" spans="1:4" ht="15.75">
      <c r="A210" s="92" t="s">
        <v>1525</v>
      </c>
      <c r="B210" s="93" t="s">
        <v>1106</v>
      </c>
      <c r="C210" s="94" t="s">
        <v>1526</v>
      </c>
      <c r="D210" s="93" t="s">
        <v>1475</v>
      </c>
    </row>
    <row r="211" spans="1:4" ht="15.75">
      <c r="A211" s="92" t="s">
        <v>1527</v>
      </c>
      <c r="B211" s="93" t="s">
        <v>1106</v>
      </c>
      <c r="C211" s="94" t="s">
        <v>1528</v>
      </c>
      <c r="D211" s="93" t="s">
        <v>1475</v>
      </c>
    </row>
    <row r="212" spans="1:4" ht="15.75">
      <c r="A212" s="92" t="s">
        <v>1529</v>
      </c>
      <c r="B212" s="93" t="s">
        <v>1110</v>
      </c>
      <c r="C212" s="94" t="s">
        <v>1530</v>
      </c>
      <c r="D212" s="93" t="s">
        <v>1475</v>
      </c>
    </row>
    <row r="213" spans="1:4" ht="15.75">
      <c r="A213" s="92" t="s">
        <v>1531</v>
      </c>
      <c r="B213" s="93" t="s">
        <v>1106</v>
      </c>
      <c r="C213" s="94" t="s">
        <v>1532</v>
      </c>
      <c r="D213" s="93" t="s">
        <v>1475</v>
      </c>
    </row>
    <row r="214" spans="1:4" ht="15.75">
      <c r="A214" s="92" t="s">
        <v>1533</v>
      </c>
      <c r="B214" s="93" t="s">
        <v>1110</v>
      </c>
      <c r="C214" s="94" t="s">
        <v>1534</v>
      </c>
      <c r="D214" s="93" t="s">
        <v>1475</v>
      </c>
    </row>
    <row r="215" spans="1:4" ht="15.75">
      <c r="A215" s="92" t="s">
        <v>1535</v>
      </c>
      <c r="B215" s="93" t="s">
        <v>1110</v>
      </c>
      <c r="C215" s="94" t="s">
        <v>1536</v>
      </c>
      <c r="D215" s="93" t="s">
        <v>1475</v>
      </c>
    </row>
    <row r="216" spans="1:4" ht="15.75">
      <c r="A216" s="92" t="s">
        <v>1537</v>
      </c>
      <c r="B216" s="93" t="s">
        <v>1106</v>
      </c>
      <c r="C216" s="94" t="s">
        <v>1538</v>
      </c>
      <c r="D216" s="93" t="s">
        <v>1539</v>
      </c>
    </row>
    <row r="217" spans="1:4" ht="15.75">
      <c r="A217" s="92" t="s">
        <v>1540</v>
      </c>
      <c r="B217" s="93" t="s">
        <v>1106</v>
      </c>
      <c r="C217" s="94" t="s">
        <v>1541</v>
      </c>
      <c r="D217" s="93" t="s">
        <v>1539</v>
      </c>
    </row>
    <row r="218" spans="1:4" ht="15.75">
      <c r="A218" s="92" t="s">
        <v>1542</v>
      </c>
      <c r="B218" s="93" t="s">
        <v>1106</v>
      </c>
      <c r="C218" s="94" t="s">
        <v>1543</v>
      </c>
      <c r="D218" s="93" t="s">
        <v>1539</v>
      </c>
    </row>
    <row r="219" spans="1:4" ht="15.75">
      <c r="A219" s="92" t="s">
        <v>1544</v>
      </c>
      <c r="B219" s="93" t="s">
        <v>1110</v>
      </c>
      <c r="C219" s="94" t="s">
        <v>1545</v>
      </c>
      <c r="D219" s="93" t="s">
        <v>1539</v>
      </c>
    </row>
    <row r="220" spans="1:4" ht="15.75">
      <c r="A220" s="92" t="s">
        <v>1546</v>
      </c>
      <c r="B220" s="93" t="s">
        <v>1106</v>
      </c>
      <c r="C220" s="94" t="s">
        <v>1355</v>
      </c>
      <c r="D220" s="93" t="s">
        <v>1539</v>
      </c>
    </row>
    <row r="221" spans="1:4" ht="15.75">
      <c r="A221" s="92" t="s">
        <v>1547</v>
      </c>
      <c r="B221" s="93" t="s">
        <v>1110</v>
      </c>
      <c r="C221" s="94" t="s">
        <v>1548</v>
      </c>
      <c r="D221" s="93" t="s">
        <v>1539</v>
      </c>
    </row>
    <row r="222" spans="1:4" ht="15.75">
      <c r="A222" s="92" t="s">
        <v>1549</v>
      </c>
      <c r="B222" s="93" t="s">
        <v>1110</v>
      </c>
      <c r="C222" s="94" t="s">
        <v>1550</v>
      </c>
      <c r="D222" s="93" t="s">
        <v>1539</v>
      </c>
    </row>
    <row r="223" spans="1:4" ht="15.75">
      <c r="A223" s="92" t="s">
        <v>1551</v>
      </c>
      <c r="B223" s="93" t="s">
        <v>1106</v>
      </c>
      <c r="C223" s="94" t="s">
        <v>1552</v>
      </c>
      <c r="D223" s="93" t="s">
        <v>1539</v>
      </c>
    </row>
    <row r="224" spans="1:4" ht="15.75">
      <c r="A224" s="92" t="s">
        <v>1553</v>
      </c>
      <c r="B224" s="93" t="s">
        <v>1110</v>
      </c>
      <c r="C224" s="94" t="s">
        <v>1554</v>
      </c>
      <c r="D224" s="93" t="s">
        <v>1539</v>
      </c>
    </row>
    <row r="225" spans="1:4" ht="15.75">
      <c r="A225" s="92" t="s">
        <v>1555</v>
      </c>
      <c r="B225" s="93" t="s">
        <v>1106</v>
      </c>
      <c r="C225" s="94" t="s">
        <v>1556</v>
      </c>
      <c r="D225" s="93" t="s">
        <v>1539</v>
      </c>
    </row>
    <row r="226" spans="1:4" ht="15.75">
      <c r="A226" s="92" t="s">
        <v>1557</v>
      </c>
      <c r="B226" s="93" t="s">
        <v>1110</v>
      </c>
      <c r="C226" s="94" t="s">
        <v>1558</v>
      </c>
      <c r="D226" s="93" t="s">
        <v>1539</v>
      </c>
    </row>
    <row r="227" spans="1:4" ht="15.75">
      <c r="A227" s="92" t="s">
        <v>1559</v>
      </c>
      <c r="B227" s="93" t="s">
        <v>1110</v>
      </c>
      <c r="C227" s="94" t="s">
        <v>1560</v>
      </c>
      <c r="D227" s="93" t="s">
        <v>1539</v>
      </c>
    </row>
    <row r="228" spans="1:4" ht="15.75">
      <c r="A228" s="92" t="s">
        <v>1561</v>
      </c>
      <c r="B228" s="93" t="s">
        <v>1106</v>
      </c>
      <c r="C228" s="94" t="s">
        <v>1562</v>
      </c>
      <c r="D228" s="93" t="s">
        <v>1539</v>
      </c>
    </row>
    <row r="229" spans="1:4" ht="15.75">
      <c r="A229" s="92" t="s">
        <v>1563</v>
      </c>
      <c r="B229" s="93" t="s">
        <v>1106</v>
      </c>
      <c r="C229" s="94" t="s">
        <v>1564</v>
      </c>
      <c r="D229" s="93" t="s">
        <v>1539</v>
      </c>
    </row>
    <row r="230" spans="1:4" ht="15.75">
      <c r="A230" s="92" t="s">
        <v>1565</v>
      </c>
      <c r="B230" s="93" t="s">
        <v>1106</v>
      </c>
      <c r="C230" s="94" t="s">
        <v>1566</v>
      </c>
      <c r="D230" s="93" t="s">
        <v>1539</v>
      </c>
    </row>
    <row r="231" spans="1:4" ht="15.75">
      <c r="A231" s="92" t="s">
        <v>1567</v>
      </c>
      <c r="B231" s="93" t="s">
        <v>1110</v>
      </c>
      <c r="C231" s="94" t="s">
        <v>1568</v>
      </c>
      <c r="D231" s="93" t="s">
        <v>1539</v>
      </c>
    </row>
    <row r="232" spans="1:4" ht="15.75">
      <c r="A232" s="92" t="s">
        <v>1569</v>
      </c>
      <c r="B232" s="93" t="s">
        <v>1106</v>
      </c>
      <c r="C232" s="94" t="s">
        <v>1570</v>
      </c>
      <c r="D232" s="93" t="s">
        <v>1539</v>
      </c>
    </row>
    <row r="233" spans="1:4" ht="15.75">
      <c r="A233" s="92" t="s">
        <v>1571</v>
      </c>
      <c r="B233" s="93" t="s">
        <v>1106</v>
      </c>
      <c r="C233" s="94" t="s">
        <v>1572</v>
      </c>
      <c r="D233" s="93" t="s">
        <v>1539</v>
      </c>
    </row>
    <row r="234" spans="1:4" ht="15.75">
      <c r="A234" s="92" t="s">
        <v>1573</v>
      </c>
      <c r="B234" s="93" t="s">
        <v>1106</v>
      </c>
      <c r="C234" s="94" t="s">
        <v>1223</v>
      </c>
      <c r="D234" s="93" t="s">
        <v>1539</v>
      </c>
    </row>
    <row r="235" spans="1:4" ht="15.75">
      <c r="A235" s="92" t="s">
        <v>1574</v>
      </c>
      <c r="B235" s="93" t="s">
        <v>1110</v>
      </c>
      <c r="C235" s="94" t="s">
        <v>1575</v>
      </c>
      <c r="D235" s="93" t="s">
        <v>1539</v>
      </c>
    </row>
    <row r="236" spans="1:4" ht="15.75">
      <c r="A236" s="92" t="s">
        <v>1576</v>
      </c>
      <c r="B236" s="93" t="s">
        <v>1110</v>
      </c>
      <c r="C236" s="94" t="s">
        <v>1577</v>
      </c>
      <c r="D236" s="93" t="s">
        <v>1539</v>
      </c>
    </row>
    <row r="237" spans="1:4" ht="15.75">
      <c r="A237" s="92" t="s">
        <v>1578</v>
      </c>
      <c r="B237" s="93" t="s">
        <v>1110</v>
      </c>
      <c r="C237" s="94" t="s">
        <v>1579</v>
      </c>
      <c r="D237" s="93" t="s">
        <v>1539</v>
      </c>
    </row>
    <row r="238" spans="1:4" ht="15.75">
      <c r="A238" s="92" t="s">
        <v>1580</v>
      </c>
      <c r="B238" s="93" t="s">
        <v>1106</v>
      </c>
      <c r="C238" s="94" t="s">
        <v>1581</v>
      </c>
      <c r="D238" s="93" t="s">
        <v>1539</v>
      </c>
    </row>
    <row r="239" spans="1:4" ht="15.75">
      <c r="A239" s="92" t="s">
        <v>1582</v>
      </c>
      <c r="B239" s="93" t="s">
        <v>1110</v>
      </c>
      <c r="C239" s="94" t="s">
        <v>1583</v>
      </c>
      <c r="D239" s="93" t="s">
        <v>1539</v>
      </c>
    </row>
    <row r="240" spans="1:4" ht="15.75">
      <c r="A240" s="92" t="s">
        <v>1584</v>
      </c>
      <c r="B240" s="93" t="s">
        <v>1110</v>
      </c>
      <c r="C240" s="94" t="s">
        <v>1585</v>
      </c>
      <c r="D240" s="93" t="s">
        <v>1539</v>
      </c>
    </row>
    <row r="241" spans="1:4" ht="15.75">
      <c r="A241" s="92" t="s">
        <v>1586</v>
      </c>
      <c r="B241" s="93" t="s">
        <v>1110</v>
      </c>
      <c r="C241" s="94" t="s">
        <v>1587</v>
      </c>
      <c r="D241" s="93" t="s">
        <v>1539</v>
      </c>
    </row>
    <row r="242" spans="1:4" ht="15.75">
      <c r="A242" s="92" t="s">
        <v>1588</v>
      </c>
      <c r="B242" s="93" t="s">
        <v>1106</v>
      </c>
      <c r="C242" s="94" t="s">
        <v>1219</v>
      </c>
      <c r="D242" s="93" t="s">
        <v>1539</v>
      </c>
    </row>
    <row r="243" spans="1:4" ht="15.75">
      <c r="A243" s="92" t="s">
        <v>1589</v>
      </c>
      <c r="B243" s="93" t="s">
        <v>1106</v>
      </c>
      <c r="C243" s="94" t="s">
        <v>1590</v>
      </c>
      <c r="D243" s="93" t="s">
        <v>1539</v>
      </c>
    </row>
    <row r="244" spans="1:4" ht="15.75">
      <c r="A244" s="92" t="s">
        <v>1591</v>
      </c>
      <c r="B244" s="93" t="s">
        <v>1106</v>
      </c>
      <c r="C244" s="94" t="s">
        <v>1592</v>
      </c>
      <c r="D244" s="93" t="s">
        <v>1539</v>
      </c>
    </row>
    <row r="245" spans="1:4" ht="15.75">
      <c r="A245" s="92" t="s">
        <v>1593</v>
      </c>
      <c r="B245" s="93" t="s">
        <v>1110</v>
      </c>
      <c r="C245" s="94" t="s">
        <v>1594</v>
      </c>
      <c r="D245" s="93" t="s">
        <v>1539</v>
      </c>
    </row>
    <row r="246" spans="1:4" ht="15.75">
      <c r="A246" s="92" t="s">
        <v>1595</v>
      </c>
      <c r="B246" s="93" t="s">
        <v>1110</v>
      </c>
      <c r="C246" s="94" t="s">
        <v>1167</v>
      </c>
      <c r="D246" s="93" t="s">
        <v>1539</v>
      </c>
    </row>
    <row r="247" spans="1:4" ht="15.75">
      <c r="A247" s="92" t="s">
        <v>1596</v>
      </c>
      <c r="B247" s="93" t="s">
        <v>1106</v>
      </c>
      <c r="C247" s="94" t="s">
        <v>1597</v>
      </c>
      <c r="D247" s="93" t="s">
        <v>1598</v>
      </c>
    </row>
    <row r="248" spans="1:4" ht="15.75">
      <c r="A248" s="92" t="s">
        <v>1599</v>
      </c>
      <c r="B248" s="93" t="s">
        <v>1106</v>
      </c>
      <c r="C248" s="94" t="s">
        <v>1600</v>
      </c>
      <c r="D248" s="93" t="s">
        <v>1598</v>
      </c>
    </row>
    <row r="249" spans="1:4" ht="15.75">
      <c r="A249" s="92" t="s">
        <v>1601</v>
      </c>
      <c r="B249" s="93" t="s">
        <v>1110</v>
      </c>
      <c r="C249" s="94" t="s">
        <v>1602</v>
      </c>
      <c r="D249" s="93" t="s">
        <v>1598</v>
      </c>
    </row>
    <row r="250" spans="1:4" ht="15.75">
      <c r="A250" s="92" t="s">
        <v>1603</v>
      </c>
      <c r="B250" s="93" t="s">
        <v>1106</v>
      </c>
      <c r="C250" s="94" t="s">
        <v>1604</v>
      </c>
      <c r="D250" s="93" t="s">
        <v>1598</v>
      </c>
    </row>
    <row r="251" spans="1:4" ht="15.75">
      <c r="A251" s="92" t="s">
        <v>1605</v>
      </c>
      <c r="B251" s="93" t="s">
        <v>1110</v>
      </c>
      <c r="C251" s="94" t="s">
        <v>1485</v>
      </c>
      <c r="D251" s="93" t="s">
        <v>1598</v>
      </c>
    </row>
    <row r="252" spans="1:4" ht="15.75">
      <c r="A252" s="92" t="s">
        <v>1606</v>
      </c>
      <c r="B252" s="93" t="s">
        <v>1110</v>
      </c>
      <c r="C252" s="94" t="s">
        <v>1607</v>
      </c>
      <c r="D252" s="93" t="s">
        <v>1598</v>
      </c>
    </row>
    <row r="253" spans="1:4" ht="15.75">
      <c r="A253" s="92" t="s">
        <v>1608</v>
      </c>
      <c r="B253" s="93" t="s">
        <v>1106</v>
      </c>
      <c r="C253" s="94" t="s">
        <v>1609</v>
      </c>
      <c r="D253" s="93" t="s">
        <v>1598</v>
      </c>
    </row>
    <row r="254" spans="1:4" ht="15.75">
      <c r="A254" s="92" t="s">
        <v>1610</v>
      </c>
      <c r="B254" s="93" t="s">
        <v>1106</v>
      </c>
      <c r="C254" s="94" t="s">
        <v>1611</v>
      </c>
      <c r="D254" s="93" t="s">
        <v>1598</v>
      </c>
    </row>
    <row r="255" spans="1:4" ht="15.75">
      <c r="A255" s="92" t="s">
        <v>1612</v>
      </c>
      <c r="B255" s="93" t="s">
        <v>1106</v>
      </c>
      <c r="C255" s="94" t="s">
        <v>1613</v>
      </c>
      <c r="D255" s="93" t="s">
        <v>1598</v>
      </c>
    </row>
    <row r="256" spans="1:4" ht="15.75">
      <c r="A256" s="92" t="s">
        <v>1614</v>
      </c>
      <c r="B256" s="93" t="s">
        <v>1106</v>
      </c>
      <c r="C256" s="94" t="s">
        <v>1615</v>
      </c>
      <c r="D256" s="93" t="s">
        <v>1598</v>
      </c>
    </row>
    <row r="257" spans="1:4" ht="15.75">
      <c r="A257" s="92" t="s">
        <v>1616</v>
      </c>
      <c r="B257" s="93" t="s">
        <v>1110</v>
      </c>
      <c r="C257" s="94" t="s">
        <v>1617</v>
      </c>
      <c r="D257" s="93" t="s">
        <v>1598</v>
      </c>
    </row>
    <row r="258" spans="1:4" ht="15.75">
      <c r="A258" s="92" t="s">
        <v>1618</v>
      </c>
      <c r="B258" s="93" t="s">
        <v>1106</v>
      </c>
      <c r="C258" s="94" t="s">
        <v>1619</v>
      </c>
      <c r="D258" s="93" t="s">
        <v>1598</v>
      </c>
    </row>
    <row r="259" spans="1:4" ht="15.75">
      <c r="A259" s="92" t="s">
        <v>1620</v>
      </c>
      <c r="B259" s="93" t="s">
        <v>1110</v>
      </c>
      <c r="C259" s="94" t="s">
        <v>1621</v>
      </c>
      <c r="D259" s="93" t="s">
        <v>1598</v>
      </c>
    </row>
    <row r="260" spans="1:4" ht="15.75">
      <c r="A260" s="92" t="s">
        <v>1622</v>
      </c>
      <c r="B260" s="93" t="s">
        <v>1106</v>
      </c>
      <c r="C260" s="94" t="s">
        <v>1623</v>
      </c>
      <c r="D260" s="93" t="s">
        <v>1598</v>
      </c>
    </row>
    <row r="261" spans="1:4" ht="15.75">
      <c r="A261" s="92" t="s">
        <v>1624</v>
      </c>
      <c r="B261" s="93" t="s">
        <v>1106</v>
      </c>
      <c r="C261" s="94" t="s">
        <v>1625</v>
      </c>
      <c r="D261" s="93" t="s">
        <v>1598</v>
      </c>
    </row>
    <row r="262" spans="1:4" ht="15.75">
      <c r="A262" s="92" t="s">
        <v>1626</v>
      </c>
      <c r="B262" s="93" t="s">
        <v>1110</v>
      </c>
      <c r="C262" s="94" t="s">
        <v>1627</v>
      </c>
      <c r="D262" s="93" t="s">
        <v>1598</v>
      </c>
    </row>
    <row r="263" spans="1:4" ht="15.75">
      <c r="A263" s="92" t="s">
        <v>1628</v>
      </c>
      <c r="B263" s="93" t="s">
        <v>1106</v>
      </c>
      <c r="C263" s="94" t="s">
        <v>1629</v>
      </c>
      <c r="D263" s="93" t="s">
        <v>1598</v>
      </c>
    </row>
    <row r="264" spans="1:4" ht="15.75">
      <c r="A264" s="92" t="s">
        <v>1630</v>
      </c>
      <c r="B264" s="93" t="s">
        <v>1110</v>
      </c>
      <c r="C264" s="94" t="s">
        <v>1631</v>
      </c>
      <c r="D264" s="93" t="s">
        <v>1598</v>
      </c>
    </row>
    <row r="265" spans="1:4" ht="15.75">
      <c r="A265" s="92" t="s">
        <v>1632</v>
      </c>
      <c r="B265" s="93" t="s">
        <v>1106</v>
      </c>
      <c r="C265" s="94" t="s">
        <v>1633</v>
      </c>
      <c r="D265" s="93" t="s">
        <v>1598</v>
      </c>
    </row>
    <row r="266" spans="1:4" ht="15.75">
      <c r="A266" s="92" t="s">
        <v>1634</v>
      </c>
      <c r="B266" s="93" t="s">
        <v>1106</v>
      </c>
      <c r="C266" s="94" t="s">
        <v>1635</v>
      </c>
      <c r="D266" s="93" t="s">
        <v>1598</v>
      </c>
    </row>
    <row r="267" spans="1:4" ht="15.75">
      <c r="A267" s="92" t="s">
        <v>1636</v>
      </c>
      <c r="B267" s="93" t="s">
        <v>1110</v>
      </c>
      <c r="C267" s="94" t="s">
        <v>1637</v>
      </c>
      <c r="D267" s="93" t="s">
        <v>1598</v>
      </c>
    </row>
    <row r="268" spans="1:4" ht="15.75">
      <c r="A268" s="92" t="s">
        <v>1638</v>
      </c>
      <c r="B268" s="93" t="s">
        <v>1110</v>
      </c>
      <c r="C268" s="94" t="s">
        <v>1639</v>
      </c>
      <c r="D268" s="93" t="s">
        <v>1598</v>
      </c>
    </row>
    <row r="269" spans="1:4" ht="15.75">
      <c r="A269" s="92" t="s">
        <v>1640</v>
      </c>
      <c r="B269" s="93" t="s">
        <v>1110</v>
      </c>
      <c r="C269" s="94" t="s">
        <v>1641</v>
      </c>
      <c r="D269" s="93" t="s">
        <v>1598</v>
      </c>
    </row>
    <row r="270" spans="1:4" ht="15.75">
      <c r="A270" s="92" t="s">
        <v>1642</v>
      </c>
      <c r="B270" s="93" t="s">
        <v>1110</v>
      </c>
      <c r="C270" s="94" t="s">
        <v>1643</v>
      </c>
      <c r="D270" s="93" t="s">
        <v>1598</v>
      </c>
    </row>
    <row r="271" spans="1:4" ht="15.75">
      <c r="A271" s="92" t="s">
        <v>1644</v>
      </c>
      <c r="B271" s="93" t="s">
        <v>1110</v>
      </c>
      <c r="C271" s="94" t="s">
        <v>1419</v>
      </c>
      <c r="D271" s="93" t="s">
        <v>1598</v>
      </c>
    </row>
    <row r="272" spans="1:4" ht="15.75">
      <c r="A272" s="92" t="s">
        <v>1645</v>
      </c>
      <c r="B272" s="93" t="s">
        <v>1106</v>
      </c>
      <c r="C272" s="94" t="s">
        <v>1646</v>
      </c>
      <c r="D272" s="93" t="s">
        <v>1598</v>
      </c>
    </row>
    <row r="273" spans="1:4" ht="15.75">
      <c r="A273" s="92" t="s">
        <v>1647</v>
      </c>
      <c r="B273" s="93" t="s">
        <v>1110</v>
      </c>
      <c r="C273" s="94" t="s">
        <v>1648</v>
      </c>
      <c r="D273" s="93" t="s">
        <v>1598</v>
      </c>
    </row>
    <row r="274" spans="1:4" ht="15.75">
      <c r="A274" s="92" t="s">
        <v>1649</v>
      </c>
      <c r="B274" s="93" t="s">
        <v>1110</v>
      </c>
      <c r="C274" s="94" t="s">
        <v>1466</v>
      </c>
      <c r="D274" s="93" t="s">
        <v>1598</v>
      </c>
    </row>
    <row r="275" spans="1:4" ht="15.75">
      <c r="A275" s="92" t="s">
        <v>1650</v>
      </c>
      <c r="B275" s="93" t="s">
        <v>1106</v>
      </c>
      <c r="C275" s="94" t="s">
        <v>1651</v>
      </c>
      <c r="D275" s="93" t="s">
        <v>1598</v>
      </c>
    </row>
    <row r="276" spans="1:4" ht="15.75">
      <c r="A276" s="92" t="s">
        <v>1652</v>
      </c>
      <c r="B276" s="93" t="s">
        <v>1110</v>
      </c>
      <c r="C276" s="94" t="s">
        <v>1653</v>
      </c>
      <c r="D276" s="93" t="s">
        <v>1598</v>
      </c>
    </row>
    <row r="277" spans="1:4" ht="15.75">
      <c r="A277" s="92" t="s">
        <v>1654</v>
      </c>
      <c r="B277" s="93" t="s">
        <v>1106</v>
      </c>
      <c r="C277" s="94" t="s">
        <v>1233</v>
      </c>
      <c r="D277" s="93" t="s">
        <v>1598</v>
      </c>
    </row>
    <row r="278" spans="1:4" ht="15.75">
      <c r="A278" s="92" t="s">
        <v>1655</v>
      </c>
      <c r="B278" s="93" t="s">
        <v>1106</v>
      </c>
      <c r="C278" s="94" t="s">
        <v>1656</v>
      </c>
      <c r="D278" s="93" t="s">
        <v>1657</v>
      </c>
    </row>
    <row r="279" spans="1:4" ht="15.75">
      <c r="A279" s="92" t="s">
        <v>1658</v>
      </c>
      <c r="B279" s="93" t="s">
        <v>1110</v>
      </c>
      <c r="C279" s="94" t="s">
        <v>1659</v>
      </c>
      <c r="D279" s="93" t="s">
        <v>1657</v>
      </c>
    </row>
    <row r="280" spans="1:4" ht="15.75">
      <c r="A280" s="92" t="s">
        <v>1660</v>
      </c>
      <c r="B280" s="93" t="s">
        <v>1106</v>
      </c>
      <c r="C280" s="94" t="s">
        <v>1661</v>
      </c>
      <c r="D280" s="93" t="s">
        <v>1657</v>
      </c>
    </row>
    <row r="281" spans="1:4" ht="15.75">
      <c r="A281" s="92" t="s">
        <v>1662</v>
      </c>
      <c r="B281" s="93" t="s">
        <v>1106</v>
      </c>
      <c r="C281" s="94" t="s">
        <v>1663</v>
      </c>
      <c r="D281" s="93" t="s">
        <v>1657</v>
      </c>
    </row>
    <row r="282" spans="1:4" ht="15.75">
      <c r="A282" s="92" t="s">
        <v>1664</v>
      </c>
      <c r="B282" s="93" t="s">
        <v>1110</v>
      </c>
      <c r="C282" s="94" t="s">
        <v>1665</v>
      </c>
      <c r="D282" s="93" t="s">
        <v>1657</v>
      </c>
    </row>
    <row r="283" spans="1:4" ht="15.75">
      <c r="A283" s="92" t="s">
        <v>1666</v>
      </c>
      <c r="B283" s="93" t="s">
        <v>1106</v>
      </c>
      <c r="C283" s="94" t="s">
        <v>1597</v>
      </c>
      <c r="D283" s="93" t="s">
        <v>1657</v>
      </c>
    </row>
    <row r="284" spans="1:4" ht="15.75">
      <c r="A284" s="92" t="s">
        <v>1667</v>
      </c>
      <c r="B284" s="93" t="s">
        <v>1110</v>
      </c>
      <c r="C284" s="94" t="s">
        <v>1668</v>
      </c>
      <c r="D284" s="93" t="s">
        <v>1657</v>
      </c>
    </row>
    <row r="285" spans="1:4" ht="15.75">
      <c r="A285" s="92" t="s">
        <v>1669</v>
      </c>
      <c r="B285" s="93" t="s">
        <v>1106</v>
      </c>
      <c r="C285" s="94" t="s">
        <v>1670</v>
      </c>
      <c r="D285" s="93" t="s">
        <v>1657</v>
      </c>
    </row>
    <row r="286" spans="1:4" ht="15.75">
      <c r="A286" s="92" t="s">
        <v>1671</v>
      </c>
      <c r="B286" s="93" t="s">
        <v>1110</v>
      </c>
      <c r="C286" s="94" t="s">
        <v>1672</v>
      </c>
      <c r="D286" s="93" t="s">
        <v>1657</v>
      </c>
    </row>
    <row r="287" spans="1:4" ht="15.75">
      <c r="A287" s="92" t="s">
        <v>1673</v>
      </c>
      <c r="B287" s="93" t="s">
        <v>1106</v>
      </c>
      <c r="C287" s="94" t="s">
        <v>1674</v>
      </c>
      <c r="D287" s="93" t="s">
        <v>1657</v>
      </c>
    </row>
    <row r="288" spans="1:4" ht="15.75">
      <c r="A288" s="92" t="s">
        <v>1675</v>
      </c>
      <c r="B288" s="93" t="s">
        <v>1106</v>
      </c>
      <c r="C288" s="94" t="s">
        <v>1676</v>
      </c>
      <c r="D288" s="93" t="s">
        <v>1657</v>
      </c>
    </row>
    <row r="289" spans="1:4" ht="15.75">
      <c r="A289" s="92" t="s">
        <v>1677</v>
      </c>
      <c r="B289" s="93" t="s">
        <v>1110</v>
      </c>
      <c r="C289" s="94" t="s">
        <v>1678</v>
      </c>
      <c r="D289" s="93" t="s">
        <v>1657</v>
      </c>
    </row>
    <row r="290" spans="1:4" ht="15.75">
      <c r="A290" s="92" t="s">
        <v>1679</v>
      </c>
      <c r="B290" s="93" t="s">
        <v>1110</v>
      </c>
      <c r="C290" s="94" t="s">
        <v>1680</v>
      </c>
      <c r="D290" s="93" t="s">
        <v>1657</v>
      </c>
    </row>
    <row r="291" spans="1:4" ht="15.75">
      <c r="A291" s="92" t="s">
        <v>1681</v>
      </c>
      <c r="B291" s="93" t="s">
        <v>1110</v>
      </c>
      <c r="C291" s="94" t="s">
        <v>1682</v>
      </c>
      <c r="D291" s="93" t="s">
        <v>1657</v>
      </c>
    </row>
    <row r="292" spans="1:4" ht="15.75">
      <c r="A292" s="92" t="s">
        <v>1683</v>
      </c>
      <c r="B292" s="93" t="s">
        <v>1110</v>
      </c>
      <c r="C292" s="94" t="s">
        <v>1479</v>
      </c>
      <c r="D292" s="93" t="s">
        <v>1657</v>
      </c>
    </row>
    <row r="293" spans="1:4" ht="15.75">
      <c r="A293" s="92" t="s">
        <v>1684</v>
      </c>
      <c r="B293" s="93" t="s">
        <v>1106</v>
      </c>
      <c r="C293" s="94" t="s">
        <v>1685</v>
      </c>
      <c r="D293" s="93" t="s">
        <v>1657</v>
      </c>
    </row>
    <row r="294" spans="1:4" ht="15.75">
      <c r="A294" s="92" t="s">
        <v>1686</v>
      </c>
      <c r="B294" s="93" t="s">
        <v>1106</v>
      </c>
      <c r="C294" s="94" t="s">
        <v>1687</v>
      </c>
      <c r="D294" s="93" t="s">
        <v>1657</v>
      </c>
    </row>
    <row r="295" spans="1:4" ht="15.75">
      <c r="A295" s="92" t="s">
        <v>1688</v>
      </c>
      <c r="B295" s="93" t="s">
        <v>1110</v>
      </c>
      <c r="C295" s="94" t="s">
        <v>1689</v>
      </c>
      <c r="D295" s="93" t="s">
        <v>1657</v>
      </c>
    </row>
    <row r="296" spans="1:4" ht="15.75">
      <c r="A296" s="92" t="s">
        <v>1690</v>
      </c>
      <c r="B296" s="93" t="s">
        <v>1110</v>
      </c>
      <c r="C296" s="94" t="s">
        <v>1691</v>
      </c>
      <c r="D296" s="93" t="s">
        <v>1657</v>
      </c>
    </row>
    <row r="297" spans="1:4" ht="15.75">
      <c r="A297" s="92" t="s">
        <v>1692</v>
      </c>
      <c r="B297" s="93" t="s">
        <v>1110</v>
      </c>
      <c r="C297" s="94" t="s">
        <v>1693</v>
      </c>
      <c r="D297" s="93" t="s">
        <v>1657</v>
      </c>
    </row>
    <row r="298" spans="1:4" ht="15.75">
      <c r="A298" s="92" t="s">
        <v>1694</v>
      </c>
      <c r="B298" s="93" t="s">
        <v>1106</v>
      </c>
      <c r="C298" s="94" t="s">
        <v>1695</v>
      </c>
      <c r="D298" s="93" t="s">
        <v>1657</v>
      </c>
    </row>
    <row r="299" spans="1:4" ht="15.75">
      <c r="A299" s="92" t="s">
        <v>1696</v>
      </c>
      <c r="B299" s="93" t="s">
        <v>1106</v>
      </c>
      <c r="C299" s="94" t="s">
        <v>1697</v>
      </c>
      <c r="D299" s="93" t="s">
        <v>1657</v>
      </c>
    </row>
    <row r="300" spans="1:4" ht="15.75">
      <c r="A300" s="92" t="s">
        <v>1698</v>
      </c>
      <c r="B300" s="93" t="s">
        <v>1110</v>
      </c>
      <c r="C300" s="94" t="s">
        <v>1699</v>
      </c>
      <c r="D300" s="93" t="s">
        <v>1657</v>
      </c>
    </row>
    <row r="301" spans="1:4" ht="15.75">
      <c r="A301" s="92" t="s">
        <v>1700</v>
      </c>
      <c r="B301" s="93" t="s">
        <v>1110</v>
      </c>
      <c r="C301" s="94" t="s">
        <v>1701</v>
      </c>
      <c r="D301" s="93" t="s">
        <v>1657</v>
      </c>
    </row>
    <row r="302" spans="1:4" ht="15.75">
      <c r="A302" s="92" t="s">
        <v>1702</v>
      </c>
      <c r="B302" s="93" t="s">
        <v>1106</v>
      </c>
      <c r="C302" s="94" t="s">
        <v>1703</v>
      </c>
      <c r="D302" s="93" t="s">
        <v>1657</v>
      </c>
    </row>
    <row r="303" spans="1:4" ht="15.75">
      <c r="A303" s="92" t="s">
        <v>1704</v>
      </c>
      <c r="B303" s="93" t="s">
        <v>1106</v>
      </c>
      <c r="C303" s="94" t="s">
        <v>1705</v>
      </c>
      <c r="D303" s="93" t="s">
        <v>1657</v>
      </c>
    </row>
    <row r="304" spans="1:4" ht="15.75">
      <c r="A304" s="92" t="s">
        <v>1706</v>
      </c>
      <c r="B304" s="93" t="s">
        <v>1106</v>
      </c>
      <c r="C304" s="94" t="s">
        <v>1707</v>
      </c>
      <c r="D304" s="93" t="s">
        <v>1657</v>
      </c>
    </row>
    <row r="305" spans="1:4" ht="15.75">
      <c r="A305" s="92" t="s">
        <v>1708</v>
      </c>
      <c r="B305" s="93" t="s">
        <v>1106</v>
      </c>
      <c r="C305" s="94" t="s">
        <v>1709</v>
      </c>
      <c r="D305" s="93" t="s">
        <v>1657</v>
      </c>
    </row>
    <row r="306" spans="1:4" ht="15.75">
      <c r="A306" s="92" t="s">
        <v>1710</v>
      </c>
      <c r="B306" s="93" t="s">
        <v>1110</v>
      </c>
      <c r="C306" s="94" t="s">
        <v>1464</v>
      </c>
      <c r="D306" s="93" t="s">
        <v>1657</v>
      </c>
    </row>
    <row r="307" spans="1:4" ht="15.75">
      <c r="A307" s="92" t="s">
        <v>1711</v>
      </c>
      <c r="B307" s="93" t="s">
        <v>1106</v>
      </c>
      <c r="C307" s="94" t="s">
        <v>1712</v>
      </c>
      <c r="D307" s="93" t="s">
        <v>1657</v>
      </c>
    </row>
    <row r="308" spans="1:4" ht="15.75">
      <c r="A308" s="92" t="s">
        <v>1713</v>
      </c>
      <c r="B308" s="93" t="s">
        <v>1110</v>
      </c>
      <c r="C308" s="94" t="s">
        <v>1714</v>
      </c>
      <c r="D308" s="93" t="s">
        <v>1657</v>
      </c>
    </row>
    <row r="309" spans="1:4" ht="15.75">
      <c r="A309" s="92" t="s">
        <v>1715</v>
      </c>
      <c r="B309" s="93" t="s">
        <v>1106</v>
      </c>
      <c r="C309" s="94" t="s">
        <v>1716</v>
      </c>
      <c r="D309" s="93" t="s">
        <v>1717</v>
      </c>
    </row>
    <row r="310" spans="1:4" ht="15.75">
      <c r="A310" s="92" t="s">
        <v>1718</v>
      </c>
      <c r="B310" s="93" t="s">
        <v>1110</v>
      </c>
      <c r="C310" s="94" t="s">
        <v>1719</v>
      </c>
      <c r="D310" s="93" t="s">
        <v>1717</v>
      </c>
    </row>
    <row r="311" spans="1:4" ht="15.75">
      <c r="A311" s="92" t="s">
        <v>1720</v>
      </c>
      <c r="B311" s="93" t="s">
        <v>1110</v>
      </c>
      <c r="C311" s="94" t="s">
        <v>1721</v>
      </c>
      <c r="D311" s="93" t="s">
        <v>1717</v>
      </c>
    </row>
    <row r="312" spans="1:4" ht="15.75">
      <c r="A312" s="92" t="s">
        <v>1722</v>
      </c>
      <c r="B312" s="93" t="s">
        <v>1110</v>
      </c>
      <c r="C312" s="94" t="s">
        <v>1353</v>
      </c>
      <c r="D312" s="93" t="s">
        <v>1717</v>
      </c>
    </row>
    <row r="313" spans="1:4" ht="15.75">
      <c r="A313" s="92" t="s">
        <v>1723</v>
      </c>
      <c r="B313" s="93" t="s">
        <v>1106</v>
      </c>
      <c r="C313" s="94" t="s">
        <v>1724</v>
      </c>
      <c r="D313" s="93" t="s">
        <v>1717</v>
      </c>
    </row>
    <row r="314" spans="1:4" ht="15.75">
      <c r="A314" s="92" t="s">
        <v>1725</v>
      </c>
      <c r="B314" s="93" t="s">
        <v>1110</v>
      </c>
      <c r="C314" s="94" t="s">
        <v>1726</v>
      </c>
      <c r="D314" s="93" t="s">
        <v>1717</v>
      </c>
    </row>
    <row r="315" spans="1:4" ht="15.75">
      <c r="A315" s="92" t="s">
        <v>1727</v>
      </c>
      <c r="B315" s="93" t="s">
        <v>1110</v>
      </c>
      <c r="C315" s="94" t="s">
        <v>1728</v>
      </c>
      <c r="D315" s="93" t="s">
        <v>1717</v>
      </c>
    </row>
    <row r="316" spans="1:4" ht="15.75">
      <c r="A316" s="92" t="s">
        <v>1729</v>
      </c>
      <c r="B316" s="93" t="s">
        <v>1106</v>
      </c>
      <c r="C316" s="94" t="s">
        <v>1730</v>
      </c>
      <c r="D316" s="93" t="s">
        <v>1717</v>
      </c>
    </row>
    <row r="317" spans="1:4" ht="15.75">
      <c r="A317" s="92" t="s">
        <v>1731</v>
      </c>
      <c r="B317" s="93" t="s">
        <v>1110</v>
      </c>
      <c r="C317" s="94" t="s">
        <v>1732</v>
      </c>
      <c r="D317" s="93" t="s">
        <v>1717</v>
      </c>
    </row>
    <row r="318" spans="1:4" ht="15.75">
      <c r="A318" s="92" t="s">
        <v>1733</v>
      </c>
      <c r="B318" s="93" t="s">
        <v>1110</v>
      </c>
      <c r="C318" s="94" t="s">
        <v>1734</v>
      </c>
      <c r="D318" s="93" t="s">
        <v>1717</v>
      </c>
    </row>
    <row r="319" spans="1:4" ht="15.75">
      <c r="A319" s="92" t="s">
        <v>1735</v>
      </c>
      <c r="B319" s="93" t="s">
        <v>1106</v>
      </c>
      <c r="C319" s="94" t="s">
        <v>1736</v>
      </c>
      <c r="D319" s="93" t="s">
        <v>1717</v>
      </c>
    </row>
    <row r="320" spans="1:4" ht="15.75">
      <c r="A320" s="92" t="s">
        <v>1737</v>
      </c>
      <c r="B320" s="93" t="s">
        <v>1110</v>
      </c>
      <c r="C320" s="94" t="s">
        <v>1738</v>
      </c>
      <c r="D320" s="93" t="s">
        <v>1717</v>
      </c>
    </row>
    <row r="321" spans="1:4" ht="15.75">
      <c r="A321" s="92" t="s">
        <v>1739</v>
      </c>
      <c r="B321" s="93" t="s">
        <v>1106</v>
      </c>
      <c r="C321" s="94" t="s">
        <v>1740</v>
      </c>
      <c r="D321" s="93" t="s">
        <v>1717</v>
      </c>
    </row>
    <row r="322" spans="1:4" ht="15.75">
      <c r="A322" s="92" t="s">
        <v>1741</v>
      </c>
      <c r="B322" s="93" t="s">
        <v>1106</v>
      </c>
      <c r="C322" s="94" t="s">
        <v>1742</v>
      </c>
      <c r="D322" s="93" t="s">
        <v>1717</v>
      </c>
    </row>
    <row r="323" spans="1:4" ht="15.75">
      <c r="A323" s="92" t="s">
        <v>1743</v>
      </c>
      <c r="B323" s="93" t="s">
        <v>1106</v>
      </c>
      <c r="C323" s="94" t="s">
        <v>1744</v>
      </c>
      <c r="D323" s="93" t="s">
        <v>1717</v>
      </c>
    </row>
    <row r="324" spans="1:4" ht="15.75">
      <c r="A324" s="92" t="s">
        <v>1745</v>
      </c>
      <c r="B324" s="93" t="s">
        <v>1106</v>
      </c>
      <c r="C324" s="94" t="s">
        <v>1746</v>
      </c>
      <c r="D324" s="93" t="s">
        <v>1717</v>
      </c>
    </row>
    <row r="325" spans="1:4" ht="15.75">
      <c r="A325" s="92" t="s">
        <v>1747</v>
      </c>
      <c r="B325" s="93" t="s">
        <v>1106</v>
      </c>
      <c r="C325" s="94" t="s">
        <v>1748</v>
      </c>
      <c r="D325" s="93" t="s">
        <v>1717</v>
      </c>
    </row>
    <row r="326" spans="1:4" ht="15.75">
      <c r="A326" s="92" t="s">
        <v>1749</v>
      </c>
      <c r="B326" s="93" t="s">
        <v>1106</v>
      </c>
      <c r="C326" s="94" t="s">
        <v>1750</v>
      </c>
      <c r="D326" s="93" t="s">
        <v>1717</v>
      </c>
    </row>
    <row r="327" spans="1:4" ht="15.75">
      <c r="A327" s="92" t="s">
        <v>1751</v>
      </c>
      <c r="B327" s="93" t="s">
        <v>1106</v>
      </c>
      <c r="C327" s="94" t="s">
        <v>1752</v>
      </c>
      <c r="D327" s="93" t="s">
        <v>1717</v>
      </c>
    </row>
    <row r="328" spans="1:4" ht="15.75">
      <c r="A328" s="92" t="s">
        <v>1753</v>
      </c>
      <c r="B328" s="93" t="s">
        <v>1106</v>
      </c>
      <c r="C328" s="94" t="s">
        <v>1754</v>
      </c>
      <c r="D328" s="93" t="s">
        <v>1717</v>
      </c>
    </row>
    <row r="329" spans="1:4" ht="15.75">
      <c r="A329" s="92" t="s">
        <v>1755</v>
      </c>
      <c r="B329" s="93" t="s">
        <v>1110</v>
      </c>
      <c r="C329" s="94" t="s">
        <v>1452</v>
      </c>
      <c r="D329" s="93" t="s">
        <v>1717</v>
      </c>
    </row>
    <row r="330" spans="1:4" ht="15.75">
      <c r="A330" s="92" t="s">
        <v>1756</v>
      </c>
      <c r="B330" s="93" t="s">
        <v>1106</v>
      </c>
      <c r="C330" s="94" t="s">
        <v>1757</v>
      </c>
      <c r="D330" s="93" t="s">
        <v>1717</v>
      </c>
    </row>
    <row r="331" spans="1:4" ht="15.75">
      <c r="A331" s="92" t="s">
        <v>1758</v>
      </c>
      <c r="B331" s="93" t="s">
        <v>1106</v>
      </c>
      <c r="C331" s="94" t="s">
        <v>1759</v>
      </c>
      <c r="D331" s="93" t="s">
        <v>1717</v>
      </c>
    </row>
    <row r="332" spans="1:4" ht="15.75">
      <c r="A332" s="92" t="s">
        <v>1760</v>
      </c>
      <c r="B332" s="93" t="s">
        <v>1110</v>
      </c>
      <c r="C332" s="94" t="s">
        <v>1577</v>
      </c>
      <c r="D332" s="93" t="s">
        <v>1717</v>
      </c>
    </row>
    <row r="333" spans="1:4" ht="15.75">
      <c r="A333" s="92" t="s">
        <v>1761</v>
      </c>
      <c r="B333" s="93" t="s">
        <v>1110</v>
      </c>
      <c r="C333" s="94" t="s">
        <v>1359</v>
      </c>
      <c r="D333" s="93" t="s">
        <v>1717</v>
      </c>
    </row>
    <row r="334" spans="1:4" ht="15.75">
      <c r="A334" s="92" t="s">
        <v>1762</v>
      </c>
      <c r="B334" s="93" t="s">
        <v>1106</v>
      </c>
      <c r="C334" s="94" t="s">
        <v>1763</v>
      </c>
      <c r="D334" s="93" t="s">
        <v>1717</v>
      </c>
    </row>
    <row r="335" spans="1:4" ht="15.75">
      <c r="A335" s="92" t="s">
        <v>1764</v>
      </c>
      <c r="B335" s="93" t="s">
        <v>1110</v>
      </c>
      <c r="C335" s="94" t="s">
        <v>1765</v>
      </c>
      <c r="D335" s="93" t="s">
        <v>1717</v>
      </c>
    </row>
    <row r="336" spans="1:4" ht="15.75">
      <c r="A336" s="92" t="s">
        <v>1766</v>
      </c>
      <c r="B336" s="93" t="s">
        <v>1110</v>
      </c>
      <c r="C336" s="94" t="s">
        <v>1499</v>
      </c>
      <c r="D336" s="93" t="s">
        <v>1717</v>
      </c>
    </row>
    <row r="337" spans="1:4" ht="15.75">
      <c r="A337" s="92" t="s">
        <v>1767</v>
      </c>
      <c r="B337" s="93" t="s">
        <v>1106</v>
      </c>
      <c r="C337" s="94" t="s">
        <v>1768</v>
      </c>
      <c r="D337" s="93" t="s">
        <v>1717</v>
      </c>
    </row>
    <row r="338" spans="1:4" ht="15.75">
      <c r="A338" s="92" t="s">
        <v>1769</v>
      </c>
      <c r="B338" s="93" t="s">
        <v>1110</v>
      </c>
      <c r="C338" s="94" t="s">
        <v>1770</v>
      </c>
      <c r="D338" s="93" t="s">
        <v>1717</v>
      </c>
    </row>
    <row r="339" spans="1:4" ht="15.75">
      <c r="A339" s="92" t="s">
        <v>1771</v>
      </c>
      <c r="B339" s="93"/>
      <c r="C339" s="94"/>
      <c r="D339" s="93" t="s">
        <v>1717</v>
      </c>
    </row>
    <row r="340" spans="1:4" ht="15.75">
      <c r="A340" s="92" t="s">
        <v>1772</v>
      </c>
      <c r="B340" s="93" t="s">
        <v>1110</v>
      </c>
      <c r="C340" s="94" t="s">
        <v>1773</v>
      </c>
      <c r="D340" s="93" t="s">
        <v>1774</v>
      </c>
    </row>
    <row r="341" spans="1:4" ht="15.75">
      <c r="A341" s="92" t="s">
        <v>1775</v>
      </c>
      <c r="B341" s="93" t="s">
        <v>1106</v>
      </c>
      <c r="C341" s="94" t="s">
        <v>1776</v>
      </c>
      <c r="D341" s="93" t="s">
        <v>1774</v>
      </c>
    </row>
    <row r="342" spans="1:4" ht="15.75">
      <c r="A342" s="92" t="s">
        <v>1777</v>
      </c>
      <c r="B342" s="93" t="s">
        <v>1110</v>
      </c>
      <c r="C342" s="94" t="s">
        <v>1778</v>
      </c>
      <c r="D342" s="93" t="s">
        <v>1774</v>
      </c>
    </row>
    <row r="343" spans="1:4" ht="15.75">
      <c r="A343" s="92" t="s">
        <v>1779</v>
      </c>
      <c r="B343" s="93" t="s">
        <v>1106</v>
      </c>
      <c r="C343" s="94" t="s">
        <v>1438</v>
      </c>
      <c r="D343" s="93" t="s">
        <v>1774</v>
      </c>
    </row>
    <row r="344" spans="1:4" ht="15.75">
      <c r="A344" s="92" t="s">
        <v>1780</v>
      </c>
      <c r="B344" s="93" t="s">
        <v>1106</v>
      </c>
      <c r="C344" s="94" t="s">
        <v>1781</v>
      </c>
      <c r="D344" s="93" t="s">
        <v>1774</v>
      </c>
    </row>
    <row r="345" spans="1:4" ht="15.75">
      <c r="A345" s="92" t="s">
        <v>1782</v>
      </c>
      <c r="B345" s="93" t="s">
        <v>1110</v>
      </c>
      <c r="C345" s="94" t="s">
        <v>1783</v>
      </c>
      <c r="D345" s="93" t="s">
        <v>1774</v>
      </c>
    </row>
    <row r="346" spans="1:4" ht="15.75">
      <c r="A346" s="92" t="s">
        <v>1784</v>
      </c>
      <c r="B346" s="93" t="s">
        <v>1110</v>
      </c>
      <c r="C346" s="94" t="s">
        <v>1785</v>
      </c>
      <c r="D346" s="93" t="s">
        <v>1774</v>
      </c>
    </row>
    <row r="347" spans="1:4" ht="15.75">
      <c r="A347" s="92" t="s">
        <v>1786</v>
      </c>
      <c r="B347" s="93" t="s">
        <v>1106</v>
      </c>
      <c r="C347" s="94" t="s">
        <v>1787</v>
      </c>
      <c r="D347" s="93" t="s">
        <v>1774</v>
      </c>
    </row>
    <row r="348" spans="1:4" ht="15.75">
      <c r="A348" s="92" t="s">
        <v>1788</v>
      </c>
      <c r="B348" s="93" t="s">
        <v>1106</v>
      </c>
      <c r="C348" s="94" t="s">
        <v>1789</v>
      </c>
      <c r="D348" s="93" t="s">
        <v>1774</v>
      </c>
    </row>
    <row r="349" spans="1:4" ht="15.75">
      <c r="A349" s="92" t="s">
        <v>1790</v>
      </c>
      <c r="B349" s="93" t="s">
        <v>1110</v>
      </c>
      <c r="C349" s="94" t="s">
        <v>1791</v>
      </c>
      <c r="D349" s="93" t="s">
        <v>1774</v>
      </c>
    </row>
    <row r="350" spans="1:4" ht="15.75">
      <c r="A350" s="92" t="s">
        <v>1792</v>
      </c>
      <c r="B350" s="93" t="s">
        <v>1106</v>
      </c>
      <c r="C350" s="94" t="s">
        <v>1223</v>
      </c>
      <c r="D350" s="93" t="s">
        <v>1774</v>
      </c>
    </row>
    <row r="351" spans="1:4" ht="15.75">
      <c r="A351" s="92" t="s">
        <v>1793</v>
      </c>
      <c r="B351" s="93" t="s">
        <v>1110</v>
      </c>
      <c r="C351" s="94" t="s">
        <v>1794</v>
      </c>
      <c r="D351" s="93" t="s">
        <v>1774</v>
      </c>
    </row>
    <row r="352" spans="1:4" ht="15.75">
      <c r="A352" s="92" t="s">
        <v>1795</v>
      </c>
      <c r="B352" s="93" t="s">
        <v>1110</v>
      </c>
      <c r="C352" s="94" t="s">
        <v>1796</v>
      </c>
      <c r="D352" s="93" t="s">
        <v>1774</v>
      </c>
    </row>
    <row r="353" spans="1:4" ht="15.75">
      <c r="A353" s="92" t="s">
        <v>1797</v>
      </c>
      <c r="B353" s="93" t="s">
        <v>1110</v>
      </c>
      <c r="C353" s="94" t="s">
        <v>1798</v>
      </c>
      <c r="D353" s="93" t="s">
        <v>1774</v>
      </c>
    </row>
    <row r="354" spans="1:4" ht="15.75">
      <c r="A354" s="92" t="s">
        <v>1799</v>
      </c>
      <c r="B354" s="93" t="s">
        <v>1110</v>
      </c>
      <c r="C354" s="94" t="s">
        <v>1800</v>
      </c>
      <c r="D354" s="93" t="s">
        <v>1774</v>
      </c>
    </row>
    <row r="355" spans="1:4" ht="15.75">
      <c r="A355" s="92" t="s">
        <v>1801</v>
      </c>
      <c r="B355" s="93" t="s">
        <v>1106</v>
      </c>
      <c r="C355" s="94" t="s">
        <v>1481</v>
      </c>
      <c r="D355" s="93" t="s">
        <v>1774</v>
      </c>
    </row>
    <row r="356" spans="1:4" ht="15.75">
      <c r="A356" s="92" t="s">
        <v>1802</v>
      </c>
      <c r="B356" s="93" t="s">
        <v>1110</v>
      </c>
      <c r="C356" s="94" t="s">
        <v>1187</v>
      </c>
      <c r="D356" s="93" t="s">
        <v>1774</v>
      </c>
    </row>
    <row r="357" spans="1:4" ht="15.75">
      <c r="A357" s="92" t="s">
        <v>1803</v>
      </c>
      <c r="B357" s="93" t="s">
        <v>1106</v>
      </c>
      <c r="C357" s="94" t="s">
        <v>1804</v>
      </c>
      <c r="D357" s="93" t="s">
        <v>1774</v>
      </c>
    </row>
    <row r="358" spans="1:4" ht="15.75">
      <c r="A358" s="92" t="s">
        <v>1805</v>
      </c>
      <c r="B358" s="93" t="s">
        <v>1106</v>
      </c>
      <c r="C358" s="94" t="s">
        <v>1600</v>
      </c>
      <c r="D358" s="93" t="s">
        <v>1774</v>
      </c>
    </row>
    <row r="359" spans="1:4" ht="15.75">
      <c r="A359" s="92" t="s">
        <v>1806</v>
      </c>
      <c r="B359" s="93" t="s">
        <v>1106</v>
      </c>
      <c r="C359" s="94" t="s">
        <v>1697</v>
      </c>
      <c r="D359" s="93" t="s">
        <v>1774</v>
      </c>
    </row>
    <row r="360" spans="1:4" ht="15.75">
      <c r="A360" s="92" t="s">
        <v>1807</v>
      </c>
      <c r="B360" s="93" t="s">
        <v>1106</v>
      </c>
      <c r="C360" s="94" t="s">
        <v>1808</v>
      </c>
      <c r="D360" s="93" t="s">
        <v>1774</v>
      </c>
    </row>
    <row r="361" spans="1:4" ht="15.75">
      <c r="A361" s="92" t="s">
        <v>1809</v>
      </c>
      <c r="B361" s="93" t="s">
        <v>1110</v>
      </c>
      <c r="C361" s="94" t="s">
        <v>1810</v>
      </c>
      <c r="D361" s="93" t="s">
        <v>1774</v>
      </c>
    </row>
    <row r="362" spans="1:4" ht="15.75">
      <c r="A362" s="92" t="s">
        <v>1811</v>
      </c>
      <c r="B362" s="93" t="s">
        <v>1110</v>
      </c>
      <c r="C362" s="94" t="s">
        <v>1812</v>
      </c>
      <c r="D362" s="93" t="s">
        <v>1774</v>
      </c>
    </row>
    <row r="363" spans="1:4" ht="15.75">
      <c r="A363" s="92" t="s">
        <v>1813</v>
      </c>
      <c r="B363" s="93" t="s">
        <v>1110</v>
      </c>
      <c r="C363" s="94" t="s">
        <v>1814</v>
      </c>
      <c r="D363" s="93" t="s">
        <v>1774</v>
      </c>
    </row>
    <row r="364" spans="1:4" ht="15.75">
      <c r="A364" s="92" t="s">
        <v>1815</v>
      </c>
      <c r="B364" s="93" t="s">
        <v>1106</v>
      </c>
      <c r="C364" s="94" t="s">
        <v>1816</v>
      </c>
      <c r="D364" s="93" t="s">
        <v>1774</v>
      </c>
    </row>
    <row r="365" spans="1:4" ht="15.75">
      <c r="A365" s="92" t="s">
        <v>1817</v>
      </c>
      <c r="B365" s="93" t="s">
        <v>1106</v>
      </c>
      <c r="C365" s="94" t="s">
        <v>1818</v>
      </c>
      <c r="D365" s="93" t="s">
        <v>1774</v>
      </c>
    </row>
    <row r="366" spans="1:4" ht="15.75">
      <c r="A366" s="92" t="s">
        <v>1819</v>
      </c>
      <c r="B366" s="93" t="s">
        <v>1106</v>
      </c>
      <c r="C366" s="94" t="s">
        <v>1820</v>
      </c>
      <c r="D366" s="93" t="s">
        <v>1774</v>
      </c>
    </row>
    <row r="367" spans="1:4" ht="15.75">
      <c r="A367" s="92" t="s">
        <v>1821</v>
      </c>
      <c r="B367" s="93" t="s">
        <v>1110</v>
      </c>
      <c r="C367" s="94" t="s">
        <v>1822</v>
      </c>
      <c r="D367" s="93" t="s">
        <v>1774</v>
      </c>
    </row>
    <row r="368" spans="1:4" ht="15.75">
      <c r="A368" s="92" t="s">
        <v>1823</v>
      </c>
      <c r="B368" s="93" t="s">
        <v>1110</v>
      </c>
      <c r="C368" s="94" t="s">
        <v>1824</v>
      </c>
      <c r="D368" s="93" t="s">
        <v>1774</v>
      </c>
    </row>
    <row r="369" spans="1:4" ht="15.75">
      <c r="A369" s="92" t="s">
        <v>1825</v>
      </c>
      <c r="B369" s="93" t="s">
        <v>1106</v>
      </c>
      <c r="C369" s="94" t="s">
        <v>1826</v>
      </c>
      <c r="D369" s="93" t="s">
        <v>1774</v>
      </c>
    </row>
    <row r="370" spans="1:4" ht="15.75">
      <c r="A370" s="92" t="s">
        <v>1827</v>
      </c>
      <c r="B370" s="93" t="s">
        <v>1110</v>
      </c>
      <c r="C370" s="94" t="s">
        <v>1828</v>
      </c>
      <c r="D370" s="93" t="s">
        <v>1829</v>
      </c>
    </row>
    <row r="371" spans="1:4" ht="15.75">
      <c r="A371" s="92" t="s">
        <v>1830</v>
      </c>
      <c r="B371" s="93" t="s">
        <v>1106</v>
      </c>
      <c r="C371" s="94" t="s">
        <v>1831</v>
      </c>
      <c r="D371" s="93" t="s">
        <v>1829</v>
      </c>
    </row>
    <row r="372" spans="1:4" ht="15.75">
      <c r="A372" s="92" t="s">
        <v>1832</v>
      </c>
      <c r="B372" s="93" t="s">
        <v>1110</v>
      </c>
      <c r="C372" s="94" t="s">
        <v>1833</v>
      </c>
      <c r="D372" s="93" t="s">
        <v>1829</v>
      </c>
    </row>
    <row r="373" spans="1:4" ht="15.75">
      <c r="A373" s="92" t="s">
        <v>1834</v>
      </c>
      <c r="B373" s="93" t="s">
        <v>1106</v>
      </c>
      <c r="C373" s="94" t="s">
        <v>1835</v>
      </c>
      <c r="D373" s="93" t="s">
        <v>1829</v>
      </c>
    </row>
    <row r="374" spans="1:4" ht="15.75">
      <c r="A374" s="92" t="s">
        <v>1836</v>
      </c>
      <c r="B374" s="93" t="s">
        <v>1110</v>
      </c>
      <c r="C374" s="94" t="s">
        <v>1419</v>
      </c>
      <c r="D374" s="93" t="s">
        <v>1829</v>
      </c>
    </row>
    <row r="375" spans="1:4" ht="15.75">
      <c r="A375" s="92" t="s">
        <v>1837</v>
      </c>
      <c r="B375" s="93" t="s">
        <v>1110</v>
      </c>
      <c r="C375" s="94" t="s">
        <v>1838</v>
      </c>
      <c r="D375" s="93" t="s">
        <v>1829</v>
      </c>
    </row>
    <row r="376" spans="1:4" ht="15.75">
      <c r="A376" s="92" t="s">
        <v>1839</v>
      </c>
      <c r="B376" s="93" t="s">
        <v>1110</v>
      </c>
      <c r="C376" s="94" t="s">
        <v>1840</v>
      </c>
      <c r="D376" s="93" t="s">
        <v>1829</v>
      </c>
    </row>
    <row r="377" spans="1:4" ht="15.75">
      <c r="A377" s="92" t="s">
        <v>1841</v>
      </c>
      <c r="B377" s="93" t="s">
        <v>1106</v>
      </c>
      <c r="C377" s="94" t="s">
        <v>1842</v>
      </c>
      <c r="D377" s="93" t="s">
        <v>1829</v>
      </c>
    </row>
    <row r="378" spans="1:4" ht="15.75">
      <c r="A378" s="92" t="s">
        <v>1843</v>
      </c>
      <c r="B378" s="93" t="s">
        <v>1106</v>
      </c>
      <c r="C378" s="94" t="s">
        <v>1844</v>
      </c>
      <c r="D378" s="93" t="s">
        <v>1829</v>
      </c>
    </row>
    <row r="379" spans="1:4" ht="15.75">
      <c r="A379" s="92" t="s">
        <v>1845</v>
      </c>
      <c r="B379" s="93" t="s">
        <v>1110</v>
      </c>
      <c r="C379" s="94" t="s">
        <v>1846</v>
      </c>
      <c r="D379" s="93" t="s">
        <v>1829</v>
      </c>
    </row>
    <row r="380" spans="1:4" ht="15.75">
      <c r="A380" s="92" t="s">
        <v>1847</v>
      </c>
      <c r="B380" s="93" t="s">
        <v>1110</v>
      </c>
      <c r="C380" s="94" t="s">
        <v>1848</v>
      </c>
      <c r="D380" s="93" t="s">
        <v>1829</v>
      </c>
    </row>
    <row r="381" spans="1:4" ht="15.75">
      <c r="A381" s="92" t="s">
        <v>1849</v>
      </c>
      <c r="B381" s="93" t="s">
        <v>1106</v>
      </c>
      <c r="C381" s="94" t="s">
        <v>1850</v>
      </c>
      <c r="D381" s="93" t="s">
        <v>1829</v>
      </c>
    </row>
    <row r="382" spans="1:4" ht="15.75">
      <c r="A382" s="92" t="s">
        <v>1851</v>
      </c>
      <c r="B382" s="93" t="s">
        <v>1106</v>
      </c>
      <c r="C382" s="94" t="s">
        <v>1852</v>
      </c>
      <c r="D382" s="93" t="s">
        <v>1829</v>
      </c>
    </row>
    <row r="383" spans="1:4" ht="15.75">
      <c r="A383" s="92" t="s">
        <v>1853</v>
      </c>
      <c r="B383" s="93" t="s">
        <v>1110</v>
      </c>
      <c r="C383" s="94" t="s">
        <v>1854</v>
      </c>
      <c r="D383" s="93" t="s">
        <v>1829</v>
      </c>
    </row>
    <row r="384" spans="1:4" ht="15.75">
      <c r="A384" s="92" t="s">
        <v>1855</v>
      </c>
      <c r="B384" s="93" t="s">
        <v>1110</v>
      </c>
      <c r="C384" s="94" t="s">
        <v>1856</v>
      </c>
      <c r="D384" s="93" t="s">
        <v>1829</v>
      </c>
    </row>
    <row r="385" spans="1:4" ht="15.75">
      <c r="A385" s="92" t="s">
        <v>1857</v>
      </c>
      <c r="B385" s="93" t="s">
        <v>1106</v>
      </c>
      <c r="C385" s="94" t="s">
        <v>1858</v>
      </c>
      <c r="D385" s="93" t="s">
        <v>1829</v>
      </c>
    </row>
    <row r="386" spans="1:4" ht="15.75">
      <c r="A386" s="92" t="s">
        <v>1859</v>
      </c>
      <c r="B386" s="93" t="s">
        <v>1110</v>
      </c>
      <c r="C386" s="94" t="s">
        <v>1860</v>
      </c>
      <c r="D386" s="93" t="s">
        <v>1829</v>
      </c>
    </row>
    <row r="387" spans="1:4" ht="15.75">
      <c r="A387" s="92" t="s">
        <v>1861</v>
      </c>
      <c r="B387" s="93" t="s">
        <v>1110</v>
      </c>
      <c r="C387" s="94" t="s">
        <v>1862</v>
      </c>
      <c r="D387" s="93" t="s">
        <v>1829</v>
      </c>
    </row>
    <row r="388" spans="1:4" ht="15.75">
      <c r="A388" s="92" t="s">
        <v>1863</v>
      </c>
      <c r="B388" s="93" t="s">
        <v>1106</v>
      </c>
      <c r="C388" s="94" t="s">
        <v>1864</v>
      </c>
      <c r="D388" s="93" t="s">
        <v>1829</v>
      </c>
    </row>
    <row r="389" spans="1:4" ht="15.75">
      <c r="A389" s="92" t="s">
        <v>1865</v>
      </c>
      <c r="B389" s="93" t="s">
        <v>1106</v>
      </c>
      <c r="C389" s="94" t="s">
        <v>1866</v>
      </c>
      <c r="D389" s="93" t="s">
        <v>1829</v>
      </c>
    </row>
    <row r="390" spans="1:4" ht="15.75">
      <c r="A390" s="92" t="s">
        <v>1867</v>
      </c>
      <c r="B390" s="93" t="s">
        <v>1106</v>
      </c>
      <c r="C390" s="94" t="s">
        <v>1868</v>
      </c>
      <c r="D390" s="93" t="s">
        <v>1829</v>
      </c>
    </row>
    <row r="391" spans="1:4" ht="15.75">
      <c r="A391" s="92" t="s">
        <v>1869</v>
      </c>
      <c r="B391" s="93" t="s">
        <v>1110</v>
      </c>
      <c r="C391" s="94" t="s">
        <v>1870</v>
      </c>
      <c r="D391" s="93" t="s">
        <v>1829</v>
      </c>
    </row>
    <row r="392" spans="1:4" ht="15.75">
      <c r="A392" s="92" t="s">
        <v>1871</v>
      </c>
      <c r="B392" s="93" t="s">
        <v>1110</v>
      </c>
      <c r="C392" s="94" t="s">
        <v>1872</v>
      </c>
      <c r="D392" s="93" t="s">
        <v>1829</v>
      </c>
    </row>
    <row r="393" spans="1:4" ht="15.75">
      <c r="A393" s="92" t="s">
        <v>1873</v>
      </c>
      <c r="B393" s="93" t="s">
        <v>1110</v>
      </c>
      <c r="C393" s="94" t="s">
        <v>1874</v>
      </c>
      <c r="D393" s="93" t="s">
        <v>1829</v>
      </c>
    </row>
    <row r="394" spans="1:4" ht="15.75">
      <c r="A394" s="92" t="s">
        <v>1875</v>
      </c>
      <c r="B394" s="93" t="s">
        <v>1110</v>
      </c>
      <c r="C394" s="94" t="s">
        <v>1876</v>
      </c>
      <c r="D394" s="93" t="s">
        <v>1829</v>
      </c>
    </row>
    <row r="395" spans="1:4" ht="15.75">
      <c r="A395" s="92" t="s">
        <v>1877</v>
      </c>
      <c r="B395" s="93" t="s">
        <v>1110</v>
      </c>
      <c r="C395" s="94" t="s">
        <v>1400</v>
      </c>
      <c r="D395" s="93" t="s">
        <v>1829</v>
      </c>
    </row>
    <row r="396" spans="1:4" ht="15.75">
      <c r="A396" s="92" t="s">
        <v>1878</v>
      </c>
      <c r="B396" s="93" t="s">
        <v>1106</v>
      </c>
      <c r="C396" s="94" t="s">
        <v>1879</v>
      </c>
      <c r="D396" s="93" t="s">
        <v>1829</v>
      </c>
    </row>
    <row r="397" spans="1:4" ht="15.75">
      <c r="A397" s="92" t="s">
        <v>1880</v>
      </c>
      <c r="B397" s="93" t="s">
        <v>1110</v>
      </c>
      <c r="C397" s="94" t="s">
        <v>1367</v>
      </c>
      <c r="D397" s="93" t="s">
        <v>1829</v>
      </c>
    </row>
    <row r="398" spans="1:4" ht="15.75">
      <c r="A398" s="92" t="s">
        <v>1881</v>
      </c>
      <c r="B398" s="93" t="s">
        <v>1110</v>
      </c>
      <c r="C398" s="94" t="s">
        <v>1882</v>
      </c>
      <c r="D398" s="93" t="s">
        <v>1829</v>
      </c>
    </row>
    <row r="399" spans="1:4" ht="15.75">
      <c r="A399" s="92" t="s">
        <v>1883</v>
      </c>
      <c r="B399" s="93" t="s">
        <v>1106</v>
      </c>
      <c r="C399" s="94" t="s">
        <v>1884</v>
      </c>
      <c r="D399" s="93" t="s">
        <v>1829</v>
      </c>
    </row>
    <row r="400" spans="1:4" ht="15.75">
      <c r="A400" s="92" t="s">
        <v>1885</v>
      </c>
      <c r="B400" s="93" t="s">
        <v>1106</v>
      </c>
      <c r="C400" s="94" t="s">
        <v>1171</v>
      </c>
      <c r="D400" s="93" t="s">
        <v>1829</v>
      </c>
    </row>
    <row r="401" spans="1:4" ht="15.75">
      <c r="A401" s="92" t="s">
        <v>1886</v>
      </c>
      <c r="B401" s="93" t="s">
        <v>1106</v>
      </c>
      <c r="C401" s="94" t="s">
        <v>1887</v>
      </c>
      <c r="D401" s="93" t="s">
        <v>1888</v>
      </c>
    </row>
    <row r="402" spans="1:4" ht="15.75">
      <c r="A402" s="92" t="s">
        <v>1889</v>
      </c>
      <c r="B402" s="93" t="s">
        <v>1110</v>
      </c>
      <c r="C402" s="94" t="s">
        <v>1890</v>
      </c>
      <c r="D402" s="93" t="s">
        <v>1888</v>
      </c>
    </row>
    <row r="403" spans="1:4" ht="15.75">
      <c r="A403" s="92" t="s">
        <v>1891</v>
      </c>
      <c r="B403" s="93" t="s">
        <v>1106</v>
      </c>
      <c r="C403" s="94" t="s">
        <v>1892</v>
      </c>
      <c r="D403" s="93" t="s">
        <v>1888</v>
      </c>
    </row>
    <row r="404" spans="1:4" ht="15.75">
      <c r="A404" s="92" t="s">
        <v>1893</v>
      </c>
      <c r="B404" s="93" t="s">
        <v>1110</v>
      </c>
      <c r="C404" s="94" t="s">
        <v>1894</v>
      </c>
      <c r="D404" s="93" t="s">
        <v>1888</v>
      </c>
    </row>
    <row r="405" spans="1:4" ht="15.75">
      <c r="A405" s="92" t="s">
        <v>1895</v>
      </c>
      <c r="B405" s="93" t="s">
        <v>1110</v>
      </c>
      <c r="C405" s="94" t="s">
        <v>1896</v>
      </c>
      <c r="D405" s="93" t="s">
        <v>1888</v>
      </c>
    </row>
    <row r="406" spans="1:4" ht="15.75">
      <c r="A406" s="92" t="s">
        <v>1897</v>
      </c>
      <c r="B406" s="93" t="s">
        <v>1110</v>
      </c>
      <c r="C406" s="94" t="s">
        <v>1898</v>
      </c>
      <c r="D406" s="93" t="s">
        <v>1888</v>
      </c>
    </row>
    <row r="407" spans="1:4" ht="15.75">
      <c r="A407" s="92" t="s">
        <v>1899</v>
      </c>
      <c r="B407" s="93" t="s">
        <v>1110</v>
      </c>
      <c r="C407" s="94" t="s">
        <v>1900</v>
      </c>
      <c r="D407" s="93" t="s">
        <v>1888</v>
      </c>
    </row>
    <row r="408" spans="1:4" ht="15.75">
      <c r="A408" s="92" t="s">
        <v>1901</v>
      </c>
      <c r="B408" s="93" t="s">
        <v>1110</v>
      </c>
      <c r="C408" s="94" t="s">
        <v>1464</v>
      </c>
      <c r="D408" s="93" t="s">
        <v>1888</v>
      </c>
    </row>
    <row r="409" spans="1:4" ht="15.75">
      <c r="A409" s="92" t="s">
        <v>1902</v>
      </c>
      <c r="B409" s="93" t="s">
        <v>1110</v>
      </c>
      <c r="C409" s="94" t="s">
        <v>1903</v>
      </c>
      <c r="D409" s="93" t="s">
        <v>1888</v>
      </c>
    </row>
    <row r="410" spans="1:4" ht="15.75">
      <c r="A410" s="92" t="s">
        <v>1904</v>
      </c>
      <c r="B410" s="93" t="s">
        <v>1110</v>
      </c>
      <c r="C410" s="94" t="s">
        <v>1905</v>
      </c>
      <c r="D410" s="93" t="s">
        <v>1888</v>
      </c>
    </row>
    <row r="411" spans="1:4" ht="15.75">
      <c r="A411" s="92" t="s">
        <v>1906</v>
      </c>
      <c r="B411" s="93" t="s">
        <v>1106</v>
      </c>
      <c r="C411" s="94" t="s">
        <v>1907</v>
      </c>
      <c r="D411" s="93" t="s">
        <v>1888</v>
      </c>
    </row>
    <row r="412" spans="1:4" ht="15.75">
      <c r="A412" s="92" t="s">
        <v>1908</v>
      </c>
      <c r="B412" s="93" t="s">
        <v>1106</v>
      </c>
      <c r="C412" s="94" t="s">
        <v>1909</v>
      </c>
      <c r="D412" s="93" t="s">
        <v>1888</v>
      </c>
    </row>
    <row r="413" spans="1:4" ht="15.75">
      <c r="A413" s="92" t="s">
        <v>1910</v>
      </c>
      <c r="B413" s="93" t="s">
        <v>1110</v>
      </c>
      <c r="C413" s="94" t="s">
        <v>1911</v>
      </c>
      <c r="D413" s="93" t="s">
        <v>1888</v>
      </c>
    </row>
    <row r="414" spans="1:4" ht="15.75">
      <c r="A414" s="92" t="s">
        <v>1912</v>
      </c>
      <c r="B414" s="93" t="s">
        <v>1110</v>
      </c>
      <c r="C414" s="94" t="s">
        <v>1913</v>
      </c>
      <c r="D414" s="93" t="s">
        <v>1888</v>
      </c>
    </row>
    <row r="415" spans="1:4" ht="15.75">
      <c r="A415" s="92" t="s">
        <v>1914</v>
      </c>
      <c r="B415" s="93" t="s">
        <v>1106</v>
      </c>
      <c r="C415" s="94" t="s">
        <v>1915</v>
      </c>
      <c r="D415" s="93" t="s">
        <v>1888</v>
      </c>
    </row>
    <row r="416" spans="1:4" ht="15.75">
      <c r="A416" s="92" t="s">
        <v>1916</v>
      </c>
      <c r="B416" s="93" t="s">
        <v>1110</v>
      </c>
      <c r="C416" s="94" t="s">
        <v>1917</v>
      </c>
      <c r="D416" s="93" t="s">
        <v>1888</v>
      </c>
    </row>
    <row r="417" spans="1:4" ht="15.75">
      <c r="A417" s="92" t="s">
        <v>1918</v>
      </c>
      <c r="B417" s="93" t="s">
        <v>1110</v>
      </c>
      <c r="C417" s="94" t="s">
        <v>1919</v>
      </c>
      <c r="D417" s="93" t="s">
        <v>1888</v>
      </c>
    </row>
    <row r="418" spans="1:4" ht="15.75">
      <c r="A418" s="92" t="s">
        <v>1920</v>
      </c>
      <c r="B418" s="93" t="s">
        <v>1106</v>
      </c>
      <c r="C418" s="94" t="s">
        <v>1921</v>
      </c>
      <c r="D418" s="93" t="s">
        <v>1888</v>
      </c>
    </row>
    <row r="419" spans="1:4" ht="15.75">
      <c r="A419" s="92" t="s">
        <v>1922</v>
      </c>
      <c r="B419" s="93" t="s">
        <v>1106</v>
      </c>
      <c r="C419" s="94" t="s">
        <v>1923</v>
      </c>
      <c r="D419" s="93" t="s">
        <v>1888</v>
      </c>
    </row>
    <row r="420" spans="1:4" ht="15.75">
      <c r="A420" s="92" t="s">
        <v>1924</v>
      </c>
      <c r="B420" s="93" t="s">
        <v>1110</v>
      </c>
      <c r="C420" s="94" t="s">
        <v>1925</v>
      </c>
      <c r="D420" s="93" t="s">
        <v>1888</v>
      </c>
    </row>
    <row r="421" spans="1:4" ht="15.75">
      <c r="A421" s="92" t="s">
        <v>1926</v>
      </c>
      <c r="B421" s="93" t="s">
        <v>1106</v>
      </c>
      <c r="C421" s="94" t="s">
        <v>1927</v>
      </c>
      <c r="D421" s="93" t="s">
        <v>1888</v>
      </c>
    </row>
    <row r="422" spans="1:4" ht="15.75">
      <c r="A422" s="92" t="s">
        <v>1928</v>
      </c>
      <c r="B422" s="93" t="s">
        <v>1106</v>
      </c>
      <c r="C422" s="94" t="s">
        <v>1929</v>
      </c>
      <c r="D422" s="93" t="s">
        <v>1888</v>
      </c>
    </row>
    <row r="423" spans="1:4" ht="15.75">
      <c r="A423" s="92" t="s">
        <v>1930</v>
      </c>
      <c r="B423" s="93" t="s">
        <v>1106</v>
      </c>
      <c r="C423" s="94" t="s">
        <v>1931</v>
      </c>
      <c r="D423" s="93" t="s">
        <v>1888</v>
      </c>
    </row>
    <row r="424" spans="1:4" ht="15.75">
      <c r="A424" s="92" t="s">
        <v>1932</v>
      </c>
      <c r="B424" s="93" t="s">
        <v>1106</v>
      </c>
      <c r="C424" s="94" t="s">
        <v>1933</v>
      </c>
      <c r="D424" s="93" t="s">
        <v>1888</v>
      </c>
    </row>
    <row r="425" spans="1:4" ht="15.75">
      <c r="A425" s="92" t="s">
        <v>1934</v>
      </c>
      <c r="B425" s="93" t="s">
        <v>1110</v>
      </c>
      <c r="C425" s="94" t="s">
        <v>1935</v>
      </c>
      <c r="D425" s="93" t="s">
        <v>1888</v>
      </c>
    </row>
    <row r="426" spans="1:4" ht="15.75">
      <c r="A426" s="92" t="s">
        <v>1936</v>
      </c>
      <c r="B426" s="93" t="s">
        <v>1110</v>
      </c>
      <c r="C426" s="94" t="s">
        <v>1479</v>
      </c>
      <c r="D426" s="93" t="s">
        <v>1888</v>
      </c>
    </row>
    <row r="427" spans="1:4" ht="15.75">
      <c r="A427" s="92" t="s">
        <v>1937</v>
      </c>
      <c r="B427" s="93" t="s">
        <v>1106</v>
      </c>
      <c r="C427" s="94" t="s">
        <v>1938</v>
      </c>
      <c r="D427" s="93" t="s">
        <v>1888</v>
      </c>
    </row>
    <row r="428" spans="1:4" ht="15.75">
      <c r="A428" s="92" t="s">
        <v>1939</v>
      </c>
      <c r="B428" s="93" t="s">
        <v>1106</v>
      </c>
      <c r="C428" s="94" t="s">
        <v>1581</v>
      </c>
      <c r="D428" s="93" t="s">
        <v>1888</v>
      </c>
    </row>
    <row r="429" spans="1:4" ht="15.75">
      <c r="A429" s="92" t="s">
        <v>1940</v>
      </c>
      <c r="B429" s="93" t="s">
        <v>1106</v>
      </c>
      <c r="C429" s="94" t="s">
        <v>1941</v>
      </c>
      <c r="D429" s="93" t="s">
        <v>1888</v>
      </c>
    </row>
    <row r="430" spans="1:4" ht="15.75">
      <c r="A430" s="92" t="s">
        <v>1942</v>
      </c>
      <c r="B430" s="93" t="s">
        <v>1110</v>
      </c>
      <c r="C430" s="94" t="s">
        <v>1943</v>
      </c>
      <c r="D430" s="93" t="s">
        <v>1888</v>
      </c>
    </row>
    <row r="431" spans="1:4" ht="15.75">
      <c r="A431" s="92" t="s">
        <v>1944</v>
      </c>
      <c r="B431" s="93" t="s">
        <v>1110</v>
      </c>
      <c r="C431" s="94" t="s">
        <v>1945</v>
      </c>
      <c r="D431" s="93" t="s">
        <v>1888</v>
      </c>
    </row>
    <row r="432" spans="1:4" ht="15.75">
      <c r="A432" s="92" t="s">
        <v>1946</v>
      </c>
      <c r="B432" s="93" t="s">
        <v>1106</v>
      </c>
      <c r="C432" s="94" t="s">
        <v>1947</v>
      </c>
      <c r="D432" s="93" t="s">
        <v>1948</v>
      </c>
    </row>
    <row r="433" spans="1:4" ht="15.75">
      <c r="A433" s="92" t="s">
        <v>1949</v>
      </c>
      <c r="B433" s="93" t="s">
        <v>1110</v>
      </c>
      <c r="C433" s="94" t="s">
        <v>1714</v>
      </c>
      <c r="D433" s="93" t="s">
        <v>1948</v>
      </c>
    </row>
    <row r="434" spans="1:4" ht="15.75">
      <c r="A434" s="92" t="s">
        <v>1950</v>
      </c>
      <c r="B434" s="93" t="s">
        <v>1106</v>
      </c>
      <c r="C434" s="94" t="s">
        <v>1951</v>
      </c>
      <c r="D434" s="93" t="s">
        <v>1948</v>
      </c>
    </row>
    <row r="435" spans="1:4" ht="15.75">
      <c r="A435" s="92" t="s">
        <v>1952</v>
      </c>
      <c r="B435" s="93" t="s">
        <v>1110</v>
      </c>
      <c r="C435" s="94" t="s">
        <v>1483</v>
      </c>
      <c r="D435" s="93" t="s">
        <v>1948</v>
      </c>
    </row>
    <row r="436" spans="1:4" ht="15.75">
      <c r="A436" s="92" t="s">
        <v>1953</v>
      </c>
      <c r="B436" s="93" t="s">
        <v>1110</v>
      </c>
      <c r="C436" s="94" t="s">
        <v>1954</v>
      </c>
      <c r="D436" s="93" t="s">
        <v>1948</v>
      </c>
    </row>
    <row r="437" spans="1:4" ht="15.75">
      <c r="A437" s="92" t="s">
        <v>1955</v>
      </c>
      <c r="B437" s="93" t="s">
        <v>1110</v>
      </c>
      <c r="C437" s="94" t="s">
        <v>1167</v>
      </c>
      <c r="D437" s="93" t="s">
        <v>1948</v>
      </c>
    </row>
    <row r="438" spans="1:4" ht="15.75">
      <c r="A438" s="92" t="s">
        <v>1956</v>
      </c>
      <c r="B438" s="93" t="s">
        <v>1106</v>
      </c>
      <c r="C438" s="94" t="s">
        <v>1123</v>
      </c>
      <c r="D438" s="93" t="s">
        <v>1948</v>
      </c>
    </row>
    <row r="439" spans="1:4" ht="15.75">
      <c r="A439" s="92" t="s">
        <v>1957</v>
      </c>
      <c r="B439" s="93" t="s">
        <v>1106</v>
      </c>
      <c r="C439" s="94" t="s">
        <v>1958</v>
      </c>
      <c r="D439" s="93" t="s">
        <v>1948</v>
      </c>
    </row>
    <row r="440" spans="1:4" ht="15.75">
      <c r="A440" s="92" t="s">
        <v>1959</v>
      </c>
      <c r="B440" s="93" t="s">
        <v>1110</v>
      </c>
      <c r="C440" s="94" t="s">
        <v>1960</v>
      </c>
      <c r="D440" s="93" t="s">
        <v>1948</v>
      </c>
    </row>
    <row r="441" spans="1:4" ht="15.75">
      <c r="A441" s="92" t="s">
        <v>1961</v>
      </c>
      <c r="B441" s="93" t="s">
        <v>1110</v>
      </c>
      <c r="C441" s="94" t="s">
        <v>1962</v>
      </c>
      <c r="D441" s="93" t="s">
        <v>1948</v>
      </c>
    </row>
    <row r="442" spans="1:4" ht="15.75">
      <c r="A442" s="92" t="s">
        <v>1963</v>
      </c>
      <c r="B442" s="93" t="s">
        <v>1106</v>
      </c>
      <c r="C442" s="94" t="s">
        <v>1964</v>
      </c>
      <c r="D442" s="93" t="s">
        <v>1948</v>
      </c>
    </row>
    <row r="443" spans="1:4" ht="15.75">
      <c r="A443" s="92" t="s">
        <v>1965</v>
      </c>
      <c r="B443" s="93" t="s">
        <v>1106</v>
      </c>
      <c r="C443" s="94" t="s">
        <v>1966</v>
      </c>
      <c r="D443" s="93" t="s">
        <v>1948</v>
      </c>
    </row>
    <row r="444" spans="1:4" ht="15.75">
      <c r="A444" s="92" t="s">
        <v>1967</v>
      </c>
      <c r="B444" s="93" t="s">
        <v>1106</v>
      </c>
      <c r="C444" s="94" t="s">
        <v>1968</v>
      </c>
      <c r="D444" s="93" t="s">
        <v>1948</v>
      </c>
    </row>
    <row r="445" spans="1:4" ht="15.75">
      <c r="A445" s="92" t="s">
        <v>1969</v>
      </c>
      <c r="B445" s="93" t="s">
        <v>1110</v>
      </c>
      <c r="C445" s="94" t="s">
        <v>1917</v>
      </c>
      <c r="D445" s="93" t="s">
        <v>1948</v>
      </c>
    </row>
    <row r="446" spans="1:4" ht="15.75">
      <c r="A446" s="92" t="s">
        <v>1970</v>
      </c>
      <c r="B446" s="93" t="s">
        <v>1110</v>
      </c>
      <c r="C446" s="94" t="s">
        <v>1971</v>
      </c>
      <c r="D446" s="93" t="s">
        <v>1948</v>
      </c>
    </row>
    <row r="447" spans="1:4" ht="15.75">
      <c r="A447" s="92" t="s">
        <v>1972</v>
      </c>
      <c r="B447" s="93" t="s">
        <v>1110</v>
      </c>
      <c r="C447" s="94" t="s">
        <v>1973</v>
      </c>
      <c r="D447" s="93" t="s">
        <v>1948</v>
      </c>
    </row>
    <row r="448" spans="1:4" ht="15.75">
      <c r="A448" s="92" t="s">
        <v>1974</v>
      </c>
      <c r="B448" s="93" t="s">
        <v>1106</v>
      </c>
      <c r="C448" s="94" t="s">
        <v>1446</v>
      </c>
      <c r="D448" s="93" t="s">
        <v>1948</v>
      </c>
    </row>
    <row r="449" spans="1:4" ht="15.75">
      <c r="A449" s="92" t="s">
        <v>1975</v>
      </c>
      <c r="B449" s="93" t="s">
        <v>1106</v>
      </c>
      <c r="C449" s="94" t="s">
        <v>1976</v>
      </c>
      <c r="D449" s="93" t="s">
        <v>1948</v>
      </c>
    </row>
    <row r="450" spans="1:4" ht="15.75">
      <c r="A450" s="92" t="s">
        <v>1977</v>
      </c>
      <c r="B450" s="93" t="s">
        <v>1110</v>
      </c>
      <c r="C450" s="94" t="s">
        <v>1978</v>
      </c>
      <c r="D450" s="93" t="s">
        <v>1948</v>
      </c>
    </row>
    <row r="451" spans="1:4" ht="15.75">
      <c r="A451" s="92" t="s">
        <v>1979</v>
      </c>
      <c r="B451" s="93" t="s">
        <v>1110</v>
      </c>
      <c r="C451" s="94" t="s">
        <v>1980</v>
      </c>
      <c r="D451" s="93" t="s">
        <v>1948</v>
      </c>
    </row>
    <row r="452" spans="1:4" ht="15.75">
      <c r="A452" s="92" t="s">
        <v>1981</v>
      </c>
      <c r="B452" s="93" t="s">
        <v>1110</v>
      </c>
      <c r="C452" s="94" t="s">
        <v>1982</v>
      </c>
      <c r="D452" s="93" t="s">
        <v>1948</v>
      </c>
    </row>
    <row r="453" spans="1:4" ht="15.75">
      <c r="A453" s="92" t="s">
        <v>1983</v>
      </c>
      <c r="B453" s="93" t="s">
        <v>1110</v>
      </c>
      <c r="C453" s="94" t="s">
        <v>1810</v>
      </c>
      <c r="D453" s="93" t="s">
        <v>1948</v>
      </c>
    </row>
    <row r="454" spans="1:4" ht="15.75">
      <c r="A454" s="92" t="s">
        <v>1984</v>
      </c>
      <c r="B454" s="93" t="s">
        <v>1110</v>
      </c>
      <c r="C454" s="94" t="s">
        <v>1668</v>
      </c>
      <c r="D454" s="93" t="s">
        <v>1948</v>
      </c>
    </row>
    <row r="455" spans="1:4" ht="15.75">
      <c r="A455" s="92" t="s">
        <v>1985</v>
      </c>
      <c r="B455" s="93" t="s">
        <v>1106</v>
      </c>
      <c r="C455" s="94" t="s">
        <v>1986</v>
      </c>
      <c r="D455" s="93" t="s">
        <v>1948</v>
      </c>
    </row>
    <row r="456" spans="1:4" ht="15.75">
      <c r="A456" s="92" t="s">
        <v>1987</v>
      </c>
      <c r="B456" s="93" t="s">
        <v>1106</v>
      </c>
      <c r="C456" s="94" t="s">
        <v>1988</v>
      </c>
      <c r="D456" s="93" t="s">
        <v>1948</v>
      </c>
    </row>
    <row r="457" spans="1:4" ht="15.75">
      <c r="A457" s="92" t="s">
        <v>1989</v>
      </c>
      <c r="B457" s="93" t="s">
        <v>1106</v>
      </c>
      <c r="C457" s="94" t="s">
        <v>1990</v>
      </c>
      <c r="D457" s="93" t="s">
        <v>1948</v>
      </c>
    </row>
    <row r="458" spans="1:4" ht="15.75">
      <c r="A458" s="92" t="s">
        <v>1991</v>
      </c>
      <c r="B458" s="93" t="s">
        <v>1106</v>
      </c>
      <c r="C458" s="94" t="s">
        <v>1992</v>
      </c>
      <c r="D458" s="93" t="s">
        <v>1948</v>
      </c>
    </row>
    <row r="459" spans="1:4" ht="15.75">
      <c r="A459" s="92" t="s">
        <v>1993</v>
      </c>
      <c r="B459" s="93" t="s">
        <v>1110</v>
      </c>
      <c r="C459" s="94" t="s">
        <v>1338</v>
      </c>
      <c r="D459" s="93" t="s">
        <v>1948</v>
      </c>
    </row>
    <row r="460" spans="1:4" ht="15.75">
      <c r="A460" s="92" t="s">
        <v>1994</v>
      </c>
      <c r="B460" s="93" t="s">
        <v>1106</v>
      </c>
      <c r="C460" s="94" t="s">
        <v>1995</v>
      </c>
      <c r="D460" s="93" t="s">
        <v>1948</v>
      </c>
    </row>
    <row r="461" spans="1:4" ht="15.75">
      <c r="A461" s="92" t="s">
        <v>1996</v>
      </c>
      <c r="B461" s="93" t="s">
        <v>1106</v>
      </c>
      <c r="C461" s="94" t="s">
        <v>1997</v>
      </c>
      <c r="D461" s="93" t="s">
        <v>1948</v>
      </c>
    </row>
    <row r="462" spans="1:4" ht="15.75">
      <c r="A462" s="92" t="s">
        <v>1998</v>
      </c>
      <c r="B462" s="93" t="s">
        <v>1110</v>
      </c>
      <c r="C462" s="94" t="s">
        <v>1999</v>
      </c>
      <c r="D462" s="93" t="s">
        <v>1948</v>
      </c>
    </row>
    <row r="463" spans="1:4" ht="15.75">
      <c r="A463" s="92" t="s">
        <v>2000</v>
      </c>
      <c r="B463" s="93" t="s">
        <v>1110</v>
      </c>
      <c r="C463" s="94" t="s">
        <v>2001</v>
      </c>
      <c r="D463" s="93" t="s">
        <v>2002</v>
      </c>
    </row>
    <row r="464" spans="1:4" ht="15.75">
      <c r="A464" s="92" t="s">
        <v>2003</v>
      </c>
      <c r="B464" s="93" t="s">
        <v>1106</v>
      </c>
      <c r="C464" s="94" t="s">
        <v>2004</v>
      </c>
      <c r="D464" s="93" t="s">
        <v>2002</v>
      </c>
    </row>
    <row r="465" spans="1:4" ht="15.75">
      <c r="A465" s="92" t="s">
        <v>2005</v>
      </c>
      <c r="B465" s="93" t="s">
        <v>1110</v>
      </c>
      <c r="C465" s="94" t="s">
        <v>2006</v>
      </c>
      <c r="D465" s="93" t="s">
        <v>2002</v>
      </c>
    </row>
    <row r="466" spans="1:4" ht="15.75">
      <c r="A466" s="92" t="s">
        <v>2007</v>
      </c>
      <c r="B466" s="93" t="s">
        <v>1110</v>
      </c>
      <c r="C466" s="94" t="s">
        <v>2008</v>
      </c>
      <c r="D466" s="93" t="s">
        <v>2002</v>
      </c>
    </row>
    <row r="467" spans="1:4" ht="15.75">
      <c r="A467" s="92" t="s">
        <v>2009</v>
      </c>
      <c r="B467" s="93" t="s">
        <v>1106</v>
      </c>
      <c r="C467" s="94" t="s">
        <v>2010</v>
      </c>
      <c r="D467" s="93" t="s">
        <v>2002</v>
      </c>
    </row>
    <row r="468" spans="1:4" ht="15.75">
      <c r="A468" s="92" t="s">
        <v>2011</v>
      </c>
      <c r="B468" s="93" t="s">
        <v>1110</v>
      </c>
      <c r="C468" s="94" t="s">
        <v>1479</v>
      </c>
      <c r="D468" s="93" t="s">
        <v>2002</v>
      </c>
    </row>
    <row r="469" spans="1:4" ht="15.75">
      <c r="A469" s="92" t="s">
        <v>2012</v>
      </c>
      <c r="B469" s="93" t="s">
        <v>1106</v>
      </c>
      <c r="C469" s="94" t="s">
        <v>2013</v>
      </c>
      <c r="D469" s="93" t="s">
        <v>2002</v>
      </c>
    </row>
    <row r="470" spans="1:4" ht="15.75">
      <c r="A470" s="92" t="s">
        <v>2014</v>
      </c>
      <c r="B470" s="93" t="s">
        <v>1110</v>
      </c>
      <c r="C470" s="94" t="s">
        <v>1117</v>
      </c>
      <c r="D470" s="93" t="s">
        <v>2002</v>
      </c>
    </row>
    <row r="471" spans="1:4" ht="15.75">
      <c r="A471" s="92" t="s">
        <v>2015</v>
      </c>
      <c r="B471" s="93" t="s">
        <v>1110</v>
      </c>
      <c r="C471" s="94" t="s">
        <v>1483</v>
      </c>
      <c r="D471" s="93" t="s">
        <v>2002</v>
      </c>
    </row>
    <row r="472" spans="1:4" ht="15.75">
      <c r="A472" s="92" t="s">
        <v>2016</v>
      </c>
      <c r="B472" s="93" t="s">
        <v>1110</v>
      </c>
      <c r="C472" s="94" t="s">
        <v>1479</v>
      </c>
      <c r="D472" s="93" t="s">
        <v>2002</v>
      </c>
    </row>
    <row r="473" spans="1:4" ht="15.75">
      <c r="A473" s="92" t="s">
        <v>2017</v>
      </c>
      <c r="B473" s="93" t="s">
        <v>1106</v>
      </c>
      <c r="C473" s="94" t="s">
        <v>2018</v>
      </c>
      <c r="D473" s="93" t="s">
        <v>2002</v>
      </c>
    </row>
    <row r="474" spans="1:4" ht="15.75">
      <c r="A474" s="92" t="s">
        <v>2019</v>
      </c>
      <c r="B474" s="93" t="s">
        <v>1106</v>
      </c>
      <c r="C474" s="94" t="s">
        <v>2020</v>
      </c>
      <c r="D474" s="93" t="s">
        <v>2002</v>
      </c>
    </row>
    <row r="475" spans="1:4" ht="15.75">
      <c r="A475" s="92" t="s">
        <v>2021</v>
      </c>
      <c r="B475" s="93" t="s">
        <v>1110</v>
      </c>
      <c r="C475" s="94" t="s">
        <v>2022</v>
      </c>
      <c r="D475" s="93" t="s">
        <v>2002</v>
      </c>
    </row>
    <row r="476" spans="1:4" ht="15.75">
      <c r="A476" s="92" t="s">
        <v>2023</v>
      </c>
      <c r="B476" s="93" t="s">
        <v>1106</v>
      </c>
      <c r="C476" s="94" t="s">
        <v>2024</v>
      </c>
      <c r="D476" s="93" t="s">
        <v>2002</v>
      </c>
    </row>
    <row r="477" spans="1:4" ht="15.75">
      <c r="A477" s="92" t="s">
        <v>2025</v>
      </c>
      <c r="B477" s="93" t="s">
        <v>1106</v>
      </c>
      <c r="C477" s="94" t="s">
        <v>2026</v>
      </c>
      <c r="D477" s="93" t="s">
        <v>2002</v>
      </c>
    </row>
    <row r="478" spans="1:4" ht="15.75">
      <c r="A478" s="92" t="s">
        <v>2027</v>
      </c>
      <c r="B478" s="93" t="s">
        <v>1106</v>
      </c>
      <c r="C478" s="94" t="s">
        <v>2028</v>
      </c>
      <c r="D478" s="93" t="s">
        <v>2002</v>
      </c>
    </row>
    <row r="479" spans="1:4" ht="15.75">
      <c r="A479" s="92" t="s">
        <v>2029</v>
      </c>
      <c r="B479" s="93" t="s">
        <v>1106</v>
      </c>
      <c r="C479" s="94" t="s">
        <v>2030</v>
      </c>
      <c r="D479" s="93" t="s">
        <v>2002</v>
      </c>
    </row>
    <row r="480" spans="1:4" ht="15.75">
      <c r="A480" s="92" t="s">
        <v>2031</v>
      </c>
      <c r="B480" s="93" t="s">
        <v>1106</v>
      </c>
      <c r="C480" s="94" t="s">
        <v>2032</v>
      </c>
      <c r="D480" s="93" t="s">
        <v>2002</v>
      </c>
    </row>
    <row r="481" spans="1:4" ht="15.75">
      <c r="A481" s="92" t="s">
        <v>2033</v>
      </c>
      <c r="B481" s="93" t="s">
        <v>1110</v>
      </c>
      <c r="C481" s="94" t="s">
        <v>2034</v>
      </c>
      <c r="D481" s="93" t="s">
        <v>2002</v>
      </c>
    </row>
    <row r="482" spans="1:4" ht="15.75">
      <c r="A482" s="92" t="s">
        <v>2035</v>
      </c>
      <c r="B482" s="93" t="s">
        <v>1110</v>
      </c>
      <c r="C482" s="94" t="s">
        <v>2036</v>
      </c>
      <c r="D482" s="93" t="s">
        <v>2002</v>
      </c>
    </row>
    <row r="483" spans="1:4" ht="15.75">
      <c r="A483" s="92" t="s">
        <v>2037</v>
      </c>
      <c r="B483" s="93" t="s">
        <v>1110</v>
      </c>
      <c r="C483" s="94" t="s">
        <v>2038</v>
      </c>
      <c r="D483" s="93" t="s">
        <v>2002</v>
      </c>
    </row>
    <row r="484" spans="1:4" ht="15.75">
      <c r="A484" s="92" t="s">
        <v>2039</v>
      </c>
      <c r="B484" s="93" t="s">
        <v>1106</v>
      </c>
      <c r="C484" s="94" t="s">
        <v>2040</v>
      </c>
      <c r="D484" s="93" t="s">
        <v>2002</v>
      </c>
    </row>
    <row r="485" spans="1:4" ht="15.75">
      <c r="A485" s="92" t="s">
        <v>2041</v>
      </c>
      <c r="B485" s="93" t="s">
        <v>1106</v>
      </c>
      <c r="C485" s="94" t="s">
        <v>2042</v>
      </c>
      <c r="D485" s="93" t="s">
        <v>2002</v>
      </c>
    </row>
    <row r="486" spans="1:4" ht="15.75">
      <c r="A486" s="92" t="s">
        <v>2043</v>
      </c>
      <c r="B486" s="93" t="s">
        <v>1110</v>
      </c>
      <c r="C486" s="94" t="s">
        <v>2044</v>
      </c>
      <c r="D486" s="93" t="s">
        <v>2002</v>
      </c>
    </row>
    <row r="487" spans="1:4" ht="15.75">
      <c r="A487" s="92" t="s">
        <v>2045</v>
      </c>
      <c r="B487" s="93" t="s">
        <v>1106</v>
      </c>
      <c r="C487" s="94" t="s">
        <v>2046</v>
      </c>
      <c r="D487" s="93" t="s">
        <v>2002</v>
      </c>
    </row>
    <row r="488" spans="1:4" ht="15.75">
      <c r="A488" s="92" t="s">
        <v>2047</v>
      </c>
      <c r="B488" s="93" t="s">
        <v>1106</v>
      </c>
      <c r="C488" s="94" t="s">
        <v>2048</v>
      </c>
      <c r="D488" s="93" t="s">
        <v>2002</v>
      </c>
    </row>
    <row r="489" spans="1:4" ht="15.75">
      <c r="A489" s="92" t="s">
        <v>2049</v>
      </c>
      <c r="B489" s="93" t="s">
        <v>1110</v>
      </c>
      <c r="C489" s="94" t="s">
        <v>1587</v>
      </c>
      <c r="D489" s="93" t="s">
        <v>2002</v>
      </c>
    </row>
    <row r="490" spans="1:4" ht="15.75">
      <c r="A490" s="92" t="s">
        <v>2050</v>
      </c>
      <c r="B490" s="93" t="s">
        <v>1106</v>
      </c>
      <c r="C490" s="94" t="s">
        <v>2051</v>
      </c>
      <c r="D490" s="93" t="s">
        <v>2002</v>
      </c>
    </row>
    <row r="491" spans="1:4" ht="15.75">
      <c r="A491" s="92" t="s">
        <v>2052</v>
      </c>
      <c r="B491" s="93" t="s">
        <v>1110</v>
      </c>
      <c r="C491" s="94" t="s">
        <v>2053</v>
      </c>
      <c r="D491" s="93" t="s">
        <v>2002</v>
      </c>
    </row>
    <row r="492" spans="1:4" ht="15.75">
      <c r="A492" s="92" t="s">
        <v>2054</v>
      </c>
      <c r="B492" s="93" t="s">
        <v>1106</v>
      </c>
      <c r="C492" s="94" t="s">
        <v>2055</v>
      </c>
      <c r="D492" s="93" t="s">
        <v>2002</v>
      </c>
    </row>
    <row r="493" spans="1:4" ht="15.75">
      <c r="A493" s="92" t="s">
        <v>2056</v>
      </c>
      <c r="B493" s="93" t="s">
        <v>1110</v>
      </c>
      <c r="C493" s="94" t="s">
        <v>2057</v>
      </c>
      <c r="D493" s="93" t="s">
        <v>2002</v>
      </c>
    </row>
    <row r="494" spans="1:4" ht="15.75">
      <c r="A494" s="92" t="s">
        <v>2058</v>
      </c>
      <c r="B494" s="93" t="s">
        <v>1106</v>
      </c>
      <c r="C494" s="94" t="s">
        <v>2059</v>
      </c>
      <c r="D494" s="93" t="s">
        <v>2060</v>
      </c>
    </row>
    <row r="495" spans="1:4" ht="15.75">
      <c r="A495" s="92" t="s">
        <v>2061</v>
      </c>
      <c r="B495" s="93" t="s">
        <v>1110</v>
      </c>
      <c r="C495" s="94" t="s">
        <v>1213</v>
      </c>
      <c r="D495" s="93" t="s">
        <v>2060</v>
      </c>
    </row>
    <row r="496" spans="1:4" ht="15.75">
      <c r="A496" s="92" t="s">
        <v>2062</v>
      </c>
      <c r="B496" s="93" t="s">
        <v>1106</v>
      </c>
      <c r="C496" s="94" t="s">
        <v>2063</v>
      </c>
      <c r="D496" s="93" t="s">
        <v>2060</v>
      </c>
    </row>
    <row r="497" spans="1:4" ht="15.75">
      <c r="A497" s="92" t="s">
        <v>2064</v>
      </c>
      <c r="B497" s="93" t="s">
        <v>1110</v>
      </c>
      <c r="C497" s="94" t="s">
        <v>1359</v>
      </c>
      <c r="D497" s="93" t="s">
        <v>2060</v>
      </c>
    </row>
    <row r="498" spans="1:4" ht="15.75">
      <c r="A498" s="92" t="s">
        <v>2065</v>
      </c>
      <c r="B498" s="93" t="s">
        <v>1110</v>
      </c>
      <c r="C498" s="94" t="s">
        <v>2066</v>
      </c>
      <c r="D498" s="93" t="s">
        <v>2060</v>
      </c>
    </row>
    <row r="499" spans="1:4" ht="15.75">
      <c r="A499" s="92" t="s">
        <v>2067</v>
      </c>
      <c r="B499" s="93" t="s">
        <v>1106</v>
      </c>
      <c r="C499" s="94" t="s">
        <v>2068</v>
      </c>
      <c r="D499" s="93" t="s">
        <v>2060</v>
      </c>
    </row>
    <row r="500" spans="1:4" ht="15.75">
      <c r="A500" s="92" t="s">
        <v>2069</v>
      </c>
      <c r="B500" s="93" t="s">
        <v>1106</v>
      </c>
      <c r="C500" s="94" t="s">
        <v>1597</v>
      </c>
      <c r="D500" s="93" t="s">
        <v>2060</v>
      </c>
    </row>
    <row r="501" spans="1:4" ht="15.75">
      <c r="A501" s="92" t="s">
        <v>2070</v>
      </c>
      <c r="B501" s="93" t="s">
        <v>1110</v>
      </c>
      <c r="C501" s="94" t="s">
        <v>2071</v>
      </c>
      <c r="D501" s="93" t="s">
        <v>2060</v>
      </c>
    </row>
    <row r="502" spans="1:4" ht="15.75">
      <c r="A502" s="92" t="s">
        <v>2072</v>
      </c>
      <c r="B502" s="93" t="s">
        <v>1106</v>
      </c>
      <c r="C502" s="94" t="s">
        <v>2073</v>
      </c>
      <c r="D502" s="93" t="s">
        <v>2060</v>
      </c>
    </row>
    <row r="503" spans="1:4" ht="15.75">
      <c r="A503" s="92" t="s">
        <v>2074</v>
      </c>
      <c r="B503" s="93" t="s">
        <v>1106</v>
      </c>
      <c r="C503" s="94" t="s">
        <v>1398</v>
      </c>
      <c r="D503" s="93" t="s">
        <v>2060</v>
      </c>
    </row>
    <row r="504" spans="1:4" ht="15.75">
      <c r="A504" s="92" t="s">
        <v>2075</v>
      </c>
      <c r="B504" s="93" t="s">
        <v>1110</v>
      </c>
      <c r="C504" s="94" t="s">
        <v>2076</v>
      </c>
      <c r="D504" s="93" t="s">
        <v>2060</v>
      </c>
    </row>
    <row r="505" spans="1:4" ht="15.75">
      <c r="A505" s="92" t="s">
        <v>2077</v>
      </c>
      <c r="B505" s="93" t="s">
        <v>1106</v>
      </c>
      <c r="C505" s="94" t="s">
        <v>2078</v>
      </c>
      <c r="D505" s="93" t="s">
        <v>2060</v>
      </c>
    </row>
    <row r="506" spans="1:4" ht="15.75">
      <c r="A506" s="92" t="s">
        <v>2079</v>
      </c>
      <c r="B506" s="93" t="s">
        <v>1106</v>
      </c>
      <c r="C506" s="94" t="s">
        <v>2080</v>
      </c>
      <c r="D506" s="93" t="s">
        <v>2060</v>
      </c>
    </row>
    <row r="507" spans="1:4" ht="15.75">
      <c r="A507" s="92" t="s">
        <v>2081</v>
      </c>
      <c r="B507" s="93" t="s">
        <v>1110</v>
      </c>
      <c r="C507" s="94" t="s">
        <v>2082</v>
      </c>
      <c r="D507" s="93" t="s">
        <v>2060</v>
      </c>
    </row>
    <row r="508" spans="1:4" ht="15.75">
      <c r="A508" s="92" t="s">
        <v>2083</v>
      </c>
      <c r="B508" s="93" t="s">
        <v>1110</v>
      </c>
      <c r="C508" s="94" t="s">
        <v>2084</v>
      </c>
      <c r="D508" s="93" t="s">
        <v>2060</v>
      </c>
    </row>
    <row r="509" spans="1:4" ht="15.75">
      <c r="A509" s="92" t="s">
        <v>2085</v>
      </c>
      <c r="B509" s="93" t="s">
        <v>1110</v>
      </c>
      <c r="C509" s="94" t="s">
        <v>2086</v>
      </c>
      <c r="D509" s="93" t="s">
        <v>2060</v>
      </c>
    </row>
    <row r="510" spans="1:4" ht="15.75">
      <c r="A510" s="92" t="s">
        <v>2087</v>
      </c>
      <c r="B510" s="93" t="s">
        <v>1110</v>
      </c>
      <c r="C510" s="94" t="s">
        <v>2088</v>
      </c>
      <c r="D510" s="93" t="s">
        <v>2060</v>
      </c>
    </row>
    <row r="511" spans="1:4" ht="15.75">
      <c r="A511" s="92" t="s">
        <v>2089</v>
      </c>
      <c r="B511" s="93" t="s">
        <v>1106</v>
      </c>
      <c r="C511" s="94" t="s">
        <v>2090</v>
      </c>
      <c r="D511" s="93" t="s">
        <v>2060</v>
      </c>
    </row>
    <row r="512" spans="1:4" ht="15.75">
      <c r="A512" s="92" t="s">
        <v>2091</v>
      </c>
      <c r="B512" s="93" t="s">
        <v>1110</v>
      </c>
      <c r="C512" s="94" t="s">
        <v>2092</v>
      </c>
      <c r="D512" s="93" t="s">
        <v>2060</v>
      </c>
    </row>
    <row r="513" spans="1:4" ht="15.75">
      <c r="A513" s="92" t="s">
        <v>2093</v>
      </c>
      <c r="B513" s="93" t="s">
        <v>1110</v>
      </c>
      <c r="C513" s="94" t="s">
        <v>2094</v>
      </c>
      <c r="D513" s="93" t="s">
        <v>2060</v>
      </c>
    </row>
    <row r="514" spans="1:4" ht="15.75">
      <c r="A514" s="92" t="s">
        <v>2095</v>
      </c>
      <c r="B514" s="93" t="s">
        <v>1106</v>
      </c>
      <c r="C514" s="94" t="s">
        <v>1752</v>
      </c>
      <c r="D514" s="93" t="s">
        <v>2060</v>
      </c>
    </row>
    <row r="515" spans="1:4" ht="15.75">
      <c r="A515" s="92" t="s">
        <v>2096</v>
      </c>
      <c r="B515" s="93" t="s">
        <v>1110</v>
      </c>
      <c r="C515" s="94" t="s">
        <v>2097</v>
      </c>
      <c r="D515" s="93" t="s">
        <v>2060</v>
      </c>
    </row>
    <row r="516" spans="1:4" ht="15.75">
      <c r="A516" s="92" t="s">
        <v>2098</v>
      </c>
      <c r="B516" s="93" t="s">
        <v>1106</v>
      </c>
      <c r="C516" s="94" t="s">
        <v>1217</v>
      </c>
      <c r="D516" s="93" t="s">
        <v>2060</v>
      </c>
    </row>
    <row r="517" spans="1:4" ht="15.75">
      <c r="A517" s="92" t="s">
        <v>2099</v>
      </c>
      <c r="B517" s="93" t="s">
        <v>1110</v>
      </c>
      <c r="C517" s="94" t="s">
        <v>2100</v>
      </c>
      <c r="D517" s="93" t="s">
        <v>2060</v>
      </c>
    </row>
    <row r="518" spans="1:4" ht="15.75">
      <c r="A518" s="92" t="s">
        <v>2101</v>
      </c>
      <c r="B518" s="93" t="s">
        <v>1106</v>
      </c>
      <c r="C518" s="94" t="s">
        <v>1736</v>
      </c>
      <c r="D518" s="93" t="s">
        <v>2060</v>
      </c>
    </row>
    <row r="519" spans="1:4" ht="15.75">
      <c r="A519" s="92" t="s">
        <v>2102</v>
      </c>
      <c r="B519" s="93" t="s">
        <v>1110</v>
      </c>
      <c r="C519" s="94" t="s">
        <v>2103</v>
      </c>
      <c r="D519" s="93" t="s">
        <v>2060</v>
      </c>
    </row>
    <row r="520" spans="1:4" ht="15.75">
      <c r="A520" s="92" t="s">
        <v>2104</v>
      </c>
      <c r="B520" s="93" t="s">
        <v>1106</v>
      </c>
      <c r="C520" s="94" t="s">
        <v>2020</v>
      </c>
      <c r="D520" s="93" t="s">
        <v>2060</v>
      </c>
    </row>
    <row r="521" spans="1:4" ht="15.75">
      <c r="A521" s="92" t="s">
        <v>2105</v>
      </c>
      <c r="B521" s="93" t="s">
        <v>1110</v>
      </c>
      <c r="C521" s="94" t="s">
        <v>1367</v>
      </c>
      <c r="D521" s="93" t="s">
        <v>2060</v>
      </c>
    </row>
    <row r="522" spans="1:4" ht="15.75">
      <c r="A522" s="92" t="s">
        <v>2106</v>
      </c>
      <c r="B522" s="93" t="s">
        <v>1106</v>
      </c>
      <c r="C522" s="94" t="s">
        <v>1472</v>
      </c>
      <c r="D522" s="93" t="s">
        <v>2060</v>
      </c>
    </row>
    <row r="523" spans="1:4" ht="15.75">
      <c r="A523" s="92" t="s">
        <v>2107</v>
      </c>
      <c r="B523" s="93" t="s">
        <v>1106</v>
      </c>
      <c r="C523" s="94" t="s">
        <v>2108</v>
      </c>
      <c r="D523" s="93" t="s">
        <v>2060</v>
      </c>
    </row>
    <row r="524" spans="1:4" ht="15.75">
      <c r="A524" s="92" t="s">
        <v>2109</v>
      </c>
      <c r="B524" s="93" t="s">
        <v>1106</v>
      </c>
      <c r="C524" s="94" t="s">
        <v>1635</v>
      </c>
      <c r="D524" s="93" t="s">
        <v>2060</v>
      </c>
    </row>
    <row r="525" spans="1:4" ht="15.75">
      <c r="A525" s="92" t="s">
        <v>2110</v>
      </c>
      <c r="B525" s="93" t="s">
        <v>1110</v>
      </c>
      <c r="C525" s="94" t="s">
        <v>1483</v>
      </c>
      <c r="D525" s="93" t="s">
        <v>2111</v>
      </c>
    </row>
    <row r="526" spans="1:4" ht="15.75">
      <c r="A526" s="92" t="s">
        <v>2112</v>
      </c>
      <c r="B526" s="93" t="s">
        <v>1110</v>
      </c>
      <c r="C526" s="94" t="s">
        <v>2113</v>
      </c>
      <c r="D526" s="93" t="s">
        <v>2111</v>
      </c>
    </row>
    <row r="527" spans="1:4" ht="15.75">
      <c r="A527" s="92" t="s">
        <v>2114</v>
      </c>
      <c r="B527" s="93" t="s">
        <v>1106</v>
      </c>
      <c r="C527" s="94" t="s">
        <v>1215</v>
      </c>
      <c r="D527" s="93" t="s">
        <v>2111</v>
      </c>
    </row>
    <row r="528" spans="1:4" ht="15.75">
      <c r="A528" s="92" t="s">
        <v>2115</v>
      </c>
      <c r="B528" s="93" t="s">
        <v>1106</v>
      </c>
      <c r="C528" s="94" t="s">
        <v>1543</v>
      </c>
      <c r="D528" s="93" t="s">
        <v>2111</v>
      </c>
    </row>
    <row r="529" spans="1:4" ht="15.75">
      <c r="A529" s="92" t="s">
        <v>2116</v>
      </c>
      <c r="B529" s="93" t="s">
        <v>1106</v>
      </c>
      <c r="C529" s="94" t="s">
        <v>2117</v>
      </c>
      <c r="D529" s="93" t="s">
        <v>2111</v>
      </c>
    </row>
    <row r="530" spans="1:4" ht="15.75">
      <c r="A530" s="92" t="s">
        <v>2118</v>
      </c>
      <c r="B530" s="93" t="s">
        <v>1106</v>
      </c>
      <c r="C530" s="94" t="s">
        <v>2119</v>
      </c>
      <c r="D530" s="93" t="s">
        <v>2111</v>
      </c>
    </row>
    <row r="531" spans="1:4" ht="15.75">
      <c r="A531" s="92" t="s">
        <v>2120</v>
      </c>
      <c r="B531" s="93" t="s">
        <v>1110</v>
      </c>
      <c r="C531" s="94" t="s">
        <v>2121</v>
      </c>
      <c r="D531" s="93" t="s">
        <v>2111</v>
      </c>
    </row>
    <row r="532" spans="1:4" ht="15.75">
      <c r="A532" s="92" t="s">
        <v>2122</v>
      </c>
      <c r="B532" s="93" t="s">
        <v>1110</v>
      </c>
      <c r="C532" s="94" t="s">
        <v>2123</v>
      </c>
      <c r="D532" s="93" t="s">
        <v>2111</v>
      </c>
    </row>
    <row r="533" spans="1:4" ht="15.75">
      <c r="A533" s="92" t="s">
        <v>2124</v>
      </c>
      <c r="B533" s="93" t="s">
        <v>1110</v>
      </c>
      <c r="C533" s="94" t="s">
        <v>2125</v>
      </c>
      <c r="D533" s="93" t="s">
        <v>2111</v>
      </c>
    </row>
    <row r="534" spans="1:4" ht="15.75">
      <c r="A534" s="92" t="s">
        <v>2126</v>
      </c>
      <c r="B534" s="93" t="s">
        <v>1106</v>
      </c>
      <c r="C534" s="94" t="s">
        <v>1750</v>
      </c>
      <c r="D534" s="93" t="s">
        <v>2111</v>
      </c>
    </row>
    <row r="535" spans="1:4" ht="15.75">
      <c r="A535" s="92" t="s">
        <v>2127</v>
      </c>
      <c r="B535" s="93" t="s">
        <v>1106</v>
      </c>
      <c r="C535" s="94" t="s">
        <v>1501</v>
      </c>
      <c r="D535" s="93" t="s">
        <v>2111</v>
      </c>
    </row>
    <row r="536" spans="1:4" ht="15.75">
      <c r="A536" s="92" t="s">
        <v>2128</v>
      </c>
      <c r="B536" s="93" t="s">
        <v>1106</v>
      </c>
      <c r="C536" s="94" t="s">
        <v>2129</v>
      </c>
      <c r="D536" s="93" t="s">
        <v>2111</v>
      </c>
    </row>
    <row r="537" spans="1:4" ht="15.75">
      <c r="A537" s="92" t="s">
        <v>2130</v>
      </c>
      <c r="B537" s="93" t="s">
        <v>1110</v>
      </c>
      <c r="C537" s="94" t="s">
        <v>1798</v>
      </c>
      <c r="D537" s="93" t="s">
        <v>2111</v>
      </c>
    </row>
    <row r="538" spans="1:4" ht="15.75">
      <c r="A538" s="92" t="s">
        <v>2131</v>
      </c>
      <c r="B538" s="93" t="s">
        <v>1110</v>
      </c>
      <c r="C538" s="94" t="s">
        <v>1668</v>
      </c>
      <c r="D538" s="93" t="s">
        <v>2111</v>
      </c>
    </row>
    <row r="539" spans="1:4" ht="15.75">
      <c r="A539" s="92" t="s">
        <v>2132</v>
      </c>
      <c r="B539" s="93" t="s">
        <v>1106</v>
      </c>
      <c r="C539" s="94" t="s">
        <v>2133</v>
      </c>
      <c r="D539" s="93" t="s">
        <v>2111</v>
      </c>
    </row>
    <row r="540" spans="1:4" ht="15.75">
      <c r="A540" s="92" t="s">
        <v>2134</v>
      </c>
      <c r="B540" s="93" t="s">
        <v>1110</v>
      </c>
      <c r="C540" s="94" t="s">
        <v>2135</v>
      </c>
      <c r="D540" s="93" t="s">
        <v>2111</v>
      </c>
    </row>
    <row r="541" spans="1:4" ht="15.75">
      <c r="A541" s="92" t="s">
        <v>2136</v>
      </c>
      <c r="B541" s="93" t="s">
        <v>1106</v>
      </c>
      <c r="C541" s="94" t="s">
        <v>2137</v>
      </c>
      <c r="D541" s="93" t="s">
        <v>2111</v>
      </c>
    </row>
    <row r="542" spans="1:4" ht="15.75">
      <c r="A542" s="92" t="s">
        <v>2138</v>
      </c>
      <c r="B542" s="93" t="s">
        <v>1106</v>
      </c>
      <c r="C542" s="94" t="s">
        <v>2139</v>
      </c>
      <c r="D542" s="93" t="s">
        <v>2111</v>
      </c>
    </row>
    <row r="543" spans="1:4" ht="15.75">
      <c r="A543" s="92" t="s">
        <v>2140</v>
      </c>
      <c r="B543" s="93" t="s">
        <v>1106</v>
      </c>
      <c r="C543" s="94" t="s">
        <v>2141</v>
      </c>
      <c r="D543" s="93" t="s">
        <v>2111</v>
      </c>
    </row>
    <row r="544" spans="1:4" ht="15.75">
      <c r="A544" s="92" t="s">
        <v>2142</v>
      </c>
      <c r="B544" s="93" t="s">
        <v>1106</v>
      </c>
      <c r="C544" s="94" t="s">
        <v>2143</v>
      </c>
      <c r="D544" s="93" t="s">
        <v>2111</v>
      </c>
    </row>
    <row r="545" spans="1:4" ht="15.75">
      <c r="A545" s="92" t="s">
        <v>2144</v>
      </c>
      <c r="B545" s="93" t="s">
        <v>1106</v>
      </c>
      <c r="C545" s="94" t="s">
        <v>2145</v>
      </c>
      <c r="D545" s="93" t="s">
        <v>2111</v>
      </c>
    </row>
    <row r="546" spans="1:4" ht="15.75">
      <c r="A546" s="92" t="s">
        <v>2146</v>
      </c>
      <c r="B546" s="93" t="s">
        <v>1110</v>
      </c>
      <c r="C546" s="94" t="s">
        <v>1874</v>
      </c>
      <c r="D546" s="93" t="s">
        <v>2111</v>
      </c>
    </row>
    <row r="547" spans="1:4" ht="15.75">
      <c r="A547" s="92" t="s">
        <v>2147</v>
      </c>
      <c r="B547" s="93" t="s">
        <v>1110</v>
      </c>
      <c r="C547" s="94" t="s">
        <v>2148</v>
      </c>
      <c r="D547" s="93" t="s">
        <v>2111</v>
      </c>
    </row>
    <row r="548" spans="1:4" ht="15.75">
      <c r="A548" s="92" t="s">
        <v>2149</v>
      </c>
      <c r="B548" s="93" t="s">
        <v>1110</v>
      </c>
      <c r="C548" s="94" t="s">
        <v>2150</v>
      </c>
      <c r="D548" s="93" t="s">
        <v>2111</v>
      </c>
    </row>
    <row r="549" spans="1:4" ht="15.75">
      <c r="A549" s="92" t="s">
        <v>2151</v>
      </c>
      <c r="B549" s="93" t="s">
        <v>1106</v>
      </c>
      <c r="C549" s="94" t="s">
        <v>2152</v>
      </c>
      <c r="D549" s="93" t="s">
        <v>2111</v>
      </c>
    </row>
    <row r="550" spans="1:4" ht="15.75">
      <c r="A550" s="92" t="s">
        <v>2153</v>
      </c>
      <c r="B550" s="93" t="s">
        <v>1106</v>
      </c>
      <c r="C550" s="94" t="s">
        <v>2154</v>
      </c>
      <c r="D550" s="93" t="s">
        <v>2111</v>
      </c>
    </row>
    <row r="551" spans="1:4" ht="15.75">
      <c r="A551" s="92" t="s">
        <v>2155</v>
      </c>
      <c r="B551" s="93" t="s">
        <v>1110</v>
      </c>
      <c r="C551" s="94" t="s">
        <v>2156</v>
      </c>
      <c r="D551" s="93" t="s">
        <v>2111</v>
      </c>
    </row>
    <row r="552" spans="1:4" ht="15.75">
      <c r="A552" s="92" t="s">
        <v>2157</v>
      </c>
      <c r="B552" s="93" t="s">
        <v>1110</v>
      </c>
      <c r="C552" s="94" t="s">
        <v>2158</v>
      </c>
      <c r="D552" s="93" t="s">
        <v>2111</v>
      </c>
    </row>
    <row r="553" spans="1:4" ht="15.75">
      <c r="A553" s="92" t="s">
        <v>2159</v>
      </c>
      <c r="B553" s="93" t="s">
        <v>1110</v>
      </c>
      <c r="C553" s="94" t="s">
        <v>2160</v>
      </c>
      <c r="D553" s="93" t="s">
        <v>2111</v>
      </c>
    </row>
    <row r="554" spans="1:4" ht="15.75">
      <c r="A554" s="92" t="s">
        <v>2161</v>
      </c>
      <c r="B554" s="93" t="s">
        <v>1110</v>
      </c>
      <c r="C554" s="94" t="s">
        <v>1693</v>
      </c>
      <c r="D554" s="93" t="s">
        <v>2111</v>
      </c>
    </row>
    <row r="555" spans="1:4" ht="15.75">
      <c r="A555" s="92" t="s">
        <v>2162</v>
      </c>
      <c r="B555" s="93" t="s">
        <v>1106</v>
      </c>
      <c r="C555" s="94" t="s">
        <v>2163</v>
      </c>
      <c r="D555" s="93" t="s">
        <v>2111</v>
      </c>
    </row>
    <row r="556" spans="1:4" ht="15.75">
      <c r="A556" s="92" t="s">
        <v>2164</v>
      </c>
      <c r="B556" s="93" t="s">
        <v>1106</v>
      </c>
      <c r="C556" s="94" t="s">
        <v>2165</v>
      </c>
      <c r="D556" s="93" t="s">
        <v>2166</v>
      </c>
    </row>
    <row r="557" spans="1:4" ht="15.75">
      <c r="A557" s="92" t="s">
        <v>2167</v>
      </c>
      <c r="B557" s="93" t="s">
        <v>1106</v>
      </c>
      <c r="C557" s="94" t="s">
        <v>2168</v>
      </c>
      <c r="D557" s="93" t="s">
        <v>2166</v>
      </c>
    </row>
    <row r="558" spans="1:4" ht="15.75">
      <c r="A558" s="92" t="s">
        <v>2169</v>
      </c>
      <c r="B558" s="93" t="s">
        <v>1106</v>
      </c>
      <c r="C558" s="94" t="s">
        <v>2170</v>
      </c>
      <c r="D558" s="93" t="s">
        <v>2166</v>
      </c>
    </row>
    <row r="559" spans="1:4" ht="15.75">
      <c r="A559" s="92" t="s">
        <v>2171</v>
      </c>
      <c r="B559" s="93" t="s">
        <v>1110</v>
      </c>
      <c r="C559" s="94" t="s">
        <v>2172</v>
      </c>
      <c r="D559" s="93" t="s">
        <v>2166</v>
      </c>
    </row>
    <row r="560" spans="1:4" ht="15.75">
      <c r="A560" s="102" t="s">
        <v>2173</v>
      </c>
      <c r="B560" s="103" t="s">
        <v>1106</v>
      </c>
      <c r="C560" s="104" t="s">
        <v>2174</v>
      </c>
      <c r="D560" s="103" t="s">
        <v>2166</v>
      </c>
    </row>
    <row r="561" spans="1:4" ht="15.75">
      <c r="A561" s="92" t="s">
        <v>2175</v>
      </c>
      <c r="B561" s="93" t="s">
        <v>1110</v>
      </c>
      <c r="C561" s="94" t="s">
        <v>2176</v>
      </c>
      <c r="D561" s="93" t="s">
        <v>2166</v>
      </c>
    </row>
    <row r="562" spans="1:4" ht="15.75">
      <c r="A562" s="92" t="s">
        <v>2177</v>
      </c>
      <c r="B562" s="93" t="s">
        <v>1110</v>
      </c>
      <c r="C562" s="94" t="s">
        <v>1127</v>
      </c>
      <c r="D562" s="93" t="s">
        <v>2166</v>
      </c>
    </row>
    <row r="563" spans="1:4" ht="15.75">
      <c r="A563" s="92" t="s">
        <v>2178</v>
      </c>
      <c r="B563" s="93" t="s">
        <v>1110</v>
      </c>
      <c r="C563" s="94" t="s">
        <v>2179</v>
      </c>
      <c r="D563" s="93" t="s">
        <v>2166</v>
      </c>
    </row>
    <row r="564" spans="1:4" ht="15.75">
      <c r="A564" s="92" t="s">
        <v>2180</v>
      </c>
      <c r="B564" s="93" t="s">
        <v>1106</v>
      </c>
      <c r="C564" s="94" t="s">
        <v>2181</v>
      </c>
      <c r="D564" s="93" t="s">
        <v>2166</v>
      </c>
    </row>
    <row r="565" spans="1:4" ht="15.75">
      <c r="A565" s="92" t="s">
        <v>2182</v>
      </c>
      <c r="B565" s="93" t="s">
        <v>1110</v>
      </c>
      <c r="C565" s="94" t="s">
        <v>2183</v>
      </c>
      <c r="D565" s="93" t="s">
        <v>2166</v>
      </c>
    </row>
    <row r="566" spans="1:4" ht="15.75">
      <c r="A566" s="92" t="s">
        <v>2184</v>
      </c>
      <c r="B566" s="93" t="s">
        <v>1106</v>
      </c>
      <c r="C566" s="94" t="s">
        <v>2185</v>
      </c>
      <c r="D566" s="93" t="s">
        <v>2166</v>
      </c>
    </row>
    <row r="567" spans="1:4" ht="15.75">
      <c r="A567" s="92" t="s">
        <v>2186</v>
      </c>
      <c r="B567" s="93" t="s">
        <v>1106</v>
      </c>
      <c r="C567" s="94" t="s">
        <v>2187</v>
      </c>
      <c r="D567" s="93" t="s">
        <v>2166</v>
      </c>
    </row>
    <row r="568" spans="1:4" ht="15.75">
      <c r="A568" s="92" t="s">
        <v>2188</v>
      </c>
      <c r="B568" s="93" t="s">
        <v>1110</v>
      </c>
      <c r="C568" s="94" t="s">
        <v>2189</v>
      </c>
      <c r="D568" s="93" t="s">
        <v>2166</v>
      </c>
    </row>
    <row r="569" spans="1:4" ht="15.75">
      <c r="A569" s="92" t="s">
        <v>2190</v>
      </c>
      <c r="B569" s="93" t="s">
        <v>1110</v>
      </c>
      <c r="C569" s="94" t="s">
        <v>2191</v>
      </c>
      <c r="D569" s="93" t="s">
        <v>2166</v>
      </c>
    </row>
    <row r="570" spans="1:4" ht="15.75">
      <c r="A570" s="92" t="s">
        <v>2192</v>
      </c>
      <c r="B570" s="93" t="s">
        <v>1110</v>
      </c>
      <c r="C570" s="94" t="s">
        <v>1693</v>
      </c>
      <c r="D570" s="93" t="s">
        <v>2166</v>
      </c>
    </row>
    <row r="571" spans="1:4" ht="15.75">
      <c r="A571" s="92" t="s">
        <v>2193</v>
      </c>
      <c r="B571" s="93" t="s">
        <v>1110</v>
      </c>
      <c r="C571" s="94" t="s">
        <v>2194</v>
      </c>
      <c r="D571" s="93" t="s">
        <v>2166</v>
      </c>
    </row>
    <row r="572" spans="1:4" ht="15.75">
      <c r="A572" s="92" t="s">
        <v>2195</v>
      </c>
      <c r="B572" s="93" t="s">
        <v>1110</v>
      </c>
      <c r="C572" s="94" t="s">
        <v>1367</v>
      </c>
      <c r="D572" s="93" t="s">
        <v>2166</v>
      </c>
    </row>
    <row r="573" spans="1:4" ht="15.75">
      <c r="A573" s="92" t="s">
        <v>2196</v>
      </c>
      <c r="B573" s="93" t="s">
        <v>1106</v>
      </c>
      <c r="C573" s="94" t="s">
        <v>1656</v>
      </c>
      <c r="D573" s="93" t="s">
        <v>2166</v>
      </c>
    </row>
    <row r="574" spans="1:4" ht="15.75">
      <c r="A574" s="105" t="s">
        <v>2197</v>
      </c>
      <c r="B574" s="93" t="s">
        <v>1106</v>
      </c>
      <c r="C574" s="94" t="s">
        <v>2198</v>
      </c>
      <c r="D574" s="93" t="s">
        <v>2166</v>
      </c>
    </row>
    <row r="575" spans="1:4" ht="15.75">
      <c r="A575" s="92" t="s">
        <v>2199</v>
      </c>
      <c r="B575" s="93" t="s">
        <v>1106</v>
      </c>
      <c r="C575" s="94" t="s">
        <v>2200</v>
      </c>
      <c r="D575" s="93" t="s">
        <v>2166</v>
      </c>
    </row>
    <row r="576" spans="1:4" ht="15.75">
      <c r="A576" s="92" t="s">
        <v>2201</v>
      </c>
      <c r="B576" s="93" t="s">
        <v>1110</v>
      </c>
      <c r="C576" s="94" t="s">
        <v>2202</v>
      </c>
      <c r="D576" s="93" t="s">
        <v>2166</v>
      </c>
    </row>
    <row r="577" spans="1:4" ht="15.75">
      <c r="A577" s="92" t="s">
        <v>2203</v>
      </c>
      <c r="B577" s="93" t="s">
        <v>1110</v>
      </c>
      <c r="C577" s="94" t="s">
        <v>2204</v>
      </c>
      <c r="D577" s="93" t="s">
        <v>2166</v>
      </c>
    </row>
    <row r="578" spans="1:4" ht="15.75">
      <c r="A578" s="92" t="s">
        <v>2205</v>
      </c>
      <c r="B578" s="93" t="s">
        <v>1106</v>
      </c>
      <c r="C578" s="94" t="s">
        <v>2206</v>
      </c>
      <c r="D578" s="93" t="s">
        <v>2166</v>
      </c>
    </row>
    <row r="579" spans="1:4" ht="15.75">
      <c r="A579" s="92" t="s">
        <v>2207</v>
      </c>
      <c r="B579" s="93" t="s">
        <v>1106</v>
      </c>
      <c r="C579" s="94" t="s">
        <v>1835</v>
      </c>
      <c r="D579" s="93" t="s">
        <v>2166</v>
      </c>
    </row>
    <row r="580" spans="1:4" ht="15.75">
      <c r="A580" s="92" t="s">
        <v>2208</v>
      </c>
      <c r="B580" s="93" t="s">
        <v>1110</v>
      </c>
      <c r="C580" s="94" t="s">
        <v>2189</v>
      </c>
      <c r="D580" s="93" t="s">
        <v>2166</v>
      </c>
    </row>
    <row r="581" spans="1:4" ht="15.75">
      <c r="A581" s="92" t="s">
        <v>2209</v>
      </c>
      <c r="B581" s="93" t="s">
        <v>1110</v>
      </c>
      <c r="C581" s="94" t="s">
        <v>2210</v>
      </c>
      <c r="D581" s="93" t="s">
        <v>2166</v>
      </c>
    </row>
    <row r="582" spans="1:4" ht="15.75">
      <c r="A582" s="92" t="s">
        <v>2211</v>
      </c>
      <c r="B582" s="93" t="s">
        <v>1106</v>
      </c>
      <c r="C582" s="94" t="s">
        <v>2212</v>
      </c>
      <c r="D582" s="93" t="s">
        <v>2166</v>
      </c>
    </row>
    <row r="583" spans="1:4" ht="15.75">
      <c r="A583" s="92" t="s">
        <v>2213</v>
      </c>
      <c r="B583" s="93" t="s">
        <v>1106</v>
      </c>
      <c r="C583" s="94" t="s">
        <v>2214</v>
      </c>
      <c r="D583" s="93" t="s">
        <v>2166</v>
      </c>
    </row>
    <row r="584" spans="1:4" ht="15.75">
      <c r="A584" s="92" t="s">
        <v>2215</v>
      </c>
      <c r="B584" s="93" t="s">
        <v>1110</v>
      </c>
      <c r="C584" s="94" t="s">
        <v>2216</v>
      </c>
      <c r="D584" s="93" t="s">
        <v>2166</v>
      </c>
    </row>
    <row r="585" spans="1:4" ht="15.75">
      <c r="A585" s="92" t="s">
        <v>2217</v>
      </c>
      <c r="B585" s="93" t="s">
        <v>1110</v>
      </c>
      <c r="C585" s="94" t="s">
        <v>1594</v>
      </c>
      <c r="D585" s="93" t="s">
        <v>2166</v>
      </c>
    </row>
    <row r="586" spans="1:4" ht="15.75">
      <c r="A586" s="105" t="s">
        <v>2218</v>
      </c>
      <c r="B586" s="93" t="s">
        <v>1110</v>
      </c>
      <c r="C586" s="94" t="s">
        <v>2219</v>
      </c>
      <c r="D586" s="93" t="s">
        <v>2220</v>
      </c>
    </row>
    <row r="587" spans="1:4" ht="15.75">
      <c r="A587" s="105" t="s">
        <v>2221</v>
      </c>
      <c r="B587" s="93" t="s">
        <v>1106</v>
      </c>
      <c r="C587" s="94" t="s">
        <v>2222</v>
      </c>
      <c r="D587" s="93" t="s">
        <v>2220</v>
      </c>
    </row>
    <row r="588" spans="1:4" ht="15.75">
      <c r="A588" s="105" t="s">
        <v>2223</v>
      </c>
      <c r="B588" s="93" t="s">
        <v>1106</v>
      </c>
      <c r="C588" s="94" t="s">
        <v>2224</v>
      </c>
      <c r="D588" s="93" t="s">
        <v>2220</v>
      </c>
    </row>
    <row r="589" spans="1:4" ht="15.75">
      <c r="A589" s="92" t="s">
        <v>2225</v>
      </c>
      <c r="B589" s="93" t="s">
        <v>1106</v>
      </c>
      <c r="C589" s="94" t="s">
        <v>2226</v>
      </c>
      <c r="D589" s="93" t="s">
        <v>2220</v>
      </c>
    </row>
    <row r="590" spans="1:4" ht="15.75">
      <c r="A590" s="92" t="s">
        <v>2227</v>
      </c>
      <c r="B590" s="93" t="s">
        <v>1110</v>
      </c>
      <c r="C590" s="94" t="s">
        <v>1487</v>
      </c>
      <c r="D590" s="93" t="s">
        <v>2220</v>
      </c>
    </row>
    <row r="591" spans="1:4" ht="15.75">
      <c r="A591" s="106" t="s">
        <v>2228</v>
      </c>
      <c r="B591" s="93" t="s">
        <v>1106</v>
      </c>
      <c r="C591" s="94" t="s">
        <v>2068</v>
      </c>
      <c r="D591" s="93" t="s">
        <v>2220</v>
      </c>
    </row>
    <row r="592" spans="1:4" ht="15.75">
      <c r="A592" s="92" t="s">
        <v>2229</v>
      </c>
      <c r="B592" s="93" t="s">
        <v>1106</v>
      </c>
      <c r="C592" s="94" t="s">
        <v>2230</v>
      </c>
      <c r="D592" s="93" t="s">
        <v>2220</v>
      </c>
    </row>
    <row r="593" spans="1:4" ht="15.75">
      <c r="A593" s="92" t="s">
        <v>2231</v>
      </c>
      <c r="B593" s="93" t="s">
        <v>1110</v>
      </c>
      <c r="C593" s="94" t="s">
        <v>1587</v>
      </c>
      <c r="D593" s="93" t="s">
        <v>2220</v>
      </c>
    </row>
    <row r="594" spans="1:4" ht="15.75">
      <c r="A594" s="92" t="s">
        <v>2232</v>
      </c>
      <c r="B594" s="93" t="s">
        <v>1106</v>
      </c>
      <c r="C594" s="94" t="s">
        <v>2233</v>
      </c>
      <c r="D594" s="93" t="s">
        <v>2220</v>
      </c>
    </row>
    <row r="595" spans="1:4" ht="15.75">
      <c r="A595" s="106" t="s">
        <v>2234</v>
      </c>
      <c r="B595" s="93" t="s">
        <v>1110</v>
      </c>
      <c r="C595" s="94" t="s">
        <v>2235</v>
      </c>
      <c r="D595" s="93" t="s">
        <v>2220</v>
      </c>
    </row>
    <row r="596" spans="1:4" ht="15.75">
      <c r="A596" s="105" t="s">
        <v>2236</v>
      </c>
      <c r="B596" s="93" t="s">
        <v>1106</v>
      </c>
      <c r="C596" s="94" t="s">
        <v>1852</v>
      </c>
      <c r="D596" s="93" t="s">
        <v>2220</v>
      </c>
    </row>
    <row r="597" spans="1:4" ht="15.75">
      <c r="A597" s="92" t="s">
        <v>2237</v>
      </c>
      <c r="B597" s="93" t="s">
        <v>1106</v>
      </c>
      <c r="C597" s="94" t="s">
        <v>1850</v>
      </c>
      <c r="D597" s="93" t="s">
        <v>2220</v>
      </c>
    </row>
    <row r="598" spans="1:4" ht="15.75">
      <c r="A598" s="102" t="s">
        <v>2238</v>
      </c>
      <c r="B598" s="103" t="s">
        <v>1106</v>
      </c>
      <c r="C598" s="104" t="s">
        <v>2239</v>
      </c>
      <c r="D598" s="103" t="s">
        <v>2220</v>
      </c>
    </row>
    <row r="599" spans="1:4" ht="15.75">
      <c r="A599" s="106" t="s">
        <v>2240</v>
      </c>
      <c r="B599" s="93" t="s">
        <v>1110</v>
      </c>
      <c r="C599" s="94" t="s">
        <v>1699</v>
      </c>
      <c r="D599" s="93" t="s">
        <v>2220</v>
      </c>
    </row>
    <row r="600" spans="1:4" ht="15.75">
      <c r="A600" s="105" t="s">
        <v>2241</v>
      </c>
      <c r="B600" s="93" t="s">
        <v>1106</v>
      </c>
      <c r="C600" s="94" t="s">
        <v>2242</v>
      </c>
      <c r="D600" s="93" t="s">
        <v>2220</v>
      </c>
    </row>
    <row r="601" spans="1:4" ht="15.75">
      <c r="A601" s="105" t="s">
        <v>2243</v>
      </c>
      <c r="B601" s="93" t="s">
        <v>1110</v>
      </c>
      <c r="C601" s="94" t="s">
        <v>2244</v>
      </c>
      <c r="D601" s="93" t="s">
        <v>2220</v>
      </c>
    </row>
    <row r="602" spans="1:4" ht="15.75">
      <c r="A602" s="92" t="s">
        <v>2245</v>
      </c>
      <c r="B602" s="93" t="s">
        <v>1106</v>
      </c>
      <c r="C602" s="94" t="s">
        <v>1178</v>
      </c>
      <c r="D602" s="93" t="s">
        <v>2220</v>
      </c>
    </row>
    <row r="603" spans="1:4" ht="15.75">
      <c r="A603" s="92" t="s">
        <v>2246</v>
      </c>
      <c r="B603" s="93" t="s">
        <v>1106</v>
      </c>
      <c r="C603" s="94" t="s">
        <v>2247</v>
      </c>
      <c r="D603" s="93" t="s">
        <v>2220</v>
      </c>
    </row>
    <row r="604" spans="1:4" ht="15.75">
      <c r="A604" s="92" t="s">
        <v>2248</v>
      </c>
      <c r="B604" s="93" t="s">
        <v>1110</v>
      </c>
      <c r="C604" s="94" t="s">
        <v>2249</v>
      </c>
      <c r="D604" s="93" t="s">
        <v>2220</v>
      </c>
    </row>
    <row r="605" spans="1:4" ht="15.75">
      <c r="A605" s="92" t="s">
        <v>2250</v>
      </c>
      <c r="B605" s="93" t="s">
        <v>1110</v>
      </c>
      <c r="C605" s="94" t="s">
        <v>2251</v>
      </c>
      <c r="D605" s="93" t="s">
        <v>2220</v>
      </c>
    </row>
    <row r="606" spans="1:4" ht="15.75">
      <c r="A606" s="105" t="s">
        <v>2252</v>
      </c>
      <c r="B606" s="93" t="s">
        <v>1110</v>
      </c>
      <c r="C606" s="94" t="s">
        <v>1125</v>
      </c>
      <c r="D606" s="93" t="s">
        <v>2220</v>
      </c>
    </row>
    <row r="607" spans="1:4" ht="15.75">
      <c r="A607" s="92" t="s">
        <v>2253</v>
      </c>
      <c r="B607" s="93" t="s">
        <v>1110</v>
      </c>
      <c r="C607" s="94" t="s">
        <v>2254</v>
      </c>
      <c r="D607" s="93" t="s">
        <v>2220</v>
      </c>
    </row>
    <row r="608" spans="1:4" ht="15.75">
      <c r="A608" s="92" t="s">
        <v>2255</v>
      </c>
      <c r="B608" s="93" t="s">
        <v>1110</v>
      </c>
      <c r="C608" s="94" t="s">
        <v>1954</v>
      </c>
      <c r="D608" s="93" t="s">
        <v>2220</v>
      </c>
    </row>
    <row r="609" spans="1:4" ht="15.75">
      <c r="A609" s="105" t="s">
        <v>2256</v>
      </c>
      <c r="B609" s="93" t="s">
        <v>1106</v>
      </c>
      <c r="C609" s="94" t="s">
        <v>2257</v>
      </c>
      <c r="D609" s="93" t="s">
        <v>2220</v>
      </c>
    </row>
    <row r="610" spans="1:4" ht="15.75">
      <c r="A610" s="92" t="s">
        <v>2258</v>
      </c>
      <c r="B610" s="93" t="s">
        <v>1110</v>
      </c>
      <c r="C610" s="94" t="s">
        <v>2259</v>
      </c>
      <c r="D610" s="93" t="s">
        <v>2220</v>
      </c>
    </row>
    <row r="611" spans="1:4" ht="15.75">
      <c r="A611" s="92" t="s">
        <v>2260</v>
      </c>
      <c r="B611" s="93" t="s">
        <v>1106</v>
      </c>
      <c r="C611" s="94" t="s">
        <v>1613</v>
      </c>
      <c r="D611" s="93" t="s">
        <v>2220</v>
      </c>
    </row>
    <row r="612" spans="1:4" ht="15.75">
      <c r="A612" s="92" t="s">
        <v>2261</v>
      </c>
      <c r="B612" s="93" t="s">
        <v>1110</v>
      </c>
      <c r="C612" s="94" t="s">
        <v>1499</v>
      </c>
      <c r="D612" s="93" t="s">
        <v>2220</v>
      </c>
    </row>
    <row r="613" spans="1:4" ht="15.75">
      <c r="A613" s="92" t="s">
        <v>2262</v>
      </c>
      <c r="B613" s="93" t="s">
        <v>1106</v>
      </c>
      <c r="C613" s="94" t="s">
        <v>2263</v>
      </c>
      <c r="D613" s="93" t="s">
        <v>2220</v>
      </c>
    </row>
    <row r="614" spans="1:4" ht="15.75">
      <c r="A614" s="92" t="s">
        <v>2264</v>
      </c>
      <c r="B614" s="93" t="s">
        <v>1110</v>
      </c>
      <c r="C614" s="94" t="s">
        <v>2265</v>
      </c>
      <c r="D614" s="93" t="s">
        <v>2220</v>
      </c>
    </row>
    <row r="615" spans="1:4" ht="15.75">
      <c r="A615" s="107" t="s">
        <v>2266</v>
      </c>
      <c r="B615" s="103" t="s">
        <v>1110</v>
      </c>
      <c r="C615" s="104" t="s">
        <v>2267</v>
      </c>
      <c r="D615" s="103" t="s">
        <v>2220</v>
      </c>
    </row>
    <row r="616" spans="1:4" ht="15.75">
      <c r="A616" s="92" t="s">
        <v>2268</v>
      </c>
      <c r="B616" s="93" t="s">
        <v>1106</v>
      </c>
      <c r="C616" s="94" t="s">
        <v>1543</v>
      </c>
      <c r="D616" s="93" t="s">
        <v>2269</v>
      </c>
    </row>
    <row r="617" spans="1:4" ht="15.75">
      <c r="A617" s="92" t="s">
        <v>2270</v>
      </c>
      <c r="B617" s="93" t="s">
        <v>1106</v>
      </c>
      <c r="C617" s="94" t="s">
        <v>1716</v>
      </c>
      <c r="D617" s="93" t="s">
        <v>2269</v>
      </c>
    </row>
    <row r="618" spans="1:4" ht="15.75">
      <c r="A618" s="92" t="s">
        <v>2271</v>
      </c>
      <c r="B618" s="93" t="s">
        <v>1106</v>
      </c>
      <c r="C618" s="94" t="s">
        <v>2272</v>
      </c>
      <c r="D618" s="93" t="s">
        <v>2269</v>
      </c>
    </row>
    <row r="619" spans="1:4" ht="15.75">
      <c r="A619" s="105" t="s">
        <v>2273</v>
      </c>
      <c r="B619" s="93" t="s">
        <v>1110</v>
      </c>
      <c r="C619" s="94" t="s">
        <v>2274</v>
      </c>
      <c r="D619" s="93" t="s">
        <v>2269</v>
      </c>
    </row>
    <row r="620" spans="1:4" ht="15.75">
      <c r="A620" s="92" t="s">
        <v>2275</v>
      </c>
      <c r="B620" s="93" t="s">
        <v>1110</v>
      </c>
      <c r="C620" s="94" t="s">
        <v>1479</v>
      </c>
      <c r="D620" s="93" t="s">
        <v>2269</v>
      </c>
    </row>
    <row r="621" spans="1:4" ht="15.75">
      <c r="A621" s="92" t="s">
        <v>2276</v>
      </c>
      <c r="B621" s="93" t="s">
        <v>1110</v>
      </c>
      <c r="C621" s="94" t="s">
        <v>2277</v>
      </c>
      <c r="D621" s="93" t="s">
        <v>2269</v>
      </c>
    </row>
    <row r="622" spans="1:4" ht="15.75">
      <c r="A622" s="92" t="s">
        <v>2278</v>
      </c>
      <c r="B622" s="93" t="s">
        <v>1110</v>
      </c>
      <c r="C622" s="94" t="s">
        <v>2279</v>
      </c>
      <c r="D622" s="93" t="s">
        <v>2269</v>
      </c>
    </row>
    <row r="623" spans="1:4" ht="15.75">
      <c r="A623" s="92" t="s">
        <v>2280</v>
      </c>
      <c r="B623" s="93" t="s">
        <v>1110</v>
      </c>
      <c r="C623" s="94" t="s">
        <v>2281</v>
      </c>
      <c r="D623" s="93" t="s">
        <v>2269</v>
      </c>
    </row>
    <row r="624" spans="1:4" ht="15.75">
      <c r="A624" s="92" t="s">
        <v>2282</v>
      </c>
      <c r="B624" s="93" t="s">
        <v>1110</v>
      </c>
      <c r="C624" s="94" t="s">
        <v>2283</v>
      </c>
      <c r="D624" s="93" t="s">
        <v>2269</v>
      </c>
    </row>
    <row r="625" spans="1:4" ht="15.75">
      <c r="A625" s="92" t="s">
        <v>2284</v>
      </c>
      <c r="B625" s="93" t="s">
        <v>1106</v>
      </c>
      <c r="C625" s="94" t="s">
        <v>2285</v>
      </c>
      <c r="D625" s="93" t="s">
        <v>2269</v>
      </c>
    </row>
    <row r="626" spans="1:4" ht="15.75">
      <c r="A626" s="92" t="s">
        <v>2286</v>
      </c>
      <c r="B626" s="93" t="s">
        <v>1110</v>
      </c>
      <c r="C626" s="94" t="s">
        <v>2013</v>
      </c>
      <c r="D626" s="93" t="s">
        <v>2269</v>
      </c>
    </row>
    <row r="627" spans="1:4" ht="15.75">
      <c r="A627" s="92" t="s">
        <v>2287</v>
      </c>
      <c r="B627" s="93" t="s">
        <v>1110</v>
      </c>
      <c r="C627" s="94" t="s">
        <v>2288</v>
      </c>
      <c r="D627" s="93" t="s">
        <v>2269</v>
      </c>
    </row>
    <row r="628" spans="1:4" ht="15.75">
      <c r="A628" s="92" t="s">
        <v>2289</v>
      </c>
      <c r="B628" s="93" t="s">
        <v>1106</v>
      </c>
      <c r="C628" s="94" t="s">
        <v>2290</v>
      </c>
      <c r="D628" s="93" t="s">
        <v>2269</v>
      </c>
    </row>
    <row r="629" spans="1:4" ht="15.75">
      <c r="A629" s="92" t="s">
        <v>2291</v>
      </c>
      <c r="B629" s="93" t="s">
        <v>1106</v>
      </c>
      <c r="C629" s="94" t="s">
        <v>2292</v>
      </c>
      <c r="D629" s="93" t="s">
        <v>2269</v>
      </c>
    </row>
    <row r="630" spans="1:4" ht="15.75">
      <c r="A630" s="92" t="s">
        <v>2293</v>
      </c>
      <c r="B630" s="93" t="s">
        <v>1106</v>
      </c>
      <c r="C630" s="94" t="s">
        <v>2294</v>
      </c>
      <c r="D630" s="93" t="s">
        <v>2269</v>
      </c>
    </row>
    <row r="631" spans="1:4" ht="15.75">
      <c r="A631" s="92" t="s">
        <v>2295</v>
      </c>
      <c r="B631" s="93" t="s">
        <v>1110</v>
      </c>
      <c r="C631" s="94" t="s">
        <v>2296</v>
      </c>
      <c r="D631" s="93" t="s">
        <v>2269</v>
      </c>
    </row>
    <row r="632" spans="1:4" ht="15.75">
      <c r="A632" s="92" t="s">
        <v>2297</v>
      </c>
      <c r="B632" s="93" t="s">
        <v>1106</v>
      </c>
      <c r="C632" s="94" t="s">
        <v>1850</v>
      </c>
      <c r="D632" s="93" t="s">
        <v>2269</v>
      </c>
    </row>
    <row r="633" spans="1:4" ht="15.75">
      <c r="A633" s="92" t="s">
        <v>2298</v>
      </c>
      <c r="B633" s="93" t="s">
        <v>1110</v>
      </c>
      <c r="C633" s="94" t="s">
        <v>2299</v>
      </c>
      <c r="D633" s="93" t="s">
        <v>2269</v>
      </c>
    </row>
    <row r="634" spans="1:4" ht="15.75">
      <c r="A634" s="92" t="s">
        <v>2300</v>
      </c>
      <c r="B634" s="93" t="s">
        <v>1106</v>
      </c>
      <c r="C634" s="94" t="s">
        <v>2301</v>
      </c>
      <c r="D634" s="93" t="s">
        <v>2269</v>
      </c>
    </row>
    <row r="635" spans="1:4" ht="15.75">
      <c r="A635" s="92" t="s">
        <v>2302</v>
      </c>
      <c r="B635" s="93" t="s">
        <v>1106</v>
      </c>
      <c r="C635" s="94" t="s">
        <v>2303</v>
      </c>
      <c r="D635" s="93" t="s">
        <v>2269</v>
      </c>
    </row>
    <row r="636" spans="1:4" ht="15.75">
      <c r="A636" s="92" t="s">
        <v>2304</v>
      </c>
      <c r="B636" s="93" t="s">
        <v>1106</v>
      </c>
      <c r="C636" s="94" t="s">
        <v>2305</v>
      </c>
      <c r="D636" s="93" t="s">
        <v>2269</v>
      </c>
    </row>
    <row r="637" spans="1:4" ht="15.75">
      <c r="A637" s="92" t="s">
        <v>2306</v>
      </c>
      <c r="B637" s="93" t="s">
        <v>1106</v>
      </c>
      <c r="C637" s="94" t="s">
        <v>2307</v>
      </c>
      <c r="D637" s="93" t="s">
        <v>2269</v>
      </c>
    </row>
    <row r="638" spans="1:4" ht="15.75">
      <c r="A638" s="92" t="s">
        <v>2308</v>
      </c>
      <c r="B638" s="93" t="s">
        <v>1110</v>
      </c>
      <c r="C638" s="94" t="s">
        <v>2309</v>
      </c>
      <c r="D638" s="93" t="s">
        <v>2269</v>
      </c>
    </row>
    <row r="639" spans="1:4" ht="15.75">
      <c r="A639" s="92" t="s">
        <v>2310</v>
      </c>
      <c r="B639" s="93" t="s">
        <v>1110</v>
      </c>
      <c r="C639" s="94" t="s">
        <v>2311</v>
      </c>
      <c r="D639" s="93" t="s">
        <v>2269</v>
      </c>
    </row>
    <row r="640" spans="1:4" ht="15.75">
      <c r="A640" s="92" t="s">
        <v>2312</v>
      </c>
      <c r="B640" s="93" t="s">
        <v>1106</v>
      </c>
      <c r="C640" s="94" t="s">
        <v>2313</v>
      </c>
      <c r="D640" s="93" t="s">
        <v>2269</v>
      </c>
    </row>
    <row r="641" spans="1:4" ht="15.75">
      <c r="A641" s="92" t="s">
        <v>2314</v>
      </c>
      <c r="B641" s="93" t="s">
        <v>1110</v>
      </c>
      <c r="C641" s="94" t="s">
        <v>2315</v>
      </c>
      <c r="D641" s="93" t="s">
        <v>2269</v>
      </c>
    </row>
    <row r="642" spans="1:4" ht="15.75">
      <c r="A642" s="105" t="s">
        <v>2316</v>
      </c>
      <c r="B642" s="93" t="s">
        <v>1110</v>
      </c>
      <c r="C642" s="94" t="s">
        <v>1167</v>
      </c>
      <c r="D642" s="93" t="s">
        <v>2269</v>
      </c>
    </row>
    <row r="643" spans="1:4" ht="15.75">
      <c r="A643" s="92" t="s">
        <v>2317</v>
      </c>
      <c r="B643" s="93" t="s">
        <v>1110</v>
      </c>
      <c r="C643" s="94" t="s">
        <v>2318</v>
      </c>
      <c r="D643" s="93" t="s">
        <v>2269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54500055018 SD 41</vt:lpstr>
      <vt:lpstr>REALISASI</vt:lpstr>
      <vt:lpstr>KELAS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GANIS</cp:lastModifiedBy>
  <dcterms:created xsi:type="dcterms:W3CDTF">2023-07-07T03:16:15Z</dcterms:created>
  <dcterms:modified xsi:type="dcterms:W3CDTF">2025-12-06T03:24:11Z</dcterms:modified>
</cp:coreProperties>
</file>